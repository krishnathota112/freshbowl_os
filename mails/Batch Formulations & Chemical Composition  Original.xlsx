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 activeTab="1"/>
  </bookViews>
  <sheets>
    <sheet name="pH" sheetId="1" r:id="rId1"/>
    <sheet name="Fixed Formulations" sheetId="2" r:id="rId2"/>
    <sheet name="draft" sheetId="3" r:id="rId3"/>
    <sheet name="Trails" sheetId="4" r:id="rId4"/>
    <sheet name="Sheet1" sheetId="5" r:id="rId5"/>
    <sheet name="Sheet2" sheetId="6" r:id="rId6"/>
  </sheets>
  <calcPr calcId="144525"/>
</workbook>
</file>

<file path=xl/calcChain.xml><?xml version="1.0" encoding="utf-8"?>
<calcChain xmlns="http://schemas.openxmlformats.org/spreadsheetml/2006/main">
  <c r="D789" i="2" l="1"/>
  <c r="H788" i="2"/>
  <c r="F788" i="2"/>
  <c r="H787" i="2"/>
  <c r="F787" i="2"/>
  <c r="H786" i="2"/>
  <c r="F786" i="2"/>
  <c r="C786" i="2"/>
  <c r="H785" i="2"/>
  <c r="F785" i="2"/>
  <c r="H784" i="2"/>
  <c r="F784" i="2"/>
  <c r="C784" i="2"/>
  <c r="H783" i="2"/>
  <c r="F783" i="2"/>
  <c r="C783" i="2"/>
  <c r="I782" i="2"/>
  <c r="H782" i="2"/>
  <c r="H789" i="2" s="1"/>
  <c r="H790" i="2" s="1"/>
  <c r="F782" i="2"/>
  <c r="F789" i="2" s="1"/>
  <c r="F790" i="2" s="1"/>
  <c r="C782" i="2"/>
  <c r="I790" i="2" l="1"/>
  <c r="F774" i="2"/>
  <c r="F773" i="2"/>
  <c r="F772" i="2"/>
  <c r="F771" i="2"/>
  <c r="F770" i="2"/>
  <c r="F769" i="2"/>
  <c r="F768" i="2"/>
  <c r="M775" i="2"/>
  <c r="Q774" i="2"/>
  <c r="O774" i="2"/>
  <c r="Q773" i="2"/>
  <c r="O773" i="2"/>
  <c r="Q772" i="2"/>
  <c r="O772" i="2"/>
  <c r="Q771" i="2"/>
  <c r="O771" i="2"/>
  <c r="Q770" i="2"/>
  <c r="O770" i="2"/>
  <c r="L770" i="2"/>
  <c r="Q769" i="2"/>
  <c r="O769" i="2"/>
  <c r="L769" i="2"/>
  <c r="R768" i="2"/>
  <c r="L772" i="2" s="1"/>
  <c r="Q768" i="2"/>
  <c r="O768" i="2"/>
  <c r="L768" i="2"/>
  <c r="C744" i="2"/>
  <c r="Q775" i="2" l="1"/>
  <c r="Q776" i="2" s="1"/>
  <c r="O775" i="2"/>
  <c r="O776" i="2" s="1"/>
  <c r="D775" i="2"/>
  <c r="H774" i="2"/>
  <c r="H773" i="2"/>
  <c r="H772" i="2"/>
  <c r="H771" i="2"/>
  <c r="H770" i="2"/>
  <c r="C770" i="2"/>
  <c r="H769" i="2"/>
  <c r="C769" i="2"/>
  <c r="I768" i="2"/>
  <c r="C772" i="2" s="1"/>
  <c r="H768" i="2"/>
  <c r="C768" i="2"/>
  <c r="R776" i="2" l="1"/>
  <c r="F775" i="2"/>
  <c r="F776" i="2" s="1"/>
  <c r="H775" i="2"/>
  <c r="H776" i="2" s="1"/>
  <c r="O760" i="2"/>
  <c r="O759" i="2"/>
  <c r="O758" i="2"/>
  <c r="O757" i="2"/>
  <c r="O756" i="2"/>
  <c r="O755" i="2"/>
  <c r="O754" i="2"/>
  <c r="M61" i="3"/>
  <c r="Q60" i="3"/>
  <c r="O60" i="3"/>
  <c r="Q59" i="3"/>
  <c r="O59" i="3"/>
  <c r="Q58" i="3"/>
  <c r="O58" i="3"/>
  <c r="Q57" i="3"/>
  <c r="O57" i="3"/>
  <c r="Q56" i="3"/>
  <c r="O56" i="3"/>
  <c r="L56" i="3"/>
  <c r="Q55" i="3"/>
  <c r="O55" i="3"/>
  <c r="L55" i="3"/>
  <c r="R54" i="3"/>
  <c r="Q54" i="3"/>
  <c r="O54" i="3"/>
  <c r="L54" i="3"/>
  <c r="I776" i="2" l="1"/>
  <c r="Q61" i="3"/>
  <c r="Q62" i="3" s="1"/>
  <c r="O61" i="3"/>
  <c r="O62" i="3" s="1"/>
  <c r="M761" i="2"/>
  <c r="Q760" i="2"/>
  <c r="Q759" i="2"/>
  <c r="Q758" i="2"/>
  <c r="Q757" i="2"/>
  <c r="Q756" i="2"/>
  <c r="L756" i="2"/>
  <c r="Q755" i="2"/>
  <c r="L755" i="2"/>
  <c r="R754" i="2"/>
  <c r="L758" i="2" s="1"/>
  <c r="Q754" i="2"/>
  <c r="L754" i="2"/>
  <c r="D761" i="2"/>
  <c r="H760" i="2"/>
  <c r="F760" i="2"/>
  <c r="H759" i="2"/>
  <c r="F759" i="2"/>
  <c r="H758" i="2"/>
  <c r="F758" i="2"/>
  <c r="H757" i="2"/>
  <c r="F757" i="2"/>
  <c r="H756" i="2"/>
  <c r="F756" i="2"/>
  <c r="C756" i="2"/>
  <c r="H755" i="2"/>
  <c r="F755" i="2"/>
  <c r="C755" i="2"/>
  <c r="I754" i="2"/>
  <c r="C758" i="2" s="1"/>
  <c r="H754" i="2"/>
  <c r="F754" i="2"/>
  <c r="C754" i="2"/>
  <c r="M747" i="2"/>
  <c r="Q746" i="2"/>
  <c r="O746" i="2"/>
  <c r="Q745" i="2"/>
  <c r="O745" i="2"/>
  <c r="Q744" i="2"/>
  <c r="O744" i="2"/>
  <c r="Q743" i="2"/>
  <c r="O743" i="2"/>
  <c r="Q742" i="2"/>
  <c r="O742" i="2"/>
  <c r="L742" i="2"/>
  <c r="Q741" i="2"/>
  <c r="O741" i="2"/>
  <c r="L741" i="2"/>
  <c r="R740" i="2"/>
  <c r="L744" i="2" s="1"/>
  <c r="Q740" i="2"/>
  <c r="O740" i="2"/>
  <c r="L740" i="2"/>
  <c r="Q761" i="2" l="1"/>
  <c r="Q762" i="2" s="1"/>
  <c r="H761" i="2"/>
  <c r="H762" i="2" s="1"/>
  <c r="Q747" i="2"/>
  <c r="Q748" i="2" s="1"/>
  <c r="O761" i="2"/>
  <c r="O762" i="2" s="1"/>
  <c r="F761" i="2"/>
  <c r="F762" i="2" s="1"/>
  <c r="O747" i="2"/>
  <c r="O748" i="2" s="1"/>
  <c r="R62" i="3"/>
  <c r="M714" i="2"/>
  <c r="I762" i="2" l="1"/>
  <c r="R762" i="2"/>
  <c r="R748" i="2"/>
  <c r="D747" i="2"/>
  <c r="H746" i="2"/>
  <c r="F746" i="2"/>
  <c r="H745" i="2"/>
  <c r="F745" i="2"/>
  <c r="H744" i="2"/>
  <c r="F744" i="2"/>
  <c r="H743" i="2"/>
  <c r="F743" i="2"/>
  <c r="H742" i="2"/>
  <c r="F742" i="2"/>
  <c r="C742" i="2"/>
  <c r="H741" i="2"/>
  <c r="F741" i="2"/>
  <c r="C741" i="2"/>
  <c r="I740" i="2"/>
  <c r="H740" i="2"/>
  <c r="F740" i="2"/>
  <c r="C740" i="2"/>
  <c r="H747" i="2" l="1"/>
  <c r="H748" i="2" s="1"/>
  <c r="F747" i="2"/>
  <c r="F748" i="2" s="1"/>
  <c r="M733" i="2"/>
  <c r="Q732" i="2"/>
  <c r="O732" i="2"/>
  <c r="Q731" i="2"/>
  <c r="O731" i="2"/>
  <c r="Q730" i="2"/>
  <c r="O730" i="2"/>
  <c r="Q729" i="2"/>
  <c r="O729" i="2"/>
  <c r="Q728" i="2"/>
  <c r="O728" i="2"/>
  <c r="L728" i="2"/>
  <c r="Q727" i="2"/>
  <c r="O727" i="2"/>
  <c r="L727" i="2"/>
  <c r="R726" i="2"/>
  <c r="Q726" i="2"/>
  <c r="O726" i="2"/>
  <c r="L726" i="2"/>
  <c r="I748" i="2" l="1"/>
  <c r="O733" i="2"/>
  <c r="O734" i="2" s="1"/>
  <c r="Q733" i="2"/>
  <c r="Q734" i="2" s="1"/>
  <c r="C721" i="2"/>
  <c r="D712" i="2"/>
  <c r="R734" i="2" l="1"/>
  <c r="D733" i="2"/>
  <c r="H732" i="2"/>
  <c r="F732" i="2"/>
  <c r="H731" i="2"/>
  <c r="F731" i="2"/>
  <c r="H730" i="2"/>
  <c r="F730" i="2"/>
  <c r="H729" i="2"/>
  <c r="F729" i="2"/>
  <c r="H728" i="2"/>
  <c r="F728" i="2"/>
  <c r="C728" i="2"/>
  <c r="H727" i="2"/>
  <c r="F727" i="2"/>
  <c r="C727" i="2"/>
  <c r="I726" i="2"/>
  <c r="H726" i="2"/>
  <c r="F726" i="2"/>
  <c r="C726" i="2"/>
  <c r="Q718" i="2"/>
  <c r="O718" i="2"/>
  <c r="Q717" i="2"/>
  <c r="O717" i="2"/>
  <c r="Q716" i="2"/>
  <c r="O716" i="2"/>
  <c r="Q715" i="2"/>
  <c r="O715" i="2"/>
  <c r="Q714" i="2"/>
  <c r="O714" i="2"/>
  <c r="L714" i="2"/>
  <c r="Q713" i="2"/>
  <c r="O713" i="2"/>
  <c r="L713" i="2"/>
  <c r="Q712" i="2"/>
  <c r="O712" i="2"/>
  <c r="L712" i="2"/>
  <c r="M719" i="2"/>
  <c r="R712" i="2"/>
  <c r="D719" i="2"/>
  <c r="H718" i="2"/>
  <c r="F718" i="2"/>
  <c r="H717" i="2"/>
  <c r="F717" i="2"/>
  <c r="H716" i="2"/>
  <c r="F716" i="2"/>
  <c r="H715" i="2"/>
  <c r="F715" i="2"/>
  <c r="H714" i="2"/>
  <c r="F714" i="2"/>
  <c r="C714" i="2"/>
  <c r="H713" i="2"/>
  <c r="F713" i="2"/>
  <c r="C713" i="2"/>
  <c r="I712" i="2"/>
  <c r="H712" i="2"/>
  <c r="F712" i="2"/>
  <c r="C712" i="2"/>
  <c r="F733" i="2" l="1"/>
  <c r="F734" i="2" s="1"/>
  <c r="H733" i="2"/>
  <c r="H734" i="2" s="1"/>
  <c r="H719" i="2"/>
  <c r="H720" i="2" s="1"/>
  <c r="F719" i="2"/>
  <c r="F720" i="2" s="1"/>
  <c r="O719" i="2"/>
  <c r="O720" i="2" s="1"/>
  <c r="Q719" i="2"/>
  <c r="Q720" i="2" s="1"/>
  <c r="L683" i="2"/>
  <c r="L685" i="2"/>
  <c r="M705" i="2"/>
  <c r="Q704" i="2"/>
  <c r="O704" i="2"/>
  <c r="Q703" i="2"/>
  <c r="O703" i="2"/>
  <c r="Q702" i="2"/>
  <c r="O702" i="2"/>
  <c r="Q701" i="2"/>
  <c r="O701" i="2"/>
  <c r="Q700" i="2"/>
  <c r="O700" i="2"/>
  <c r="L700" i="2"/>
  <c r="Q699" i="2"/>
  <c r="O699" i="2"/>
  <c r="L699" i="2"/>
  <c r="R698" i="2"/>
  <c r="Q698" i="2"/>
  <c r="O698" i="2"/>
  <c r="L698" i="2"/>
  <c r="I734" i="2" l="1"/>
  <c r="I720" i="2"/>
  <c r="R720" i="2"/>
  <c r="Q705" i="2"/>
  <c r="Q706" i="2" s="1"/>
  <c r="O705" i="2"/>
  <c r="O706" i="2" s="1"/>
  <c r="D705" i="2"/>
  <c r="H704" i="2"/>
  <c r="F704" i="2"/>
  <c r="H703" i="2"/>
  <c r="F703" i="2"/>
  <c r="H702" i="2"/>
  <c r="F702" i="2"/>
  <c r="H701" i="2"/>
  <c r="F701" i="2"/>
  <c r="H700" i="2"/>
  <c r="F700" i="2"/>
  <c r="C700" i="2"/>
  <c r="H699" i="2"/>
  <c r="F699" i="2"/>
  <c r="C699" i="2"/>
  <c r="I698" i="2"/>
  <c r="H698" i="2"/>
  <c r="F698" i="2"/>
  <c r="C698" i="2"/>
  <c r="R706" i="2" l="1"/>
  <c r="H705" i="2"/>
  <c r="H706" i="2" s="1"/>
  <c r="F705" i="2"/>
  <c r="F706" i="2" s="1"/>
  <c r="M690" i="2"/>
  <c r="Q689" i="2"/>
  <c r="O689" i="2"/>
  <c r="Q688" i="2"/>
  <c r="O688" i="2"/>
  <c r="Q687" i="2"/>
  <c r="O687" i="2"/>
  <c r="Q686" i="2"/>
  <c r="O686" i="2"/>
  <c r="Q685" i="2"/>
  <c r="O685" i="2"/>
  <c r="Q684" i="2"/>
  <c r="O684" i="2"/>
  <c r="L684" i="2"/>
  <c r="R683" i="2"/>
  <c r="Q683" i="2"/>
  <c r="O683" i="2"/>
  <c r="H689" i="2"/>
  <c r="F689" i="2"/>
  <c r="H688" i="2"/>
  <c r="F688" i="2"/>
  <c r="H687" i="2"/>
  <c r="F687" i="2"/>
  <c r="H686" i="2"/>
  <c r="F686" i="2"/>
  <c r="H685" i="2"/>
  <c r="F685" i="2"/>
  <c r="H684" i="2"/>
  <c r="F684" i="2"/>
  <c r="H683" i="2"/>
  <c r="F683" i="2"/>
  <c r="Q675" i="2"/>
  <c r="O675" i="2"/>
  <c r="Q674" i="2"/>
  <c r="O674" i="2"/>
  <c r="Q673" i="2"/>
  <c r="O673" i="2"/>
  <c r="Q672" i="2"/>
  <c r="O672" i="2"/>
  <c r="Q671" i="2"/>
  <c r="O671" i="2"/>
  <c r="Q670" i="2"/>
  <c r="O670" i="2"/>
  <c r="Q669" i="2"/>
  <c r="O669" i="2"/>
  <c r="Q668" i="2"/>
  <c r="O668" i="2"/>
  <c r="I706" i="2" l="1"/>
  <c r="Q690" i="2"/>
  <c r="Q691" i="2" s="1"/>
  <c r="O690" i="2"/>
  <c r="O691" i="2" s="1"/>
  <c r="F612" i="2"/>
  <c r="H612" i="2"/>
  <c r="O612" i="2"/>
  <c r="Q612" i="2"/>
  <c r="L537" i="2"/>
  <c r="L536" i="2"/>
  <c r="L535" i="2"/>
  <c r="C551" i="2"/>
  <c r="C550" i="2"/>
  <c r="C549" i="2"/>
  <c r="L551" i="2"/>
  <c r="L550" i="2"/>
  <c r="L549" i="2"/>
  <c r="C566" i="2"/>
  <c r="C565" i="2"/>
  <c r="C564" i="2"/>
  <c r="L566" i="2"/>
  <c r="L565" i="2"/>
  <c r="L564" i="2"/>
  <c r="C581" i="2"/>
  <c r="C580" i="2"/>
  <c r="C579" i="2"/>
  <c r="L581" i="2"/>
  <c r="L580" i="2"/>
  <c r="L579" i="2"/>
  <c r="C596" i="2"/>
  <c r="C595" i="2"/>
  <c r="C594" i="2"/>
  <c r="L596" i="2"/>
  <c r="L595" i="2"/>
  <c r="L594" i="2"/>
  <c r="C611" i="2"/>
  <c r="C610" i="2"/>
  <c r="C609" i="2"/>
  <c r="L611" i="2"/>
  <c r="L610" i="2"/>
  <c r="L609" i="2"/>
  <c r="C655" i="2"/>
  <c r="C654" i="2"/>
  <c r="C653" i="2"/>
  <c r="L641" i="2"/>
  <c r="L640" i="2"/>
  <c r="L639" i="2"/>
  <c r="C641" i="2"/>
  <c r="C640" i="2"/>
  <c r="C639" i="2"/>
  <c r="L626" i="2"/>
  <c r="L625" i="2"/>
  <c r="L624" i="2"/>
  <c r="C626" i="2"/>
  <c r="C625" i="2"/>
  <c r="C624" i="2"/>
  <c r="L654" i="2"/>
  <c r="R691" i="2" l="1"/>
  <c r="C670" i="2"/>
  <c r="C669" i="2"/>
  <c r="C668" i="2"/>
  <c r="L670" i="2"/>
  <c r="L669" i="2"/>
  <c r="L668" i="2"/>
  <c r="L653" i="2"/>
  <c r="L655" i="2"/>
  <c r="C685" i="2" l="1"/>
  <c r="C684" i="2"/>
  <c r="I683" i="2"/>
  <c r="C683" i="2"/>
  <c r="R668" i="2"/>
  <c r="H668" i="2"/>
  <c r="F668" i="2"/>
  <c r="I668" i="2"/>
  <c r="H675" i="2"/>
  <c r="F675" i="2"/>
  <c r="H674" i="2"/>
  <c r="F674" i="2"/>
  <c r="H673" i="2"/>
  <c r="F673" i="2"/>
  <c r="H672" i="2"/>
  <c r="F672" i="2"/>
  <c r="H671" i="2"/>
  <c r="F671" i="2"/>
  <c r="Q653" i="2"/>
  <c r="O653" i="2"/>
  <c r="R639" i="2"/>
  <c r="I653" i="2"/>
  <c r="R653" i="2"/>
  <c r="Q660" i="2"/>
  <c r="O660" i="2"/>
  <c r="Q659" i="2"/>
  <c r="O659" i="2"/>
  <c r="Q658" i="2"/>
  <c r="O658" i="2"/>
  <c r="Q657" i="2"/>
  <c r="O657" i="2"/>
  <c r="Q656" i="2"/>
  <c r="O656" i="2"/>
  <c r="H660" i="2"/>
  <c r="F660" i="2"/>
  <c r="H659" i="2"/>
  <c r="F659" i="2"/>
  <c r="H658" i="2"/>
  <c r="F658" i="2"/>
  <c r="H657" i="2"/>
  <c r="F657" i="2"/>
  <c r="H656" i="2"/>
  <c r="F656" i="2"/>
  <c r="D690" i="2"/>
  <c r="H653" i="2"/>
  <c r="F653" i="2"/>
  <c r="M676" i="2"/>
  <c r="D676" i="2"/>
  <c r="H670" i="2"/>
  <c r="F670" i="2"/>
  <c r="H669" i="2"/>
  <c r="F669" i="2"/>
  <c r="H690" i="2" l="1"/>
  <c r="H691" i="2" s="1"/>
  <c r="F690" i="2"/>
  <c r="F691" i="2" s="1"/>
  <c r="O676" i="2"/>
  <c r="O677" i="2" s="1"/>
  <c r="Q676" i="2"/>
  <c r="Q677" i="2" s="1"/>
  <c r="F676" i="2"/>
  <c r="F677" i="2" s="1"/>
  <c r="H676" i="2"/>
  <c r="H677" i="2" s="1"/>
  <c r="O642" i="2"/>
  <c r="O644" i="2"/>
  <c r="O643" i="2"/>
  <c r="O639" i="2"/>
  <c r="Q645" i="2"/>
  <c r="O645" i="2"/>
  <c r="M661" i="2"/>
  <c r="Q655" i="2"/>
  <c r="O655" i="2"/>
  <c r="Q654" i="2"/>
  <c r="O654" i="2"/>
  <c r="O661" i="2"/>
  <c r="D647" i="2"/>
  <c r="H646" i="2"/>
  <c r="F646" i="2"/>
  <c r="H645" i="2"/>
  <c r="F645" i="2"/>
  <c r="H644" i="2"/>
  <c r="F644" i="2"/>
  <c r="H643" i="2"/>
  <c r="F643" i="2"/>
  <c r="H642" i="2"/>
  <c r="F642" i="2"/>
  <c r="H641" i="2"/>
  <c r="F641" i="2"/>
  <c r="H640" i="2"/>
  <c r="F640" i="2"/>
  <c r="I639" i="2"/>
  <c r="H639" i="2"/>
  <c r="F639" i="2"/>
  <c r="E130" i="3"/>
  <c r="C134" i="3"/>
  <c r="G133" i="3"/>
  <c r="E133" i="3"/>
  <c r="G132" i="3"/>
  <c r="E132" i="3"/>
  <c r="G131" i="3"/>
  <c r="E131" i="3"/>
  <c r="G130" i="3"/>
  <c r="G129" i="3"/>
  <c r="E129" i="3"/>
  <c r="B129" i="3"/>
  <c r="G128" i="3"/>
  <c r="E128" i="3"/>
  <c r="B128" i="3"/>
  <c r="G127" i="3"/>
  <c r="E127" i="3"/>
  <c r="B127" i="3"/>
  <c r="H126" i="3"/>
  <c r="G126" i="3"/>
  <c r="E126" i="3"/>
  <c r="B126" i="3"/>
  <c r="D661" i="2"/>
  <c r="H655" i="2"/>
  <c r="F655" i="2"/>
  <c r="H654" i="2"/>
  <c r="F654" i="2"/>
  <c r="Q643" i="2"/>
  <c r="Q629" i="2"/>
  <c r="O629" i="2"/>
  <c r="Q628" i="2"/>
  <c r="O628" i="2"/>
  <c r="Q625" i="2"/>
  <c r="Q626" i="2"/>
  <c r="Q627" i="2"/>
  <c r="Q630" i="2"/>
  <c r="O630" i="2"/>
  <c r="I691" i="2" l="1"/>
  <c r="Q661" i="2"/>
  <c r="H647" i="2"/>
  <c r="H648" i="2" s="1"/>
  <c r="F647" i="2"/>
  <c r="F648" i="2" s="1"/>
  <c r="R677" i="2"/>
  <c r="I677" i="2"/>
  <c r="Q662" i="2"/>
  <c r="O662" i="2"/>
  <c r="H661" i="2"/>
  <c r="H662" i="2" s="1"/>
  <c r="F661" i="2"/>
  <c r="F662" i="2" s="1"/>
  <c r="E134" i="3"/>
  <c r="E135" i="3" s="1"/>
  <c r="G134" i="3"/>
  <c r="G135" i="3" s="1"/>
  <c r="M120" i="3"/>
  <c r="Q119" i="3"/>
  <c r="O119" i="3"/>
  <c r="Q118" i="3"/>
  <c r="O118" i="3"/>
  <c r="Q117" i="3"/>
  <c r="O117" i="3"/>
  <c r="Q116" i="3"/>
  <c r="O116" i="3"/>
  <c r="Q115" i="3"/>
  <c r="O115" i="3"/>
  <c r="L115" i="3"/>
  <c r="Q114" i="3"/>
  <c r="Q120" i="3" s="1"/>
  <c r="Q121" i="3" s="1"/>
  <c r="O114" i="3"/>
  <c r="O120" i="3" s="1"/>
  <c r="O121" i="3" s="1"/>
  <c r="L114" i="3"/>
  <c r="Q113" i="3"/>
  <c r="O113" i="3"/>
  <c r="L113" i="3"/>
  <c r="R112" i="3"/>
  <c r="Q112" i="3"/>
  <c r="O112" i="3"/>
  <c r="L112" i="3"/>
  <c r="I648" i="2" l="1"/>
  <c r="R662" i="2"/>
  <c r="I662" i="2"/>
  <c r="H135" i="3"/>
  <c r="R121" i="3"/>
  <c r="M647" i="2"/>
  <c r="Q646" i="2"/>
  <c r="O646" i="2"/>
  <c r="Q644" i="2"/>
  <c r="Q642" i="2"/>
  <c r="Q641" i="2"/>
  <c r="O641" i="2"/>
  <c r="Q640" i="2"/>
  <c r="O640" i="2"/>
  <c r="Q639" i="2"/>
  <c r="O609" i="2"/>
  <c r="Q632" i="2"/>
  <c r="O632" i="2"/>
  <c r="Q631" i="2"/>
  <c r="O631" i="2"/>
  <c r="O627" i="2"/>
  <c r="O626" i="2"/>
  <c r="O625" i="2"/>
  <c r="Q624" i="2"/>
  <c r="O624" i="2"/>
  <c r="H632" i="2"/>
  <c r="F632" i="2"/>
  <c r="H631" i="2"/>
  <c r="F631" i="2"/>
  <c r="H629" i="2"/>
  <c r="F629" i="2"/>
  <c r="H628" i="2"/>
  <c r="F628" i="2"/>
  <c r="H627" i="2"/>
  <c r="F627" i="2"/>
  <c r="H626" i="2"/>
  <c r="F626" i="2"/>
  <c r="H625" i="2"/>
  <c r="F625" i="2"/>
  <c r="H624" i="2"/>
  <c r="F624" i="2"/>
  <c r="O647" i="2" l="1"/>
  <c r="O648" i="2" s="1"/>
  <c r="Q647" i="2"/>
  <c r="Q648" i="2" s="1"/>
  <c r="R648" i="2" l="1"/>
  <c r="M633" i="2"/>
  <c r="Q633" i="2"/>
  <c r="O633" i="2"/>
  <c r="R624" i="2"/>
  <c r="Q634" i="2" l="1"/>
  <c r="O634" i="2"/>
  <c r="D633" i="2"/>
  <c r="I624" i="2"/>
  <c r="H633" i="2"/>
  <c r="F633" i="2"/>
  <c r="R634" i="2" l="1"/>
  <c r="F634" i="2"/>
  <c r="H634" i="2"/>
  <c r="D602" i="2"/>
  <c r="I634" i="2" l="1"/>
  <c r="M617" i="2"/>
  <c r="Q616" i="2"/>
  <c r="O616" i="2"/>
  <c r="Q615" i="2"/>
  <c r="O615" i="2"/>
  <c r="Q614" i="2"/>
  <c r="O614" i="2"/>
  <c r="Q613" i="2"/>
  <c r="O613" i="2"/>
  <c r="Q611" i="2"/>
  <c r="O611" i="2"/>
  <c r="Q610" i="2"/>
  <c r="O610" i="2"/>
  <c r="R609" i="2"/>
  <c r="Q609" i="2"/>
  <c r="O617" i="2" l="1"/>
  <c r="O618" i="2" s="1"/>
  <c r="Q617" i="2"/>
  <c r="Q618" i="2" s="1"/>
  <c r="C120" i="3"/>
  <c r="G119" i="3"/>
  <c r="E119" i="3"/>
  <c r="G118" i="3"/>
  <c r="E118" i="3"/>
  <c r="G117" i="3"/>
  <c r="E117" i="3"/>
  <c r="G116" i="3"/>
  <c r="E116" i="3"/>
  <c r="G115" i="3"/>
  <c r="E115" i="3"/>
  <c r="B115" i="3"/>
  <c r="G114" i="3"/>
  <c r="E114" i="3"/>
  <c r="B114" i="3"/>
  <c r="G113" i="3"/>
  <c r="E113" i="3"/>
  <c r="E120" i="3" s="1"/>
  <c r="E121" i="3" s="1"/>
  <c r="B113" i="3"/>
  <c r="H112" i="3"/>
  <c r="G112" i="3"/>
  <c r="G120" i="3" s="1"/>
  <c r="G121" i="3" s="1"/>
  <c r="H121" i="3" s="1"/>
  <c r="E112" i="3"/>
  <c r="B112" i="3"/>
  <c r="D617" i="2"/>
  <c r="H616" i="2"/>
  <c r="F616" i="2"/>
  <c r="H615" i="2"/>
  <c r="F615" i="2"/>
  <c r="H614" i="2"/>
  <c r="F614" i="2"/>
  <c r="H613" i="2"/>
  <c r="F613" i="2"/>
  <c r="H611" i="2"/>
  <c r="F611" i="2"/>
  <c r="H610" i="2"/>
  <c r="F610" i="2"/>
  <c r="I609" i="2"/>
  <c r="H609" i="2"/>
  <c r="F609" i="2"/>
  <c r="R618" i="2" l="1"/>
  <c r="H617" i="2"/>
  <c r="H618" i="2" s="1"/>
  <c r="F617" i="2"/>
  <c r="F618" i="2" s="1"/>
  <c r="L461" i="2"/>
  <c r="L446" i="2"/>
  <c r="L447" i="2"/>
  <c r="L448" i="2"/>
  <c r="L449" i="2"/>
  <c r="L462" i="2"/>
  <c r="L463" i="2"/>
  <c r="L464" i="2"/>
  <c r="I618" i="2" l="1"/>
  <c r="M105" i="3"/>
  <c r="Q104" i="3"/>
  <c r="O104" i="3"/>
  <c r="Q103" i="3"/>
  <c r="O103" i="3"/>
  <c r="Q102" i="3"/>
  <c r="O102" i="3"/>
  <c r="Q101" i="3"/>
  <c r="O101" i="3"/>
  <c r="Q100" i="3"/>
  <c r="O100" i="3"/>
  <c r="L100" i="3"/>
  <c r="Q99" i="3"/>
  <c r="O99" i="3"/>
  <c r="L99" i="3"/>
  <c r="Q98" i="3"/>
  <c r="O98" i="3"/>
  <c r="L98" i="3"/>
  <c r="R97" i="3"/>
  <c r="Q97" i="3"/>
  <c r="O97" i="3"/>
  <c r="L97" i="3"/>
  <c r="C105" i="3"/>
  <c r="G104" i="3"/>
  <c r="E104" i="3"/>
  <c r="G103" i="3"/>
  <c r="E103" i="3"/>
  <c r="G102" i="3"/>
  <c r="E102" i="3"/>
  <c r="G101" i="3"/>
  <c r="E101" i="3"/>
  <c r="G100" i="3"/>
  <c r="E100" i="3"/>
  <c r="B100" i="3"/>
  <c r="G99" i="3"/>
  <c r="E99" i="3"/>
  <c r="B99" i="3"/>
  <c r="G98" i="3"/>
  <c r="G105" i="3" s="1"/>
  <c r="G106" i="3" s="1"/>
  <c r="E98" i="3"/>
  <c r="E105" i="3" s="1"/>
  <c r="E106" i="3" s="1"/>
  <c r="B98" i="3"/>
  <c r="H97" i="3"/>
  <c r="G97" i="3"/>
  <c r="E97" i="3"/>
  <c r="B97" i="3"/>
  <c r="M602" i="2"/>
  <c r="Q601" i="2"/>
  <c r="O601" i="2"/>
  <c r="Q600" i="2"/>
  <c r="O600" i="2"/>
  <c r="Q599" i="2"/>
  <c r="O599" i="2"/>
  <c r="Q598" i="2"/>
  <c r="O598" i="2"/>
  <c r="Q597" i="2"/>
  <c r="O597" i="2"/>
  <c r="Q596" i="2"/>
  <c r="O596" i="2"/>
  <c r="Q595" i="2"/>
  <c r="O595" i="2"/>
  <c r="R594" i="2"/>
  <c r="Q594" i="2"/>
  <c r="O594" i="2"/>
  <c r="O105" i="3" l="1"/>
  <c r="O106" i="3" s="1"/>
  <c r="Q105" i="3"/>
  <c r="Q106" i="3" s="1"/>
  <c r="H106" i="3"/>
  <c r="O602" i="2"/>
  <c r="Q602" i="2"/>
  <c r="H601" i="2"/>
  <c r="F601" i="2"/>
  <c r="H600" i="2"/>
  <c r="F600" i="2"/>
  <c r="H599" i="2"/>
  <c r="F599" i="2"/>
  <c r="H598" i="2"/>
  <c r="F598" i="2"/>
  <c r="H597" i="2"/>
  <c r="F597" i="2"/>
  <c r="H596" i="2"/>
  <c r="F596" i="2"/>
  <c r="H595" i="2"/>
  <c r="F595" i="2"/>
  <c r="I594" i="2"/>
  <c r="H594" i="2"/>
  <c r="F594" i="2"/>
  <c r="R106" i="3" l="1"/>
  <c r="F602" i="2"/>
  <c r="F603" i="2" s="1"/>
  <c r="H602" i="2"/>
  <c r="H603" i="2" s="1"/>
  <c r="M587" i="2"/>
  <c r="Q586" i="2"/>
  <c r="O586" i="2"/>
  <c r="Q585" i="2"/>
  <c r="O585" i="2"/>
  <c r="Q584" i="2"/>
  <c r="O584" i="2"/>
  <c r="Q583" i="2"/>
  <c r="O583" i="2"/>
  <c r="Q582" i="2"/>
  <c r="O582" i="2"/>
  <c r="Q581" i="2"/>
  <c r="O581" i="2"/>
  <c r="Q580" i="2"/>
  <c r="O580" i="2"/>
  <c r="R579" i="2"/>
  <c r="Q579" i="2"/>
  <c r="O579" i="2"/>
  <c r="I603" i="2" l="1"/>
  <c r="O587" i="2"/>
  <c r="O588" i="2" s="1"/>
  <c r="Q587" i="2"/>
  <c r="Q588" i="2" s="1"/>
  <c r="D587" i="2"/>
  <c r="H586" i="2"/>
  <c r="F586" i="2"/>
  <c r="H585" i="2"/>
  <c r="F585" i="2"/>
  <c r="H584" i="2"/>
  <c r="F584" i="2"/>
  <c r="H583" i="2"/>
  <c r="F583" i="2"/>
  <c r="H582" i="2"/>
  <c r="F582" i="2"/>
  <c r="H581" i="2"/>
  <c r="F581" i="2"/>
  <c r="H580" i="2"/>
  <c r="F580" i="2"/>
  <c r="I579" i="2"/>
  <c r="H579" i="2"/>
  <c r="F579" i="2"/>
  <c r="R588" i="2" l="1"/>
  <c r="H587" i="2"/>
  <c r="H588" i="2" s="1"/>
  <c r="F587" i="2"/>
  <c r="F588" i="2" s="1"/>
  <c r="M572" i="2"/>
  <c r="Q571" i="2"/>
  <c r="O571" i="2"/>
  <c r="Q570" i="2"/>
  <c r="O570" i="2"/>
  <c r="Q569" i="2"/>
  <c r="O569" i="2"/>
  <c r="Q568" i="2"/>
  <c r="O568" i="2"/>
  <c r="Q567" i="2"/>
  <c r="O567" i="2"/>
  <c r="Q566" i="2"/>
  <c r="O566" i="2"/>
  <c r="Q565" i="2"/>
  <c r="O565" i="2"/>
  <c r="R564" i="2"/>
  <c r="Q564" i="2"/>
  <c r="O564" i="2"/>
  <c r="Q572" i="2" l="1"/>
  <c r="Q573" i="2" s="1"/>
  <c r="I588" i="2"/>
  <c r="O572" i="2"/>
  <c r="O573" i="2" s="1"/>
  <c r="I34" i="5"/>
  <c r="G25" i="5"/>
  <c r="R573" i="2" l="1"/>
  <c r="D572" i="2"/>
  <c r="H571" i="2"/>
  <c r="F571" i="2"/>
  <c r="H570" i="2"/>
  <c r="F570" i="2"/>
  <c r="H569" i="2"/>
  <c r="F569" i="2"/>
  <c r="H568" i="2"/>
  <c r="F568" i="2"/>
  <c r="H567" i="2"/>
  <c r="F567" i="2"/>
  <c r="H566" i="2"/>
  <c r="F566" i="2"/>
  <c r="H565" i="2"/>
  <c r="F565" i="2"/>
  <c r="I564" i="2"/>
  <c r="H564" i="2"/>
  <c r="F564" i="2"/>
  <c r="I29" i="5"/>
  <c r="G29" i="5"/>
  <c r="E33" i="5"/>
  <c r="I32" i="5"/>
  <c r="G32" i="5"/>
  <c r="I31" i="5"/>
  <c r="G31" i="5"/>
  <c r="I30" i="5"/>
  <c r="G30" i="5"/>
  <c r="I28" i="5"/>
  <c r="G28" i="5"/>
  <c r="D28" i="5"/>
  <c r="I27" i="5"/>
  <c r="G27" i="5"/>
  <c r="D27" i="5"/>
  <c r="I26" i="5"/>
  <c r="G26" i="5"/>
  <c r="D26" i="5"/>
  <c r="J25" i="5"/>
  <c r="I25" i="5"/>
  <c r="D25" i="5"/>
  <c r="D557" i="2"/>
  <c r="H556" i="2"/>
  <c r="F556" i="2"/>
  <c r="H555" i="2"/>
  <c r="F555" i="2"/>
  <c r="H554" i="2"/>
  <c r="F554" i="2"/>
  <c r="H553" i="2"/>
  <c r="F553" i="2"/>
  <c r="H552" i="2"/>
  <c r="F552" i="2"/>
  <c r="H551" i="2"/>
  <c r="F551" i="2"/>
  <c r="H550" i="2"/>
  <c r="F550" i="2"/>
  <c r="I549" i="2"/>
  <c r="H549" i="2"/>
  <c r="F549" i="2"/>
  <c r="F557" i="2" l="1"/>
  <c r="F558" i="2" s="1"/>
  <c r="H557" i="2"/>
  <c r="H558" i="2" s="1"/>
  <c r="F572" i="2"/>
  <c r="F573" i="2" s="1"/>
  <c r="H572" i="2"/>
  <c r="H573" i="2" s="1"/>
  <c r="G33" i="5"/>
  <c r="G34" i="5" s="1"/>
  <c r="I33" i="5"/>
  <c r="M557" i="2"/>
  <c r="Q556" i="2"/>
  <c r="O556" i="2"/>
  <c r="Q555" i="2"/>
  <c r="O555" i="2"/>
  <c r="Q554" i="2"/>
  <c r="O554" i="2"/>
  <c r="Q553" i="2"/>
  <c r="O553" i="2"/>
  <c r="Q552" i="2"/>
  <c r="O552" i="2"/>
  <c r="Q551" i="2"/>
  <c r="O551" i="2"/>
  <c r="Q550" i="2"/>
  <c r="O550" i="2"/>
  <c r="R549" i="2"/>
  <c r="Q549" i="2"/>
  <c r="O549" i="2"/>
  <c r="O557" i="2" s="1"/>
  <c r="O558" i="2" s="1"/>
  <c r="M543" i="2"/>
  <c r="Q542" i="2"/>
  <c r="O542" i="2"/>
  <c r="Q541" i="2"/>
  <c r="O541" i="2"/>
  <c r="Q540" i="2"/>
  <c r="O540" i="2"/>
  <c r="Q539" i="2"/>
  <c r="O539" i="2"/>
  <c r="Q538" i="2"/>
  <c r="O538" i="2"/>
  <c r="Q537" i="2"/>
  <c r="O537" i="2"/>
  <c r="Q536" i="2"/>
  <c r="O536" i="2"/>
  <c r="R535" i="2"/>
  <c r="Q535" i="2"/>
  <c r="O535" i="2"/>
  <c r="D543" i="2"/>
  <c r="H542" i="2"/>
  <c r="F542" i="2"/>
  <c r="H541" i="2"/>
  <c r="F541" i="2"/>
  <c r="H540" i="2"/>
  <c r="F540" i="2"/>
  <c r="H539" i="2"/>
  <c r="F539" i="2"/>
  <c r="H538" i="2"/>
  <c r="F538" i="2"/>
  <c r="C538" i="2"/>
  <c r="H537" i="2"/>
  <c r="F537" i="2"/>
  <c r="C537" i="2"/>
  <c r="H536" i="2"/>
  <c r="F536" i="2"/>
  <c r="C536" i="2"/>
  <c r="I535" i="2"/>
  <c r="H535" i="2"/>
  <c r="F535" i="2"/>
  <c r="C535" i="2"/>
  <c r="Q557" i="2" l="1"/>
  <c r="Q558" i="2" s="1"/>
  <c r="I558" i="2"/>
  <c r="I573" i="2"/>
  <c r="J34" i="5"/>
  <c r="Q543" i="2"/>
  <c r="Q544" i="2" s="1"/>
  <c r="O543" i="2"/>
  <c r="O544" i="2" s="1"/>
  <c r="R558" i="2"/>
  <c r="H543" i="2"/>
  <c r="H544" i="2" s="1"/>
  <c r="F543" i="2"/>
  <c r="F544" i="2" s="1"/>
  <c r="O520" i="2"/>
  <c r="F520" i="2"/>
  <c r="M528" i="2"/>
  <c r="Q527" i="2"/>
  <c r="O527" i="2"/>
  <c r="Q526" i="2"/>
  <c r="O526" i="2"/>
  <c r="Q525" i="2"/>
  <c r="O525" i="2"/>
  <c r="Q524" i="2"/>
  <c r="O524" i="2"/>
  <c r="Q523" i="2"/>
  <c r="O523" i="2"/>
  <c r="L523" i="2"/>
  <c r="Q522" i="2"/>
  <c r="O522" i="2"/>
  <c r="L522" i="2"/>
  <c r="Q521" i="2"/>
  <c r="O521" i="2"/>
  <c r="L521" i="2"/>
  <c r="R520" i="2"/>
  <c r="Q520" i="2"/>
  <c r="L520" i="2"/>
  <c r="I544" i="2" l="1"/>
  <c r="R544" i="2"/>
  <c r="O528" i="2"/>
  <c r="O529" i="2" s="1"/>
  <c r="Q528" i="2"/>
  <c r="Q529" i="2" s="1"/>
  <c r="C89" i="3"/>
  <c r="G88" i="3"/>
  <c r="E88" i="3"/>
  <c r="G87" i="3"/>
  <c r="E87" i="3"/>
  <c r="G86" i="3"/>
  <c r="E86" i="3"/>
  <c r="G85" i="3"/>
  <c r="E85" i="3"/>
  <c r="G84" i="3"/>
  <c r="E84" i="3"/>
  <c r="B84" i="3"/>
  <c r="G83" i="3"/>
  <c r="E83" i="3"/>
  <c r="B83" i="3"/>
  <c r="G82" i="3"/>
  <c r="G89" i="3" s="1"/>
  <c r="G90" i="3" s="1"/>
  <c r="E82" i="3"/>
  <c r="E89" i="3" s="1"/>
  <c r="E90" i="3" s="1"/>
  <c r="B82" i="3"/>
  <c r="H81" i="3"/>
  <c r="G81" i="3"/>
  <c r="E81" i="3"/>
  <c r="B81" i="3"/>
  <c r="D528" i="2"/>
  <c r="H527" i="2"/>
  <c r="F527" i="2"/>
  <c r="H526" i="2"/>
  <c r="F526" i="2"/>
  <c r="H525" i="2"/>
  <c r="F525" i="2"/>
  <c r="H524" i="2"/>
  <c r="F524" i="2"/>
  <c r="H523" i="2"/>
  <c r="F523" i="2"/>
  <c r="C523" i="2"/>
  <c r="H522" i="2"/>
  <c r="F522" i="2"/>
  <c r="C522" i="2"/>
  <c r="H521" i="2"/>
  <c r="F521" i="2"/>
  <c r="C521" i="2"/>
  <c r="I520" i="2"/>
  <c r="H520" i="2"/>
  <c r="C520" i="2"/>
  <c r="R529" i="2" l="1"/>
  <c r="F528" i="2"/>
  <c r="F529" i="2" s="1"/>
  <c r="H528" i="2"/>
  <c r="H529" i="2" s="1"/>
  <c r="H90" i="3"/>
  <c r="M513" i="2"/>
  <c r="Q512" i="2"/>
  <c r="O512" i="2"/>
  <c r="Q511" i="2"/>
  <c r="O511" i="2"/>
  <c r="Q510" i="2"/>
  <c r="O510" i="2"/>
  <c r="Q509" i="2"/>
  <c r="O509" i="2"/>
  <c r="Q508" i="2"/>
  <c r="O508" i="2"/>
  <c r="L508" i="2"/>
  <c r="Q507" i="2"/>
  <c r="O507" i="2"/>
  <c r="L507" i="2"/>
  <c r="Q506" i="2"/>
  <c r="O506" i="2"/>
  <c r="L506" i="2"/>
  <c r="R505" i="2"/>
  <c r="Q505" i="2"/>
  <c r="O505" i="2"/>
  <c r="L505" i="2"/>
  <c r="D513" i="2"/>
  <c r="H512" i="2"/>
  <c r="F512" i="2"/>
  <c r="H511" i="2"/>
  <c r="F511" i="2"/>
  <c r="H510" i="2"/>
  <c r="F510" i="2"/>
  <c r="H509" i="2"/>
  <c r="F509" i="2"/>
  <c r="H508" i="2"/>
  <c r="F508" i="2"/>
  <c r="C508" i="2"/>
  <c r="H507" i="2"/>
  <c r="F507" i="2"/>
  <c r="C507" i="2"/>
  <c r="H506" i="2"/>
  <c r="F506" i="2"/>
  <c r="C506" i="2"/>
  <c r="I505" i="2"/>
  <c r="H505" i="2"/>
  <c r="F505" i="2"/>
  <c r="C505" i="2"/>
  <c r="I17" i="5"/>
  <c r="E16" i="5"/>
  <c r="D11" i="5"/>
  <c r="D10" i="5"/>
  <c r="D9" i="5"/>
  <c r="D8" i="5"/>
  <c r="I529" i="2" l="1"/>
  <c r="F513" i="2"/>
  <c r="F514" i="2" s="1"/>
  <c r="Q513" i="2"/>
  <c r="Q514" i="2" s="1"/>
  <c r="O513" i="2"/>
  <c r="O514" i="2" s="1"/>
  <c r="H513" i="2"/>
  <c r="H514" i="2" s="1"/>
  <c r="H475" i="2"/>
  <c r="F357" i="2"/>
  <c r="O342" i="2"/>
  <c r="F342" i="2"/>
  <c r="F327" i="2"/>
  <c r="O327" i="2"/>
  <c r="O312" i="2"/>
  <c r="F312" i="2"/>
  <c r="F297" i="2"/>
  <c r="O297" i="2"/>
  <c r="F283" i="2"/>
  <c r="O268" i="2"/>
  <c r="O238" i="2"/>
  <c r="F253" i="2"/>
  <c r="I514" i="2" l="1"/>
  <c r="R514" i="2"/>
  <c r="M498" i="2"/>
  <c r="Q497" i="2"/>
  <c r="O497" i="2"/>
  <c r="Q496" i="2"/>
  <c r="O496" i="2"/>
  <c r="Q495" i="2"/>
  <c r="O495" i="2"/>
  <c r="Q494" i="2"/>
  <c r="O494" i="2"/>
  <c r="Q493" i="2"/>
  <c r="O493" i="2"/>
  <c r="L493" i="2"/>
  <c r="Q492" i="2"/>
  <c r="O492" i="2"/>
  <c r="L492" i="2"/>
  <c r="Q491" i="2"/>
  <c r="O491" i="2"/>
  <c r="L491" i="2"/>
  <c r="R490" i="2"/>
  <c r="Q490" i="2"/>
  <c r="O490" i="2"/>
  <c r="L490" i="2"/>
  <c r="Q498" i="2" l="1"/>
  <c r="Q499" i="2"/>
  <c r="O498" i="2"/>
  <c r="O499" i="2" s="1"/>
  <c r="R499" i="2" s="1"/>
  <c r="D498" i="2"/>
  <c r="H497" i="2"/>
  <c r="F497" i="2"/>
  <c r="H496" i="2"/>
  <c r="F496" i="2"/>
  <c r="H495" i="2"/>
  <c r="F495" i="2"/>
  <c r="H494" i="2"/>
  <c r="F494" i="2"/>
  <c r="H493" i="2"/>
  <c r="F493" i="2"/>
  <c r="C493" i="2"/>
  <c r="H492" i="2"/>
  <c r="F492" i="2"/>
  <c r="C492" i="2"/>
  <c r="H491" i="2"/>
  <c r="F491" i="2"/>
  <c r="C491" i="2"/>
  <c r="I490" i="2"/>
  <c r="H490" i="2"/>
  <c r="F490" i="2"/>
  <c r="C490" i="2"/>
  <c r="F498" i="2" l="1"/>
  <c r="F499" i="2" s="1"/>
  <c r="H498" i="2"/>
  <c r="H499" i="2" s="1"/>
  <c r="O475" i="2"/>
  <c r="I499" i="2" l="1"/>
  <c r="M483" i="2"/>
  <c r="Q482" i="2"/>
  <c r="O482" i="2"/>
  <c r="Q481" i="2"/>
  <c r="O481" i="2"/>
  <c r="Q480" i="2"/>
  <c r="O480" i="2"/>
  <c r="Q479" i="2"/>
  <c r="O479" i="2"/>
  <c r="Q478" i="2"/>
  <c r="O478" i="2"/>
  <c r="L478" i="2"/>
  <c r="Q477" i="2"/>
  <c r="O477" i="2"/>
  <c r="L477" i="2"/>
  <c r="Q476" i="2"/>
  <c r="O476" i="2"/>
  <c r="L476" i="2"/>
  <c r="R475" i="2"/>
  <c r="Q475" i="2"/>
  <c r="L475" i="2"/>
  <c r="O483" i="2" l="1"/>
  <c r="O484" i="2" s="1"/>
  <c r="Q483" i="2"/>
  <c r="Q484" i="2" s="1"/>
  <c r="D483" i="2"/>
  <c r="H482" i="2"/>
  <c r="F482" i="2"/>
  <c r="H481" i="2"/>
  <c r="F481" i="2"/>
  <c r="H480" i="2"/>
  <c r="F480" i="2"/>
  <c r="H479" i="2"/>
  <c r="F479" i="2"/>
  <c r="H478" i="2"/>
  <c r="F478" i="2"/>
  <c r="C478" i="2"/>
  <c r="H477" i="2"/>
  <c r="F477" i="2"/>
  <c r="C477" i="2"/>
  <c r="H476" i="2"/>
  <c r="F476" i="2"/>
  <c r="C476" i="2"/>
  <c r="I475" i="2"/>
  <c r="F475" i="2"/>
  <c r="C475" i="2"/>
  <c r="E53" i="3"/>
  <c r="F462" i="2"/>
  <c r="C462" i="2"/>
  <c r="R484" i="2" l="1"/>
  <c r="F483" i="2"/>
  <c r="F484" i="2" s="1"/>
  <c r="H483" i="2"/>
  <c r="H484" i="2" s="1"/>
  <c r="M454" i="2"/>
  <c r="Q453" i="2"/>
  <c r="O453" i="2"/>
  <c r="Q452" i="2"/>
  <c r="O452" i="2"/>
  <c r="Q451" i="2"/>
  <c r="O451" i="2"/>
  <c r="Q450" i="2"/>
  <c r="O450" i="2"/>
  <c r="Q449" i="2"/>
  <c r="O449" i="2"/>
  <c r="Q448" i="2"/>
  <c r="O448" i="2"/>
  <c r="Q447" i="2"/>
  <c r="O447" i="2"/>
  <c r="R446" i="2"/>
  <c r="Q446" i="2"/>
  <c r="O446" i="2"/>
  <c r="Q454" i="2" l="1"/>
  <c r="Q455" i="2" s="1"/>
  <c r="I484" i="2"/>
  <c r="O454" i="2"/>
  <c r="O455" i="2" s="1"/>
  <c r="D454" i="2"/>
  <c r="H453" i="2"/>
  <c r="F453" i="2"/>
  <c r="H452" i="2"/>
  <c r="F452" i="2"/>
  <c r="H451" i="2"/>
  <c r="F451" i="2"/>
  <c r="H450" i="2"/>
  <c r="F450" i="2"/>
  <c r="H449" i="2"/>
  <c r="F449" i="2"/>
  <c r="H448" i="2"/>
  <c r="F448" i="2"/>
  <c r="H447" i="2"/>
  <c r="F447" i="2"/>
  <c r="I446" i="2"/>
  <c r="H446" i="2"/>
  <c r="F446" i="2"/>
  <c r="R455" i="2" l="1"/>
  <c r="F454" i="2"/>
  <c r="H454" i="2"/>
  <c r="M469" i="2"/>
  <c r="Q468" i="2"/>
  <c r="O468" i="2"/>
  <c r="Q467" i="2"/>
  <c r="O467" i="2"/>
  <c r="Q466" i="2"/>
  <c r="O466" i="2"/>
  <c r="Q465" i="2"/>
  <c r="O465" i="2"/>
  <c r="Q464" i="2"/>
  <c r="O464" i="2"/>
  <c r="Q463" i="2"/>
  <c r="O463" i="2"/>
  <c r="Q462" i="2"/>
  <c r="O462" i="2"/>
  <c r="R461" i="2"/>
  <c r="Q461" i="2"/>
  <c r="O461" i="2"/>
  <c r="H461" i="2"/>
  <c r="F461" i="2"/>
  <c r="D469" i="2"/>
  <c r="H468" i="2"/>
  <c r="F468" i="2"/>
  <c r="H467" i="2"/>
  <c r="F467" i="2"/>
  <c r="H466" i="2"/>
  <c r="F466" i="2"/>
  <c r="H465" i="2"/>
  <c r="F465" i="2"/>
  <c r="H462" i="2"/>
  <c r="H464" i="2"/>
  <c r="F464" i="2"/>
  <c r="C464" i="2"/>
  <c r="H463" i="2"/>
  <c r="F463" i="2"/>
  <c r="C463" i="2"/>
  <c r="I461" i="2"/>
  <c r="C461" i="2"/>
  <c r="H68" i="3"/>
  <c r="B69" i="3"/>
  <c r="B68" i="3"/>
  <c r="C74" i="3"/>
  <c r="G73" i="3"/>
  <c r="E73" i="3"/>
  <c r="G72" i="3"/>
  <c r="E72" i="3"/>
  <c r="G71" i="3"/>
  <c r="E71" i="3"/>
  <c r="G70" i="3"/>
  <c r="E70" i="3"/>
  <c r="G69" i="3"/>
  <c r="E69" i="3"/>
  <c r="G68" i="3"/>
  <c r="E68" i="3"/>
  <c r="C61" i="3"/>
  <c r="G60" i="3"/>
  <c r="E60" i="3"/>
  <c r="G59" i="3"/>
  <c r="E59" i="3"/>
  <c r="G58" i="3"/>
  <c r="E58" i="3"/>
  <c r="G57" i="3"/>
  <c r="E57" i="3"/>
  <c r="G56" i="3"/>
  <c r="E56" i="3"/>
  <c r="B56" i="3"/>
  <c r="G55" i="3"/>
  <c r="E55" i="3"/>
  <c r="B55" i="3"/>
  <c r="G54" i="3"/>
  <c r="E54" i="3"/>
  <c r="B54" i="3"/>
  <c r="H53" i="3"/>
  <c r="G53" i="3"/>
  <c r="B53" i="3"/>
  <c r="C449" i="2"/>
  <c r="C448" i="2"/>
  <c r="C447" i="2"/>
  <c r="C446" i="2"/>
  <c r="D439" i="2"/>
  <c r="H438" i="2"/>
  <c r="F438" i="2"/>
  <c r="H437" i="2"/>
  <c r="F437" i="2"/>
  <c r="H436" i="2"/>
  <c r="F436" i="2"/>
  <c r="H435" i="2"/>
  <c r="F435" i="2"/>
  <c r="H434" i="2"/>
  <c r="F434" i="2"/>
  <c r="C434" i="2"/>
  <c r="H433" i="2"/>
  <c r="F433" i="2"/>
  <c r="C433" i="2"/>
  <c r="H432" i="2"/>
  <c r="F432" i="2"/>
  <c r="C432" i="2"/>
  <c r="I431" i="2"/>
  <c r="H431" i="2"/>
  <c r="F431" i="2"/>
  <c r="C431" i="2"/>
  <c r="D425" i="2"/>
  <c r="H424" i="2"/>
  <c r="F424" i="2"/>
  <c r="H423" i="2"/>
  <c r="F423" i="2"/>
  <c r="H422" i="2"/>
  <c r="F422" i="2"/>
  <c r="H421" i="2"/>
  <c r="F421" i="2"/>
  <c r="H420" i="2"/>
  <c r="F420" i="2"/>
  <c r="C420" i="2"/>
  <c r="H419" i="2"/>
  <c r="F419" i="2"/>
  <c r="C419" i="2"/>
  <c r="H418" i="2"/>
  <c r="F418" i="2"/>
  <c r="C418" i="2"/>
  <c r="I417" i="2"/>
  <c r="H417" i="2"/>
  <c r="F417" i="2"/>
  <c r="C417" i="2"/>
  <c r="H425" i="2" l="1"/>
  <c r="H426" i="2" s="1"/>
  <c r="F425" i="2"/>
  <c r="F426" i="2" s="1"/>
  <c r="O469" i="2"/>
  <c r="O470" i="2" s="1"/>
  <c r="Q469" i="2"/>
  <c r="Q470" i="2" s="1"/>
  <c r="H455" i="2"/>
  <c r="F455" i="2"/>
  <c r="H469" i="2"/>
  <c r="H470" i="2" s="1"/>
  <c r="F469" i="2"/>
  <c r="F470" i="2" s="1"/>
  <c r="G61" i="3"/>
  <c r="G62" i="3" s="1"/>
  <c r="E61" i="3"/>
  <c r="E62" i="3" s="1"/>
  <c r="H62" i="3" s="1"/>
  <c r="G74" i="3"/>
  <c r="G75" i="3" s="1"/>
  <c r="E74" i="3"/>
  <c r="E75" i="3" s="1"/>
  <c r="F439" i="2"/>
  <c r="F440" i="2" s="1"/>
  <c r="H439" i="2"/>
  <c r="H440" i="2" s="1"/>
  <c r="I426" i="2" l="1"/>
  <c r="R470" i="2"/>
  <c r="I455" i="2"/>
  <c r="I440" i="2"/>
  <c r="I470" i="2"/>
  <c r="H75" i="3"/>
  <c r="D410" i="2"/>
  <c r="H409" i="2"/>
  <c r="F409" i="2"/>
  <c r="H408" i="2"/>
  <c r="F408" i="2"/>
  <c r="H407" i="2"/>
  <c r="F407" i="2"/>
  <c r="H406" i="2"/>
  <c r="F406" i="2"/>
  <c r="H405" i="2"/>
  <c r="F405" i="2"/>
  <c r="C405" i="2"/>
  <c r="H404" i="2"/>
  <c r="F404" i="2"/>
  <c r="C404" i="2"/>
  <c r="H403" i="2"/>
  <c r="F403" i="2"/>
  <c r="C403" i="2"/>
  <c r="I402" i="2"/>
  <c r="H402" i="2"/>
  <c r="F402" i="2"/>
  <c r="C402" i="2"/>
  <c r="D392" i="2"/>
  <c r="H391" i="2"/>
  <c r="F391" i="2"/>
  <c r="H390" i="2"/>
  <c r="F390" i="2"/>
  <c r="H389" i="2"/>
  <c r="F389" i="2"/>
  <c r="H388" i="2"/>
  <c r="F388" i="2"/>
  <c r="H387" i="2"/>
  <c r="F387" i="2"/>
  <c r="C387" i="2"/>
  <c r="H386" i="2"/>
  <c r="F386" i="2"/>
  <c r="C386" i="2"/>
  <c r="H385" i="2"/>
  <c r="F385" i="2"/>
  <c r="C385" i="2"/>
  <c r="I384" i="2"/>
  <c r="H384" i="2"/>
  <c r="F384" i="2"/>
  <c r="C384" i="2"/>
  <c r="H410" i="2" l="1"/>
  <c r="H411" i="2" s="1"/>
  <c r="F410" i="2"/>
  <c r="F411" i="2" s="1"/>
  <c r="I411" i="2" s="1"/>
  <c r="H392" i="2"/>
  <c r="H393" i="2" s="1"/>
  <c r="F392" i="2"/>
  <c r="F393" i="2" s="1"/>
  <c r="I393" i="2"/>
  <c r="D377" i="2"/>
  <c r="H376" i="2"/>
  <c r="F376" i="2"/>
  <c r="H375" i="2"/>
  <c r="F375" i="2"/>
  <c r="H374" i="2"/>
  <c r="F374" i="2"/>
  <c r="H373" i="2"/>
  <c r="F373" i="2"/>
  <c r="H372" i="2"/>
  <c r="F372" i="2"/>
  <c r="C372" i="2"/>
  <c r="H371" i="2"/>
  <c r="F371" i="2"/>
  <c r="C371" i="2"/>
  <c r="H370" i="2"/>
  <c r="F370" i="2"/>
  <c r="C370" i="2"/>
  <c r="I369" i="2"/>
  <c r="H369" i="2"/>
  <c r="F369" i="2"/>
  <c r="C369" i="2"/>
  <c r="M361" i="2"/>
  <c r="Q360" i="2"/>
  <c r="O360" i="2"/>
  <c r="Q359" i="2"/>
  <c r="O359" i="2"/>
  <c r="Q358" i="2"/>
  <c r="O358" i="2"/>
  <c r="Q357" i="2"/>
  <c r="O357" i="2"/>
  <c r="Q356" i="2"/>
  <c r="O356" i="2"/>
  <c r="Q355" i="2"/>
  <c r="O355" i="2"/>
  <c r="R354" i="2"/>
  <c r="L356" i="2" s="1"/>
  <c r="Q354" i="2"/>
  <c r="O354" i="2"/>
  <c r="H377" i="2" l="1"/>
  <c r="H378" i="2" s="1"/>
  <c r="F377" i="2"/>
  <c r="F378" i="2" s="1"/>
  <c r="L354" i="2"/>
  <c r="O361" i="2"/>
  <c r="O362" i="2" s="1"/>
  <c r="Q361" i="2"/>
  <c r="Q362" i="2" s="1"/>
  <c r="R362" i="2" s="1"/>
  <c r="L355" i="2"/>
  <c r="I378" i="2" l="1"/>
  <c r="M377" i="2"/>
  <c r="Q376" i="2"/>
  <c r="O376" i="2"/>
  <c r="Q375" i="2"/>
  <c r="O375" i="2"/>
  <c r="Q374" i="2"/>
  <c r="O374" i="2"/>
  <c r="Q373" i="2"/>
  <c r="O373" i="2"/>
  <c r="Q372" i="2"/>
  <c r="O372" i="2"/>
  <c r="L372" i="2"/>
  <c r="Q371" i="2"/>
  <c r="O371" i="2"/>
  <c r="L371" i="2"/>
  <c r="Q370" i="2"/>
  <c r="O370" i="2"/>
  <c r="L370" i="2"/>
  <c r="R369" i="2"/>
  <c r="Q369" i="2"/>
  <c r="O369" i="2"/>
  <c r="L369" i="2"/>
  <c r="Q377" i="2" l="1"/>
  <c r="Q378" i="2" s="1"/>
  <c r="O377" i="2"/>
  <c r="O378" i="2" s="1"/>
  <c r="R378" i="2" l="1"/>
  <c r="M332" i="2"/>
  <c r="Q331" i="2"/>
  <c r="O331" i="2"/>
  <c r="Q330" i="2"/>
  <c r="O330" i="2"/>
  <c r="Q329" i="2"/>
  <c r="O329" i="2"/>
  <c r="Q328" i="2"/>
  <c r="O328" i="2"/>
  <c r="Q327" i="2"/>
  <c r="L327" i="2"/>
  <c r="Q326" i="2"/>
  <c r="O326" i="2"/>
  <c r="L326" i="2"/>
  <c r="Q325" i="2"/>
  <c r="O325" i="2"/>
  <c r="L325" i="2"/>
  <c r="R324" i="2"/>
  <c r="Q324" i="2"/>
  <c r="O324" i="2"/>
  <c r="L324" i="2"/>
  <c r="D362" i="2"/>
  <c r="H361" i="2"/>
  <c r="F361" i="2"/>
  <c r="H360" i="2"/>
  <c r="F360" i="2"/>
  <c r="H359" i="2"/>
  <c r="F359" i="2"/>
  <c r="H358" i="2"/>
  <c r="F358" i="2"/>
  <c r="H357" i="2"/>
  <c r="C357" i="2"/>
  <c r="H356" i="2"/>
  <c r="F356" i="2"/>
  <c r="C356" i="2"/>
  <c r="H355" i="2"/>
  <c r="F355" i="2"/>
  <c r="C355" i="2"/>
  <c r="I354" i="2"/>
  <c r="H354" i="2"/>
  <c r="F354" i="2"/>
  <c r="C354" i="2"/>
  <c r="O332" i="2" l="1"/>
  <c r="O333" i="2" s="1"/>
  <c r="Q332" i="2"/>
  <c r="Q333" i="2" s="1"/>
  <c r="H362" i="2"/>
  <c r="H363" i="2" s="1"/>
  <c r="F362" i="2"/>
  <c r="F363" i="2" s="1"/>
  <c r="M347" i="2"/>
  <c r="Q346" i="2"/>
  <c r="O346" i="2"/>
  <c r="Q345" i="2"/>
  <c r="O345" i="2"/>
  <c r="Q344" i="2"/>
  <c r="O344" i="2"/>
  <c r="Q343" i="2"/>
  <c r="O343" i="2"/>
  <c r="Q342" i="2"/>
  <c r="L342" i="2"/>
  <c r="Q341" i="2"/>
  <c r="O341" i="2"/>
  <c r="L341" i="2"/>
  <c r="Q340" i="2"/>
  <c r="O340" i="2"/>
  <c r="L340" i="2"/>
  <c r="R339" i="2"/>
  <c r="Q339" i="2"/>
  <c r="O339" i="2"/>
  <c r="L339" i="2"/>
  <c r="D69" i="4"/>
  <c r="H68" i="4"/>
  <c r="F68" i="4"/>
  <c r="H67" i="4"/>
  <c r="F67" i="4"/>
  <c r="H66" i="4"/>
  <c r="F66" i="4"/>
  <c r="C66" i="4"/>
  <c r="H65" i="4"/>
  <c r="F65" i="4"/>
  <c r="C65" i="4"/>
  <c r="H64" i="4"/>
  <c r="F64" i="4"/>
  <c r="C64" i="4"/>
  <c r="H63" i="4"/>
  <c r="F63" i="4"/>
  <c r="C63" i="4"/>
  <c r="H62" i="4"/>
  <c r="F62" i="4"/>
  <c r="C62" i="4"/>
  <c r="I61" i="4"/>
  <c r="H61" i="4"/>
  <c r="F61" i="4"/>
  <c r="C61" i="4"/>
  <c r="M55" i="4"/>
  <c r="Q54" i="4"/>
  <c r="O54" i="4"/>
  <c r="Q53" i="4"/>
  <c r="O53" i="4"/>
  <c r="Q52" i="4"/>
  <c r="O52" i="4"/>
  <c r="L52" i="4"/>
  <c r="Q51" i="4"/>
  <c r="O51" i="4"/>
  <c r="L51" i="4"/>
  <c r="Q50" i="4"/>
  <c r="O50" i="4"/>
  <c r="L50" i="4"/>
  <c r="Q49" i="4"/>
  <c r="O49" i="4"/>
  <c r="L49" i="4"/>
  <c r="Q48" i="4"/>
  <c r="O48" i="4"/>
  <c r="L48" i="4"/>
  <c r="Q47" i="4"/>
  <c r="O47" i="4"/>
  <c r="L47" i="4"/>
  <c r="Q46" i="4"/>
  <c r="Q55" i="4" s="1"/>
  <c r="O46" i="4"/>
  <c r="O55" i="4" s="1"/>
  <c r="O56" i="4" s="1"/>
  <c r="L46" i="4"/>
  <c r="M40" i="4"/>
  <c r="Q39" i="4"/>
  <c r="O39" i="4"/>
  <c r="Q38" i="4"/>
  <c r="O38" i="4"/>
  <c r="Q37" i="4"/>
  <c r="O37" i="4"/>
  <c r="L37" i="4"/>
  <c r="Q36" i="4"/>
  <c r="O36" i="4"/>
  <c r="L36" i="4"/>
  <c r="Q35" i="4"/>
  <c r="O35" i="4"/>
  <c r="L35" i="4"/>
  <c r="Q34" i="4"/>
  <c r="O34" i="4"/>
  <c r="L34" i="4"/>
  <c r="Q33" i="4"/>
  <c r="O33" i="4"/>
  <c r="L33" i="4"/>
  <c r="R32" i="4"/>
  <c r="Q32" i="4"/>
  <c r="O32" i="4"/>
  <c r="L32" i="4"/>
  <c r="M26" i="4"/>
  <c r="Q25" i="4"/>
  <c r="O25" i="4"/>
  <c r="Q24" i="4"/>
  <c r="O24" i="4"/>
  <c r="Q23" i="4"/>
  <c r="O23" i="4"/>
  <c r="L23" i="4"/>
  <c r="Q22" i="4"/>
  <c r="O22" i="4"/>
  <c r="L22" i="4"/>
  <c r="Q21" i="4"/>
  <c r="O21" i="4"/>
  <c r="L21" i="4"/>
  <c r="Q20" i="4"/>
  <c r="O20" i="4"/>
  <c r="L20" i="4"/>
  <c r="Q19" i="4"/>
  <c r="O19" i="4"/>
  <c r="L19" i="4"/>
  <c r="R18" i="4"/>
  <c r="Q18" i="4"/>
  <c r="O18" i="4"/>
  <c r="L18" i="4"/>
  <c r="M12" i="4"/>
  <c r="Q11" i="4"/>
  <c r="O11" i="4"/>
  <c r="Q10" i="4"/>
  <c r="O10" i="4"/>
  <c r="Q9" i="4"/>
  <c r="O9" i="4"/>
  <c r="L9" i="4"/>
  <c r="Q8" i="4"/>
  <c r="O8" i="4"/>
  <c r="L8" i="4"/>
  <c r="Q7" i="4"/>
  <c r="O7" i="4"/>
  <c r="L7" i="4"/>
  <c r="Q6" i="4"/>
  <c r="O6" i="4"/>
  <c r="L6" i="4"/>
  <c r="Q5" i="4"/>
  <c r="O5" i="4"/>
  <c r="L5" i="4"/>
  <c r="R4" i="4"/>
  <c r="Q4" i="4"/>
  <c r="O4" i="4"/>
  <c r="L4" i="4"/>
  <c r="D54" i="4"/>
  <c r="H53" i="4"/>
  <c r="F53" i="4"/>
  <c r="H52" i="4"/>
  <c r="F52" i="4"/>
  <c r="H51" i="4"/>
  <c r="F51" i="4"/>
  <c r="H50" i="4"/>
  <c r="F50" i="4"/>
  <c r="H49" i="4"/>
  <c r="F49" i="4"/>
  <c r="C49" i="4"/>
  <c r="H48" i="4"/>
  <c r="F48" i="4"/>
  <c r="C48" i="4"/>
  <c r="H47" i="4"/>
  <c r="F47" i="4"/>
  <c r="C47" i="4"/>
  <c r="I46" i="4"/>
  <c r="H46" i="4"/>
  <c r="F46" i="4"/>
  <c r="C46" i="4"/>
  <c r="D40" i="4"/>
  <c r="H39" i="4"/>
  <c r="F39" i="4"/>
  <c r="H38" i="4"/>
  <c r="F38" i="4"/>
  <c r="H37" i="4"/>
  <c r="F37" i="4"/>
  <c r="H36" i="4"/>
  <c r="F36" i="4"/>
  <c r="H35" i="4"/>
  <c r="F35" i="4"/>
  <c r="C35" i="4"/>
  <c r="H34" i="4"/>
  <c r="F34" i="4"/>
  <c r="F40" i="4" s="1"/>
  <c r="C34" i="4"/>
  <c r="H33" i="4"/>
  <c r="F33" i="4"/>
  <c r="C33" i="4"/>
  <c r="I32" i="4"/>
  <c r="H32" i="4"/>
  <c r="F32" i="4"/>
  <c r="C32" i="4"/>
  <c r="D26" i="4"/>
  <c r="H25" i="4"/>
  <c r="F25" i="4"/>
  <c r="H24" i="4"/>
  <c r="F24" i="4"/>
  <c r="H23" i="4"/>
  <c r="F23" i="4"/>
  <c r="H22" i="4"/>
  <c r="F22" i="4"/>
  <c r="H21" i="4"/>
  <c r="F21" i="4"/>
  <c r="C21" i="4"/>
  <c r="H20" i="4"/>
  <c r="F20" i="4"/>
  <c r="F26" i="4" s="1"/>
  <c r="F27" i="4" s="1"/>
  <c r="C20" i="4"/>
  <c r="H19" i="4"/>
  <c r="F19" i="4"/>
  <c r="C19" i="4"/>
  <c r="I18" i="4"/>
  <c r="H18" i="4"/>
  <c r="F18" i="4"/>
  <c r="C18" i="4"/>
  <c r="D12" i="4"/>
  <c r="H11" i="4"/>
  <c r="F11" i="4"/>
  <c r="H10" i="4"/>
  <c r="F10" i="4"/>
  <c r="H9" i="4"/>
  <c r="F9" i="4"/>
  <c r="C9" i="4"/>
  <c r="H8" i="4"/>
  <c r="F8" i="4"/>
  <c r="C8" i="4"/>
  <c r="H7" i="4"/>
  <c r="F7" i="4"/>
  <c r="C7" i="4"/>
  <c r="H6" i="4"/>
  <c r="F6" i="4"/>
  <c r="C6" i="4"/>
  <c r="H5" i="4"/>
  <c r="F5" i="4"/>
  <c r="C5" i="4"/>
  <c r="I4" i="4"/>
  <c r="H4" i="4"/>
  <c r="F4" i="4"/>
  <c r="C4" i="4"/>
  <c r="R333" i="2" l="1"/>
  <c r="I363" i="2"/>
  <c r="F41" i="4"/>
  <c r="Q26" i="4"/>
  <c r="Q27" i="4" s="1"/>
  <c r="Q12" i="4"/>
  <c r="Q13" i="4" s="1"/>
  <c r="F54" i="4"/>
  <c r="F55" i="4" s="1"/>
  <c r="F69" i="4"/>
  <c r="F70" i="4" s="1"/>
  <c r="H54" i="4"/>
  <c r="H55" i="4" s="1"/>
  <c r="H69" i="4"/>
  <c r="H70" i="4" s="1"/>
  <c r="I70" i="4" s="1"/>
  <c r="H26" i="4"/>
  <c r="H27" i="4" s="1"/>
  <c r="I27" i="4" s="1"/>
  <c r="O12" i="4"/>
  <c r="O13" i="4" s="1"/>
  <c r="F12" i="4"/>
  <c r="F13" i="4" s="1"/>
  <c r="H40" i="4"/>
  <c r="H41" i="4" s="1"/>
  <c r="I41" i="4" s="1"/>
  <c r="Q56" i="4"/>
  <c r="R56" i="4" s="1"/>
  <c r="H12" i="4"/>
  <c r="H13" i="4" s="1"/>
  <c r="O26" i="4"/>
  <c r="O27" i="4" s="1"/>
  <c r="Q347" i="2"/>
  <c r="Q348" i="2" s="1"/>
  <c r="O347" i="2"/>
  <c r="O348" i="2" s="1"/>
  <c r="O40" i="4"/>
  <c r="O41" i="4" s="1"/>
  <c r="Q40" i="4"/>
  <c r="Q41" i="4" s="1"/>
  <c r="R41" i="4"/>
  <c r="R13" i="4"/>
  <c r="I55" i="4"/>
  <c r="R27" i="4" l="1"/>
  <c r="I13" i="4"/>
  <c r="R348" i="2"/>
  <c r="C42" i="3" l="1"/>
  <c r="G41" i="3"/>
  <c r="E41" i="3"/>
  <c r="G40" i="3"/>
  <c r="E40" i="3"/>
  <c r="G39" i="3"/>
  <c r="E39" i="3"/>
  <c r="G38" i="3"/>
  <c r="E38" i="3"/>
  <c r="G37" i="3"/>
  <c r="E37" i="3"/>
  <c r="B37" i="3"/>
  <c r="G36" i="3"/>
  <c r="E36" i="3"/>
  <c r="B36" i="3"/>
  <c r="G35" i="3"/>
  <c r="E35" i="3"/>
  <c r="B35" i="3"/>
  <c r="H34" i="3"/>
  <c r="G34" i="3"/>
  <c r="E34" i="3"/>
  <c r="B34" i="3"/>
  <c r="E42" i="3" l="1"/>
  <c r="E43" i="3" s="1"/>
  <c r="G42" i="3"/>
  <c r="G43" i="3" s="1"/>
  <c r="H43" i="3" l="1"/>
  <c r="D347" i="2" l="1"/>
  <c r="H346" i="2"/>
  <c r="F346" i="2"/>
  <c r="H345" i="2"/>
  <c r="F345" i="2"/>
  <c r="H344" i="2"/>
  <c r="F344" i="2"/>
  <c r="H343" i="2"/>
  <c r="F343" i="2"/>
  <c r="H342" i="2"/>
  <c r="C342" i="2"/>
  <c r="H341" i="2"/>
  <c r="F341" i="2"/>
  <c r="C341" i="2"/>
  <c r="H340" i="2"/>
  <c r="F340" i="2"/>
  <c r="C340" i="2"/>
  <c r="I339" i="2"/>
  <c r="H339" i="2"/>
  <c r="F339" i="2"/>
  <c r="C339" i="2"/>
  <c r="F347" i="2" l="1"/>
  <c r="F348" i="2" s="1"/>
  <c r="H347" i="2"/>
  <c r="H348" i="2" s="1"/>
  <c r="I348" i="2" l="1"/>
  <c r="D332" i="2" l="1"/>
  <c r="H331" i="2"/>
  <c r="F331" i="2"/>
  <c r="H330" i="2"/>
  <c r="F330" i="2"/>
  <c r="H329" i="2"/>
  <c r="F329" i="2"/>
  <c r="H328" i="2"/>
  <c r="F328" i="2"/>
  <c r="H327" i="2"/>
  <c r="C327" i="2"/>
  <c r="H326" i="2"/>
  <c r="F326" i="2"/>
  <c r="C326" i="2"/>
  <c r="H325" i="2"/>
  <c r="F325" i="2"/>
  <c r="C325" i="2"/>
  <c r="I324" i="2"/>
  <c r="H324" i="2"/>
  <c r="F324" i="2"/>
  <c r="C324" i="2"/>
  <c r="M317" i="2"/>
  <c r="Q316" i="2"/>
  <c r="O316" i="2"/>
  <c r="Q315" i="2"/>
  <c r="O315" i="2"/>
  <c r="Q314" i="2"/>
  <c r="O314" i="2"/>
  <c r="Q313" i="2"/>
  <c r="O313" i="2"/>
  <c r="Q312" i="2"/>
  <c r="L312" i="2"/>
  <c r="Q311" i="2"/>
  <c r="O311" i="2"/>
  <c r="L311" i="2"/>
  <c r="Q310" i="2"/>
  <c r="O310" i="2"/>
  <c r="L310" i="2"/>
  <c r="R309" i="2"/>
  <c r="Q309" i="2"/>
  <c r="O309" i="2"/>
  <c r="L309" i="2"/>
  <c r="Q317" i="2" l="1"/>
  <c r="H332" i="2"/>
  <c r="H333" i="2" s="1"/>
  <c r="F332" i="2"/>
  <c r="F333" i="2" s="1"/>
  <c r="Q318" i="2"/>
  <c r="O317" i="2"/>
  <c r="O318" i="2" s="1"/>
  <c r="M302" i="2"/>
  <c r="Q301" i="2"/>
  <c r="O301" i="2"/>
  <c r="Q300" i="2"/>
  <c r="O300" i="2"/>
  <c r="Q299" i="2"/>
  <c r="O299" i="2"/>
  <c r="Q298" i="2"/>
  <c r="O298" i="2"/>
  <c r="Q297" i="2"/>
  <c r="L297" i="2"/>
  <c r="Q296" i="2"/>
  <c r="O296" i="2"/>
  <c r="L296" i="2"/>
  <c r="Q295" i="2"/>
  <c r="O295" i="2"/>
  <c r="L295" i="2"/>
  <c r="R294" i="2"/>
  <c r="Q294" i="2"/>
  <c r="O294" i="2"/>
  <c r="L294" i="2"/>
  <c r="C27" i="3"/>
  <c r="G26" i="3"/>
  <c r="E26" i="3"/>
  <c r="G25" i="3"/>
  <c r="E25" i="3"/>
  <c r="G24" i="3"/>
  <c r="E24" i="3"/>
  <c r="G23" i="3"/>
  <c r="E23" i="3"/>
  <c r="G22" i="3"/>
  <c r="E22" i="3"/>
  <c r="B22" i="3"/>
  <c r="G21" i="3"/>
  <c r="E21" i="3"/>
  <c r="B21" i="3"/>
  <c r="G20" i="3"/>
  <c r="E20" i="3"/>
  <c r="B20" i="3"/>
  <c r="H19" i="3"/>
  <c r="G19" i="3"/>
  <c r="E19" i="3"/>
  <c r="B19" i="3"/>
  <c r="O302" i="2" l="1"/>
  <c r="O303" i="2" s="1"/>
  <c r="Q302" i="2"/>
  <c r="Q303" i="2" s="1"/>
  <c r="I333" i="2"/>
  <c r="R318" i="2"/>
  <c r="G27" i="3"/>
  <c r="G28" i="3" s="1"/>
  <c r="E27" i="3"/>
  <c r="E28" i="3" s="1"/>
  <c r="C254" i="2"/>
  <c r="M12" i="3"/>
  <c r="Q11" i="3"/>
  <c r="O11" i="3"/>
  <c r="Q10" i="3"/>
  <c r="O10" i="3"/>
  <c r="Q9" i="3"/>
  <c r="O9" i="3"/>
  <c r="Q8" i="3"/>
  <c r="O8" i="3"/>
  <c r="Q7" i="3"/>
  <c r="O7" i="3"/>
  <c r="L7" i="3"/>
  <c r="Q6" i="3"/>
  <c r="O6" i="3"/>
  <c r="L6" i="3"/>
  <c r="Q5" i="3"/>
  <c r="O5" i="3"/>
  <c r="L5" i="3"/>
  <c r="R4" i="3"/>
  <c r="Q4" i="3"/>
  <c r="O4" i="3"/>
  <c r="L4" i="3"/>
  <c r="R303" i="2" l="1"/>
  <c r="H28" i="3"/>
  <c r="Q12" i="3"/>
  <c r="Q13" i="3" s="1"/>
  <c r="O12" i="3"/>
  <c r="O13" i="3" s="1"/>
  <c r="D302" i="2"/>
  <c r="H301" i="2"/>
  <c r="F301" i="2"/>
  <c r="H300" i="2"/>
  <c r="F300" i="2"/>
  <c r="H299" i="2"/>
  <c r="F299" i="2"/>
  <c r="H298" i="2"/>
  <c r="F298" i="2"/>
  <c r="H297" i="2"/>
  <c r="C297" i="2"/>
  <c r="H296" i="2"/>
  <c r="F296" i="2"/>
  <c r="C296" i="2"/>
  <c r="H295" i="2"/>
  <c r="F295" i="2"/>
  <c r="C295" i="2"/>
  <c r="I294" i="2"/>
  <c r="H294" i="2"/>
  <c r="F294" i="2"/>
  <c r="C294" i="2"/>
  <c r="H302" i="2" l="1"/>
  <c r="H303" i="2" s="1"/>
  <c r="F302" i="2"/>
  <c r="F303" i="2" s="1"/>
  <c r="R13" i="3"/>
  <c r="I303" i="2" l="1"/>
  <c r="C12" i="3"/>
  <c r="G11" i="3"/>
  <c r="E11" i="3"/>
  <c r="G10" i="3"/>
  <c r="E10" i="3"/>
  <c r="G9" i="3"/>
  <c r="E9" i="3"/>
  <c r="G8" i="3"/>
  <c r="E8" i="3"/>
  <c r="G7" i="3"/>
  <c r="E7" i="3"/>
  <c r="B7" i="3"/>
  <c r="G6" i="3"/>
  <c r="E6" i="3"/>
  <c r="B6" i="3"/>
  <c r="G5" i="3"/>
  <c r="E5" i="3"/>
  <c r="B5" i="3"/>
  <c r="H4" i="3"/>
  <c r="G4" i="3"/>
  <c r="E4" i="3"/>
  <c r="B4" i="3"/>
  <c r="G12" i="3" l="1"/>
  <c r="G13" i="3" s="1"/>
  <c r="E12" i="3"/>
  <c r="E13" i="3" s="1"/>
  <c r="H13" i="3" s="1"/>
  <c r="C312" i="2" l="1"/>
  <c r="C311" i="2"/>
  <c r="C310" i="2"/>
  <c r="C309" i="2"/>
  <c r="D317" i="2"/>
  <c r="H316" i="2"/>
  <c r="F316" i="2"/>
  <c r="H315" i="2"/>
  <c r="F315" i="2"/>
  <c r="H314" i="2"/>
  <c r="F314" i="2"/>
  <c r="H313" i="2"/>
  <c r="F313" i="2"/>
  <c r="H312" i="2"/>
  <c r="H311" i="2"/>
  <c r="F311" i="2"/>
  <c r="H310" i="2"/>
  <c r="F310" i="2"/>
  <c r="I309" i="2"/>
  <c r="H309" i="2"/>
  <c r="F309" i="2"/>
  <c r="F317" i="2" l="1"/>
  <c r="F318" i="2" s="1"/>
  <c r="H317" i="2"/>
  <c r="H318" i="2" s="1"/>
  <c r="D288" i="2"/>
  <c r="I318" i="2" l="1"/>
  <c r="I280" i="2"/>
  <c r="R280" i="2"/>
  <c r="R265" i="2"/>
  <c r="R250" i="2"/>
  <c r="I250" i="2"/>
  <c r="R235" i="2"/>
  <c r="I235" i="2"/>
  <c r="R221" i="2"/>
  <c r="I221" i="2"/>
  <c r="R206" i="2"/>
  <c r="I206" i="2"/>
  <c r="R191" i="2"/>
  <c r="I191" i="2"/>
  <c r="R176" i="2"/>
  <c r="I176" i="2"/>
  <c r="I161" i="2"/>
  <c r="I145" i="2"/>
  <c r="I130" i="2"/>
  <c r="I114" i="2"/>
  <c r="I98" i="2"/>
  <c r="I82" i="2"/>
  <c r="I66" i="2"/>
  <c r="I50" i="2"/>
  <c r="I35" i="2"/>
  <c r="I19" i="2"/>
  <c r="I5" i="2"/>
  <c r="C10" i="2"/>
  <c r="C24" i="2"/>
  <c r="C40" i="2"/>
  <c r="C55" i="2"/>
  <c r="C71" i="2"/>
  <c r="C87" i="2"/>
  <c r="C103" i="2"/>
  <c r="C150" i="2"/>
  <c r="C166" i="2"/>
  <c r="C181" i="2"/>
  <c r="L181" i="2"/>
  <c r="C196" i="2"/>
  <c r="L196" i="2"/>
  <c r="C211" i="2"/>
  <c r="L211" i="2"/>
  <c r="C226" i="2"/>
  <c r="L226" i="2"/>
  <c r="C240" i="2"/>
  <c r="L240" i="2"/>
  <c r="L255" i="2"/>
  <c r="C271" i="2"/>
  <c r="L270" i="2"/>
  <c r="C285" i="2"/>
  <c r="C270" i="2" l="1"/>
  <c r="C269" i="2"/>
  <c r="C267" i="2"/>
  <c r="C266" i="2"/>
  <c r="C268" i="2"/>
  <c r="C265" i="2"/>
  <c r="L134" i="2" l="1"/>
  <c r="L133" i="2"/>
  <c r="L132" i="2"/>
  <c r="L131" i="2"/>
  <c r="L130" i="2"/>
  <c r="L118" i="2"/>
  <c r="L117" i="2"/>
  <c r="L116" i="2"/>
  <c r="L115" i="2"/>
  <c r="L114" i="2"/>
  <c r="L102" i="2"/>
  <c r="L101" i="2"/>
  <c r="L100" i="2"/>
  <c r="L99" i="2"/>
  <c r="L98" i="2"/>
  <c r="L86" i="2"/>
  <c r="L85" i="2"/>
  <c r="L84" i="2"/>
  <c r="L83" i="2"/>
  <c r="L82" i="2"/>
  <c r="L70" i="2"/>
  <c r="L69" i="2"/>
  <c r="L68" i="2"/>
  <c r="L67" i="2"/>
  <c r="L66" i="2"/>
  <c r="L54" i="2"/>
  <c r="L53" i="2"/>
  <c r="L52" i="2"/>
  <c r="L51" i="2"/>
  <c r="L50" i="2"/>
  <c r="L39" i="2"/>
  <c r="L38" i="2"/>
  <c r="L37" i="2"/>
  <c r="L36" i="2"/>
  <c r="L35" i="2"/>
  <c r="L23" i="2"/>
  <c r="L22" i="2"/>
  <c r="L21" i="2"/>
  <c r="L20" i="2"/>
  <c r="L19" i="2"/>
  <c r="L9" i="2"/>
  <c r="L8" i="2"/>
  <c r="L7" i="2"/>
  <c r="L6" i="2"/>
  <c r="L5" i="2"/>
  <c r="C9" i="2"/>
  <c r="C8" i="2"/>
  <c r="C7" i="2"/>
  <c r="C6" i="2"/>
  <c r="C5" i="2"/>
  <c r="C23" i="2"/>
  <c r="C22" i="2"/>
  <c r="C21" i="2"/>
  <c r="C20" i="2"/>
  <c r="C19" i="2"/>
  <c r="C39" i="2"/>
  <c r="C38" i="2"/>
  <c r="C37" i="2"/>
  <c r="C36" i="2"/>
  <c r="C35" i="2"/>
  <c r="C54" i="2"/>
  <c r="C53" i="2"/>
  <c r="C52" i="2"/>
  <c r="C51" i="2"/>
  <c r="C50" i="2"/>
  <c r="C70" i="2"/>
  <c r="C69" i="2"/>
  <c r="C68" i="2"/>
  <c r="C67" i="2"/>
  <c r="C66" i="2"/>
  <c r="C86" i="2"/>
  <c r="C85" i="2"/>
  <c r="C84" i="2"/>
  <c r="C83" i="2"/>
  <c r="C82" i="2"/>
  <c r="C102" i="2"/>
  <c r="C101" i="2"/>
  <c r="C100" i="2"/>
  <c r="C99" i="2"/>
  <c r="C98" i="2"/>
  <c r="C117" i="2"/>
  <c r="C116" i="2"/>
  <c r="C115" i="2"/>
  <c r="C114" i="2"/>
  <c r="C133" i="2"/>
  <c r="C132" i="2"/>
  <c r="C131" i="2"/>
  <c r="C130" i="2"/>
  <c r="C149" i="2"/>
  <c r="C148" i="2"/>
  <c r="C147" i="2"/>
  <c r="C146" i="2"/>
  <c r="C145" i="2"/>
  <c r="C165" i="2"/>
  <c r="C164" i="2"/>
  <c r="C163" i="2"/>
  <c r="C162" i="2"/>
  <c r="C161" i="2"/>
  <c r="C180" i="2"/>
  <c r="C179" i="2"/>
  <c r="C178" i="2"/>
  <c r="C177" i="2"/>
  <c r="C176" i="2"/>
  <c r="L180" i="2"/>
  <c r="L179" i="2"/>
  <c r="L178" i="2"/>
  <c r="L177" i="2"/>
  <c r="L176" i="2"/>
  <c r="C195" i="2"/>
  <c r="C194" i="2"/>
  <c r="C193" i="2"/>
  <c r="C192" i="2"/>
  <c r="C191" i="2"/>
  <c r="L195" i="2"/>
  <c r="L194" i="2"/>
  <c r="L193" i="2"/>
  <c r="L192" i="2"/>
  <c r="L191" i="2"/>
  <c r="C210" i="2"/>
  <c r="C209" i="2"/>
  <c r="C208" i="2"/>
  <c r="C207" i="2"/>
  <c r="C206" i="2"/>
  <c r="L210" i="2"/>
  <c r="L209" i="2"/>
  <c r="L208" i="2"/>
  <c r="L207" i="2"/>
  <c r="L206" i="2"/>
  <c r="C225" i="2"/>
  <c r="C224" i="2"/>
  <c r="C223" i="2"/>
  <c r="C222" i="2"/>
  <c r="C221" i="2"/>
  <c r="L225" i="2"/>
  <c r="L224" i="2"/>
  <c r="L223" i="2"/>
  <c r="L222" i="2"/>
  <c r="L221" i="2"/>
  <c r="C239" i="2"/>
  <c r="C238" i="2"/>
  <c r="C237" i="2"/>
  <c r="C236" i="2"/>
  <c r="C235" i="2"/>
  <c r="L239" i="2"/>
  <c r="L238" i="2"/>
  <c r="L237" i="2"/>
  <c r="L236" i="2"/>
  <c r="L235" i="2"/>
  <c r="L283" i="2"/>
  <c r="L282" i="2"/>
  <c r="L281" i="2"/>
  <c r="L280" i="2"/>
  <c r="C284" i="2"/>
  <c r="C283" i="2"/>
  <c r="C282" i="2"/>
  <c r="C281" i="2"/>
  <c r="C280" i="2"/>
  <c r="L269" i="2"/>
  <c r="L268" i="2"/>
  <c r="L267" i="2"/>
  <c r="L266" i="2"/>
  <c r="L265" i="2"/>
  <c r="L254" i="2"/>
  <c r="L253" i="2"/>
  <c r="L252" i="2"/>
  <c r="L251" i="2"/>
  <c r="L250" i="2"/>
  <c r="C253" i="2"/>
  <c r="C252" i="2"/>
  <c r="C251" i="2"/>
  <c r="C250" i="2"/>
  <c r="O265" i="2" l="1"/>
  <c r="Q265" i="2"/>
  <c r="O266" i="2"/>
  <c r="Q266" i="2"/>
  <c r="O267" i="2"/>
  <c r="Q267" i="2"/>
  <c r="Q268" i="2"/>
  <c r="O269" i="2"/>
  <c r="Q269" i="2"/>
  <c r="O270" i="2"/>
  <c r="Q270" i="2"/>
  <c r="O271" i="2"/>
  <c r="Q271" i="2"/>
  <c r="O272" i="2"/>
  <c r="Q272" i="2"/>
  <c r="M273" i="2"/>
  <c r="O273" i="2" l="1"/>
  <c r="O274" i="2" s="1"/>
  <c r="Q273" i="2"/>
  <c r="Q274" i="2" s="1"/>
  <c r="M288" i="2"/>
  <c r="Q287" i="2"/>
  <c r="O287" i="2"/>
  <c r="Q286" i="2"/>
  <c r="O286" i="2"/>
  <c r="Q285" i="2"/>
  <c r="O285" i="2"/>
  <c r="Q284" i="2"/>
  <c r="O284" i="2"/>
  <c r="Q283" i="2"/>
  <c r="O283" i="2"/>
  <c r="Q282" i="2"/>
  <c r="O282" i="2"/>
  <c r="Q281" i="2"/>
  <c r="O281" i="2"/>
  <c r="Q280" i="2"/>
  <c r="O280" i="2"/>
  <c r="F266" i="2"/>
  <c r="H266" i="2"/>
  <c r="D274" i="2"/>
  <c r="H273" i="2"/>
  <c r="F273" i="2"/>
  <c r="H272" i="2"/>
  <c r="F272" i="2"/>
  <c r="H271" i="2"/>
  <c r="F271" i="2"/>
  <c r="H270" i="2"/>
  <c r="F270" i="2"/>
  <c r="H269" i="2"/>
  <c r="F269" i="2"/>
  <c r="H268" i="2"/>
  <c r="F268" i="2"/>
  <c r="H267" i="2"/>
  <c r="F267" i="2"/>
  <c r="H265" i="2"/>
  <c r="F265" i="2"/>
  <c r="R274" i="2" l="1"/>
  <c r="O288" i="2"/>
  <c r="O289" i="2" s="1"/>
  <c r="Q288" i="2"/>
  <c r="Q289" i="2" s="1"/>
  <c r="F274" i="2"/>
  <c r="F275" i="2" s="1"/>
  <c r="H274" i="2"/>
  <c r="H275" i="2" s="1"/>
  <c r="R289" i="2" l="1"/>
  <c r="I275" i="2"/>
  <c r="M258" i="2" l="1"/>
  <c r="H287" i="2" l="1"/>
  <c r="F287" i="2"/>
  <c r="H286" i="2"/>
  <c r="F286" i="2"/>
  <c r="H285" i="2"/>
  <c r="F285" i="2"/>
  <c r="H284" i="2"/>
  <c r="F284" i="2"/>
  <c r="H283" i="2"/>
  <c r="H282" i="2"/>
  <c r="F282" i="2"/>
  <c r="H281" i="2"/>
  <c r="F281" i="2"/>
  <c r="H280" i="2"/>
  <c r="F280" i="2"/>
  <c r="H288" i="2" l="1"/>
  <c r="H289" i="2" s="1"/>
  <c r="F288" i="2"/>
  <c r="F289" i="2" s="1"/>
  <c r="I289" i="2" l="1"/>
  <c r="Q257" i="2"/>
  <c r="O257" i="2"/>
  <c r="Q256" i="2"/>
  <c r="O256" i="2"/>
  <c r="Q255" i="2"/>
  <c r="O255" i="2"/>
  <c r="Q254" i="2"/>
  <c r="O254" i="2"/>
  <c r="Q253" i="2"/>
  <c r="O253" i="2"/>
  <c r="Q252" i="2"/>
  <c r="O252" i="2"/>
  <c r="Q251" i="2"/>
  <c r="O251" i="2"/>
  <c r="Q250" i="2"/>
  <c r="O250" i="2"/>
  <c r="O258" i="2" l="1"/>
  <c r="O259" i="2" s="1"/>
  <c r="Q258" i="2"/>
  <c r="Q259" i="2" s="1"/>
  <c r="R259" i="2" l="1"/>
  <c r="D258" i="2"/>
  <c r="H257" i="2"/>
  <c r="F257" i="2"/>
  <c r="H256" i="2"/>
  <c r="F256" i="2"/>
  <c r="H255" i="2"/>
  <c r="F255" i="2"/>
  <c r="H254" i="2"/>
  <c r="F254" i="2"/>
  <c r="H253" i="2"/>
  <c r="H252" i="2"/>
  <c r="F252" i="2"/>
  <c r="H251" i="2"/>
  <c r="F251" i="2"/>
  <c r="H250" i="2"/>
  <c r="F250" i="2"/>
  <c r="H258" i="2" l="1"/>
  <c r="H259" i="2" s="1"/>
  <c r="F258" i="2"/>
  <c r="F259" i="2" s="1"/>
  <c r="I259" i="2" l="1"/>
  <c r="O213" i="2"/>
  <c r="D243" i="2" l="1"/>
  <c r="H242" i="2"/>
  <c r="F242" i="2"/>
  <c r="H241" i="2"/>
  <c r="F241" i="2"/>
  <c r="H240" i="2"/>
  <c r="F240" i="2"/>
  <c r="H239" i="2"/>
  <c r="F239" i="2"/>
  <c r="H238" i="2"/>
  <c r="F238" i="2"/>
  <c r="H237" i="2"/>
  <c r="F237" i="2"/>
  <c r="H236" i="2"/>
  <c r="F236" i="2"/>
  <c r="H235" i="2"/>
  <c r="F235" i="2"/>
  <c r="H243" i="2" l="1"/>
  <c r="H244" i="2" s="1"/>
  <c r="F243" i="2"/>
  <c r="F244" i="2" s="1"/>
  <c r="O222" i="2"/>
  <c r="O223" i="2"/>
  <c r="O224" i="2"/>
  <c r="O225" i="2"/>
  <c r="O226" i="2"/>
  <c r="O227" i="2"/>
  <c r="O228" i="2"/>
  <c r="O221" i="2"/>
  <c r="I244" i="2" l="1"/>
  <c r="M243" i="2"/>
  <c r="Q242" i="2"/>
  <c r="O242" i="2"/>
  <c r="Q241" i="2"/>
  <c r="O241" i="2"/>
  <c r="Q240" i="2"/>
  <c r="O240" i="2"/>
  <c r="Q239" i="2"/>
  <c r="O239" i="2"/>
  <c r="Q238" i="2"/>
  <c r="Q237" i="2"/>
  <c r="O237" i="2"/>
  <c r="Q236" i="2"/>
  <c r="O236" i="2"/>
  <c r="Q235" i="2"/>
  <c r="O235" i="2"/>
  <c r="M229" i="2"/>
  <c r="Q228" i="2"/>
  <c r="Q227" i="2"/>
  <c r="Q226" i="2"/>
  <c r="Q225" i="2"/>
  <c r="Q224" i="2"/>
  <c r="Q223" i="2"/>
  <c r="Q222" i="2"/>
  <c r="Q221" i="2"/>
  <c r="D229" i="2"/>
  <c r="H228" i="2"/>
  <c r="F228" i="2"/>
  <c r="H227" i="2"/>
  <c r="F227" i="2"/>
  <c r="H226" i="2"/>
  <c r="F226" i="2"/>
  <c r="H225" i="2"/>
  <c r="F225" i="2"/>
  <c r="H224" i="2"/>
  <c r="F224" i="2"/>
  <c r="H223" i="2"/>
  <c r="F223" i="2"/>
  <c r="H222" i="2"/>
  <c r="F222" i="2"/>
  <c r="H221" i="2"/>
  <c r="F221" i="2"/>
  <c r="O243" i="2" l="1"/>
  <c r="O244" i="2" s="1"/>
  <c r="Q243" i="2"/>
  <c r="Q244" i="2" s="1"/>
  <c r="O229" i="2"/>
  <c r="O230" i="2" s="1"/>
  <c r="Q229" i="2"/>
  <c r="Q230" i="2" s="1"/>
  <c r="H229" i="2"/>
  <c r="H230" i="2" s="1"/>
  <c r="F229" i="2"/>
  <c r="F230" i="2" s="1"/>
  <c r="R230" i="2" l="1"/>
  <c r="I230" i="2"/>
  <c r="R244" i="2"/>
  <c r="M214" i="2"/>
  <c r="Q213" i="2"/>
  <c r="Q212" i="2"/>
  <c r="O212" i="2"/>
  <c r="Q211" i="2"/>
  <c r="O211" i="2"/>
  <c r="Q210" i="2"/>
  <c r="O210" i="2"/>
  <c r="Q209" i="2"/>
  <c r="O209" i="2"/>
  <c r="Q208" i="2"/>
  <c r="O208" i="2"/>
  <c r="Q207" i="2"/>
  <c r="O207" i="2"/>
  <c r="Q206" i="2"/>
  <c r="O206" i="2"/>
  <c r="Q214" i="2" l="1"/>
  <c r="Q215" i="2" s="1"/>
  <c r="O214" i="2"/>
  <c r="O215" i="2" s="1"/>
  <c r="D214" i="2"/>
  <c r="H213" i="2"/>
  <c r="F213" i="2"/>
  <c r="H212" i="2"/>
  <c r="F212" i="2"/>
  <c r="H211" i="2"/>
  <c r="F211" i="2"/>
  <c r="H210" i="2"/>
  <c r="F210" i="2"/>
  <c r="H209" i="2"/>
  <c r="F209" i="2"/>
  <c r="H208" i="2"/>
  <c r="F208" i="2"/>
  <c r="H207" i="2"/>
  <c r="F207" i="2"/>
  <c r="H206" i="2"/>
  <c r="F206" i="2"/>
  <c r="R215" i="2" l="1"/>
  <c r="H214" i="2"/>
  <c r="H215" i="2" s="1"/>
  <c r="F214" i="2"/>
  <c r="F215" i="2" s="1"/>
  <c r="M199" i="2"/>
  <c r="Q198" i="2"/>
  <c r="O198" i="2"/>
  <c r="Q197" i="2"/>
  <c r="O197" i="2"/>
  <c r="Q196" i="2"/>
  <c r="O196" i="2"/>
  <c r="Q195" i="2"/>
  <c r="O195" i="2"/>
  <c r="Q194" i="2"/>
  <c r="O194" i="2"/>
  <c r="Q193" i="2"/>
  <c r="O193" i="2"/>
  <c r="Q192" i="2"/>
  <c r="O192" i="2"/>
  <c r="Q191" i="2"/>
  <c r="O191" i="2"/>
  <c r="I215" i="2" l="1"/>
  <c r="Q199" i="2"/>
  <c r="Q200" i="2" s="1"/>
  <c r="O199" i="2"/>
  <c r="O200" i="2" s="1"/>
  <c r="F192" i="2"/>
  <c r="F193" i="2"/>
  <c r="F194" i="2"/>
  <c r="F195" i="2"/>
  <c r="F196" i="2"/>
  <c r="F197" i="2"/>
  <c r="F198" i="2"/>
  <c r="D199" i="2"/>
  <c r="H198" i="2"/>
  <c r="H197" i="2"/>
  <c r="H196" i="2"/>
  <c r="H195" i="2"/>
  <c r="H194" i="2"/>
  <c r="H193" i="2"/>
  <c r="H192" i="2"/>
  <c r="H191" i="2"/>
  <c r="F191" i="2"/>
  <c r="R200" i="2" l="1"/>
  <c r="F199" i="2"/>
  <c r="F200" i="2" s="1"/>
  <c r="H199" i="2"/>
  <c r="H200" i="2" s="1"/>
  <c r="I200" i="2" s="1"/>
  <c r="Q183" i="2"/>
  <c r="M184" i="2"/>
  <c r="O183" i="2"/>
  <c r="Q182" i="2"/>
  <c r="O182" i="2"/>
  <c r="Q181" i="2"/>
  <c r="O181" i="2"/>
  <c r="Q180" i="2"/>
  <c r="O180" i="2"/>
  <c r="Q179" i="2"/>
  <c r="O179" i="2"/>
  <c r="Q178" i="2"/>
  <c r="O178" i="2"/>
  <c r="Q177" i="2"/>
  <c r="O177" i="2"/>
  <c r="Q176" i="2"/>
  <c r="O176" i="2"/>
  <c r="F183" i="2"/>
  <c r="H183" i="2"/>
  <c r="H182" i="2"/>
  <c r="F182" i="2"/>
  <c r="H181" i="2"/>
  <c r="F181" i="2"/>
  <c r="H180" i="2"/>
  <c r="F180" i="2"/>
  <c r="H179" i="2"/>
  <c r="F179" i="2"/>
  <c r="H178" i="2"/>
  <c r="F178" i="2"/>
  <c r="H177" i="2"/>
  <c r="F177" i="2"/>
  <c r="H176" i="2"/>
  <c r="F176" i="2"/>
  <c r="D184" i="2"/>
  <c r="H168" i="2"/>
  <c r="F168" i="2"/>
  <c r="H167" i="2"/>
  <c r="F167" i="2"/>
  <c r="H166" i="2"/>
  <c r="F166" i="2"/>
  <c r="H165" i="2"/>
  <c r="F165" i="2"/>
  <c r="H164" i="2"/>
  <c r="F164" i="2"/>
  <c r="H163" i="2"/>
  <c r="F163" i="2"/>
  <c r="H162" i="2"/>
  <c r="F162" i="2"/>
  <c r="H161" i="2"/>
  <c r="F161" i="2"/>
  <c r="Q184" i="2" l="1"/>
  <c r="Q185" i="2" s="1"/>
  <c r="O184" i="2"/>
  <c r="O185" i="2" s="1"/>
  <c r="H184" i="2"/>
  <c r="H185" i="2" s="1"/>
  <c r="D135" i="2"/>
  <c r="F135" i="2" s="1"/>
  <c r="H135" i="2"/>
  <c r="D119" i="2"/>
  <c r="D169" i="2"/>
  <c r="F169" i="2"/>
  <c r="H169" i="2"/>
  <c r="H170" i="2" s="1"/>
  <c r="F170" i="2" l="1"/>
  <c r="I170" i="2" s="1"/>
  <c r="H119" i="2"/>
  <c r="R185" i="2"/>
  <c r="F184" i="2"/>
  <c r="F185" i="2" s="1"/>
  <c r="I185" i="2" s="1"/>
  <c r="F131" i="2"/>
  <c r="F132" i="2"/>
  <c r="F133" i="2"/>
  <c r="F136" i="2"/>
  <c r="F137" i="2"/>
  <c r="F146" i="2"/>
  <c r="F147" i="2"/>
  <c r="F148" i="2"/>
  <c r="F149" i="2"/>
  <c r="F150" i="2"/>
  <c r="F151" i="2"/>
  <c r="F152" i="2"/>
  <c r="F145" i="2"/>
  <c r="H152" i="2"/>
  <c r="H151" i="2"/>
  <c r="H150" i="2"/>
  <c r="H149" i="2"/>
  <c r="H148" i="2"/>
  <c r="H147" i="2"/>
  <c r="H146" i="2"/>
  <c r="H145" i="2"/>
  <c r="F153" i="2" l="1"/>
  <c r="H153" i="2"/>
  <c r="D153" i="2"/>
  <c r="M138" i="2"/>
  <c r="H137" i="2"/>
  <c r="H136" i="2"/>
  <c r="D134" i="2"/>
  <c r="H133" i="2"/>
  <c r="H132" i="2"/>
  <c r="H131" i="2"/>
  <c r="H130" i="2"/>
  <c r="F130" i="2"/>
  <c r="C134" i="2" l="1"/>
  <c r="C135" i="2"/>
  <c r="H134" i="2"/>
  <c r="F134" i="2"/>
  <c r="F154" i="2"/>
  <c r="H154" i="2"/>
  <c r="D138" i="2"/>
  <c r="D118" i="2"/>
  <c r="I154" i="2" l="1"/>
  <c r="C118" i="2"/>
  <c r="C119" i="2"/>
  <c r="F138" i="2"/>
  <c r="H138" i="2"/>
  <c r="H139" i="2" s="1"/>
  <c r="F139" i="2"/>
  <c r="D122" i="2"/>
  <c r="I139" i="2" l="1"/>
  <c r="H116" i="2"/>
  <c r="H117" i="2"/>
  <c r="F117" i="2"/>
  <c r="H115" i="2"/>
  <c r="F115" i="2"/>
  <c r="M90" i="2"/>
  <c r="M27" i="2"/>
  <c r="M43" i="2"/>
  <c r="M58" i="2"/>
  <c r="M13" i="2"/>
  <c r="M122" i="2"/>
  <c r="M106" i="2"/>
  <c r="H121" i="2"/>
  <c r="F121" i="2"/>
  <c r="H120" i="2"/>
  <c r="F120" i="2"/>
  <c r="H118" i="2"/>
  <c r="H114" i="2"/>
  <c r="F114" i="2"/>
  <c r="D106" i="2"/>
  <c r="H105" i="2"/>
  <c r="F105" i="2"/>
  <c r="H104" i="2"/>
  <c r="F104" i="2"/>
  <c r="H103" i="2"/>
  <c r="H102" i="2"/>
  <c r="H101" i="2"/>
  <c r="F101" i="2"/>
  <c r="H100" i="2"/>
  <c r="F100" i="2"/>
  <c r="H99" i="2"/>
  <c r="F99" i="2"/>
  <c r="H98" i="2"/>
  <c r="F98" i="2"/>
  <c r="D90" i="2"/>
  <c r="H89" i="2"/>
  <c r="F89" i="2"/>
  <c r="H88" i="2"/>
  <c r="F88" i="2"/>
  <c r="H87" i="2"/>
  <c r="H86" i="2"/>
  <c r="H85" i="2"/>
  <c r="F85" i="2"/>
  <c r="H84" i="2"/>
  <c r="F84" i="2"/>
  <c r="H83" i="2"/>
  <c r="F83" i="2"/>
  <c r="H82" i="2"/>
  <c r="F82" i="2"/>
  <c r="M74" i="2"/>
  <c r="F106" i="2" l="1"/>
  <c r="F107" i="2" s="1"/>
  <c r="H106" i="2"/>
  <c r="H107" i="2" s="1"/>
  <c r="H122" i="2"/>
  <c r="H123" i="2" s="1"/>
  <c r="F122" i="2"/>
  <c r="F123" i="2" s="1"/>
  <c r="F90" i="2"/>
  <c r="F91" i="2" s="1"/>
  <c r="H90" i="2"/>
  <c r="H91" i="2" s="1"/>
  <c r="I91" i="2" s="1"/>
  <c r="D74" i="2"/>
  <c r="H73" i="2"/>
  <c r="F73" i="2"/>
  <c r="H72" i="2"/>
  <c r="F72" i="2"/>
  <c r="H71" i="2"/>
  <c r="H70" i="2"/>
  <c r="H69" i="2"/>
  <c r="F69" i="2"/>
  <c r="H68" i="2"/>
  <c r="F68" i="2"/>
  <c r="H67" i="2"/>
  <c r="F67" i="2"/>
  <c r="H66" i="2"/>
  <c r="F66" i="2"/>
  <c r="I107" i="2" l="1"/>
  <c r="I123" i="2"/>
  <c r="F74" i="2"/>
  <c r="F75" i="2" s="1"/>
  <c r="H74" i="2"/>
  <c r="H75" i="2" s="1"/>
  <c r="I75" i="2" s="1"/>
  <c r="D58" i="2" l="1"/>
  <c r="H57" i="2"/>
  <c r="F57" i="2"/>
  <c r="H56" i="2"/>
  <c r="F56" i="2"/>
  <c r="H55" i="2"/>
  <c r="H54" i="2"/>
  <c r="H53" i="2"/>
  <c r="F53" i="2"/>
  <c r="H52" i="2"/>
  <c r="F52" i="2"/>
  <c r="H51" i="2"/>
  <c r="F51" i="2"/>
  <c r="H50" i="2"/>
  <c r="F50" i="2"/>
  <c r="H58" i="2" l="1"/>
  <c r="H59" i="2" s="1"/>
  <c r="F58" i="2"/>
  <c r="F59" i="2" s="1"/>
  <c r="H41" i="2"/>
  <c r="H42" i="2"/>
  <c r="F37" i="2"/>
  <c r="D43" i="2"/>
  <c r="F42" i="2"/>
  <c r="F41" i="2"/>
  <c r="H40" i="2"/>
  <c r="H39" i="2"/>
  <c r="H38" i="2"/>
  <c r="F38" i="2"/>
  <c r="H37" i="2"/>
  <c r="H36" i="2"/>
  <c r="F36" i="2"/>
  <c r="H35" i="2"/>
  <c r="F35" i="2"/>
  <c r="I59" i="2" l="1"/>
  <c r="F43" i="2"/>
  <c r="F44" i="2" s="1"/>
  <c r="H43" i="2"/>
  <c r="H44" i="2" s="1"/>
  <c r="I44" i="2" l="1"/>
  <c r="D27" i="2"/>
  <c r="F26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F6" i="2"/>
  <c r="F7" i="2"/>
  <c r="F8" i="2"/>
  <c r="F9" i="2"/>
  <c r="F10" i="2"/>
  <c r="F11" i="2"/>
  <c r="F12" i="2"/>
  <c r="F5" i="2"/>
  <c r="D13" i="2"/>
  <c r="H27" i="2" l="1"/>
  <c r="H28" i="2" s="1"/>
  <c r="F27" i="2"/>
  <c r="F28" i="2" s="1"/>
  <c r="H6" i="2"/>
  <c r="H7" i="2"/>
  <c r="H8" i="2"/>
  <c r="H9" i="2"/>
  <c r="H10" i="2"/>
  <c r="H5" i="2"/>
  <c r="I28" i="2" l="1"/>
  <c r="H13" i="2"/>
  <c r="H14" i="2" s="1"/>
  <c r="F13" i="2"/>
  <c r="F14" i="2" s="1"/>
  <c r="E53" i="1"/>
  <c r="F53" i="1" s="1"/>
  <c r="E52" i="1"/>
  <c r="F52" i="1" s="1"/>
  <c r="E49" i="1"/>
  <c r="F49" i="1" s="1"/>
  <c r="E48" i="1"/>
  <c r="F48" i="1" s="1"/>
  <c r="D48" i="1"/>
  <c r="E47" i="1"/>
  <c r="D47" i="1"/>
  <c r="D50" i="1" s="1"/>
  <c r="E46" i="1"/>
  <c r="F46" i="1" s="1"/>
  <c r="D46" i="1"/>
  <c r="I14" i="2" l="1"/>
  <c r="E50" i="1"/>
  <c r="F50" i="1" s="1"/>
  <c r="F47" i="1"/>
  <c r="E39" i="1"/>
  <c r="F39" i="1" s="1"/>
  <c r="E38" i="1"/>
  <c r="F38" i="1" s="1"/>
  <c r="E35" i="1"/>
  <c r="F35" i="1" s="1"/>
  <c r="E34" i="1"/>
  <c r="F34" i="1" s="1"/>
  <c r="D34" i="1"/>
  <c r="E33" i="1"/>
  <c r="D33" i="1"/>
  <c r="D36" i="1" s="1"/>
  <c r="E32" i="1"/>
  <c r="F32" i="1" s="1"/>
  <c r="D32" i="1"/>
  <c r="E36" i="1" l="1"/>
  <c r="F36" i="1" s="1"/>
  <c r="F33" i="1"/>
  <c r="D20" i="1"/>
  <c r="D19" i="1"/>
  <c r="D18" i="1"/>
  <c r="D22" i="1" s="1"/>
  <c r="E25" i="1" l="1"/>
  <c r="F25" i="1" s="1"/>
  <c r="E24" i="1"/>
  <c r="F24" i="1" s="1"/>
  <c r="E21" i="1"/>
  <c r="E20" i="1"/>
  <c r="F20" i="1" s="1"/>
  <c r="E19" i="1"/>
  <c r="F19" i="1" s="1"/>
  <c r="E18" i="1"/>
  <c r="F18" i="1" s="1"/>
  <c r="E22" i="1" l="1"/>
  <c r="F22" i="1" s="1"/>
  <c r="F21" i="1"/>
  <c r="F10" i="1"/>
  <c r="D9" i="1"/>
  <c r="E11" i="1"/>
  <c r="F11" i="1" s="1"/>
  <c r="E6" i="1"/>
  <c r="F6" i="1" s="1"/>
  <c r="E7" i="1"/>
  <c r="F7" i="1" s="1"/>
  <c r="E8" i="1"/>
  <c r="F8" i="1" s="1"/>
  <c r="E10" i="1"/>
  <c r="E5" i="1"/>
  <c r="F5" i="1" s="1"/>
  <c r="E9" i="1" l="1"/>
  <c r="F9" i="1" s="1"/>
  <c r="O603" i="2"/>
  <c r="Q603" i="2"/>
  <c r="R603" i="2" l="1"/>
</calcChain>
</file>

<file path=xl/sharedStrings.xml><?xml version="1.0" encoding="utf-8"?>
<sst xmlns="http://schemas.openxmlformats.org/spreadsheetml/2006/main" count="2568" uniqueCount="203">
  <si>
    <t>Raw materials</t>
  </si>
  <si>
    <t>%</t>
  </si>
  <si>
    <t>pH</t>
  </si>
  <si>
    <t>Moisture</t>
  </si>
  <si>
    <t>Ash</t>
  </si>
  <si>
    <t>Nitrogen</t>
  </si>
  <si>
    <t>C:N Ratio</t>
  </si>
  <si>
    <t>Chemical Composition</t>
  </si>
  <si>
    <t>Paddy</t>
  </si>
  <si>
    <t>35.8:1</t>
  </si>
  <si>
    <t>Mustard</t>
  </si>
  <si>
    <t>43.4:1</t>
  </si>
  <si>
    <t>New bagasse</t>
  </si>
  <si>
    <t>140.5:1</t>
  </si>
  <si>
    <t xml:space="preserve">Old bagasse </t>
  </si>
  <si>
    <t>86.6:1</t>
  </si>
  <si>
    <t>10.3:1</t>
  </si>
  <si>
    <t>Chicken Manure</t>
  </si>
  <si>
    <t>Batch No 255,256,257</t>
  </si>
  <si>
    <t>Quantity/Batch(Dry wt in Ton)</t>
  </si>
  <si>
    <t>Quantity/Batch (Fresh wt in Ton)</t>
  </si>
  <si>
    <t>Gypsum</t>
  </si>
  <si>
    <t>Urea</t>
  </si>
  <si>
    <t>Ammonium Sulphate</t>
  </si>
  <si>
    <t>2 bags (90kg)</t>
  </si>
  <si>
    <t>7 bags (350kg)</t>
  </si>
  <si>
    <t>Total</t>
  </si>
  <si>
    <t>Quantity for 3 Batches (Fresh wt in Ton)</t>
  </si>
  <si>
    <t>Batch No 258,259,260</t>
  </si>
  <si>
    <t>4 bags (200kg)</t>
  </si>
  <si>
    <t>0 Bags</t>
  </si>
  <si>
    <t>35.9:1</t>
  </si>
  <si>
    <t>44.1:1</t>
  </si>
  <si>
    <t>138.9:1</t>
  </si>
  <si>
    <t>97.2:1</t>
  </si>
  <si>
    <t>3 Batches Qty         (Fresh wt in Ton)</t>
  </si>
  <si>
    <t>10.9:1</t>
  </si>
  <si>
    <t>Batch No 261,262,263</t>
  </si>
  <si>
    <t>38.1:1</t>
  </si>
  <si>
    <t>45.3:1</t>
  </si>
  <si>
    <t>140.2:1</t>
  </si>
  <si>
    <t>Batch No 264,265,266</t>
  </si>
  <si>
    <t>N%</t>
  </si>
  <si>
    <t>Total N2</t>
  </si>
  <si>
    <t>Ash%</t>
  </si>
  <si>
    <t>Total Ash</t>
  </si>
  <si>
    <t>Chemical Parameters</t>
  </si>
  <si>
    <t>Quantity(Tons)</t>
  </si>
  <si>
    <t>Ammonium Sulphate(2bags)</t>
  </si>
  <si>
    <t>Urea(0 bag)</t>
  </si>
  <si>
    <t>Batch No 270,271,272 onwards</t>
  </si>
  <si>
    <t>Moisture%</t>
  </si>
  <si>
    <t>Dry wt/Batch in Ton</t>
  </si>
  <si>
    <t>Nitrogen%</t>
  </si>
  <si>
    <t xml:space="preserve">Urea </t>
  </si>
  <si>
    <t>Batch No 273,274,275</t>
  </si>
  <si>
    <t>Batch No 267,268,269</t>
  </si>
  <si>
    <t>Batch No 276,277,278</t>
  </si>
  <si>
    <t>Ammonium Sulphate(10bags)</t>
  </si>
  <si>
    <t>Ammonium Sulphate(11bags)</t>
  </si>
  <si>
    <t>Batch No 279,280,281</t>
  </si>
  <si>
    <t>Batch No 282,283,284</t>
  </si>
  <si>
    <t>Batch No 285,286,287</t>
  </si>
  <si>
    <t>Batch No 288,289,290</t>
  </si>
  <si>
    <t>Batch No 270,271,272</t>
  </si>
  <si>
    <t>Batch No 291,292,293</t>
  </si>
  <si>
    <t>Batch No 294,295,296</t>
  </si>
  <si>
    <t>Batch No 297,298,299</t>
  </si>
  <si>
    <t>Batch No 300,301,302</t>
  </si>
  <si>
    <t>Batch No 303,304,305</t>
  </si>
  <si>
    <t>Batch No 306,307,308</t>
  </si>
  <si>
    <t>Batch No 309,310,311</t>
  </si>
  <si>
    <t>Batch No 312,313,314</t>
  </si>
  <si>
    <t>Batch No 315,316,317</t>
  </si>
  <si>
    <t>Batch No 324,325,326</t>
  </si>
  <si>
    <t>Old Paddy</t>
  </si>
  <si>
    <t>New Paddy</t>
  </si>
  <si>
    <t>Batch No 318,319,320</t>
  </si>
  <si>
    <t>Batch No 321,322,323</t>
  </si>
  <si>
    <t>Batch No 327,328,329</t>
  </si>
  <si>
    <t>old Paddy(62%)</t>
  </si>
  <si>
    <t>New bagasse(38%)</t>
  </si>
  <si>
    <t>Chicken Manure(33.3%)</t>
  </si>
  <si>
    <t>Soyabean</t>
  </si>
  <si>
    <t>Batch No 330,331,332</t>
  </si>
  <si>
    <t>Batch No 336,337,338</t>
  </si>
  <si>
    <t>Batch No 333,334,335</t>
  </si>
  <si>
    <t>Batch No 339,340,341</t>
  </si>
  <si>
    <t>WITHOUT  MUSTARD FORMULATION</t>
  </si>
  <si>
    <t>Old Paddy+mustard</t>
  </si>
  <si>
    <t>New Paddy+mustard</t>
  </si>
  <si>
    <t>Batch No 342,343,344</t>
  </si>
  <si>
    <t>10 bags</t>
  </si>
  <si>
    <t>Ammonium Sulphate(2 bags)</t>
  </si>
  <si>
    <t>Batch No 348,349,350</t>
  </si>
  <si>
    <t xml:space="preserve">Batch No 345,346,347 </t>
  </si>
  <si>
    <t>New bagasse(42%)</t>
  </si>
  <si>
    <t>Old Paddy(58%)</t>
  </si>
  <si>
    <t>New Paddy+wheat+bagasse</t>
  </si>
  <si>
    <t>wheat</t>
  </si>
  <si>
    <t>old Paddy</t>
  </si>
  <si>
    <t>old Paddy+wheat+bagasse</t>
  </si>
  <si>
    <t>Total Straw</t>
  </si>
  <si>
    <t>Batch No 351,352,353</t>
  </si>
  <si>
    <t>OLD PADDY NEW FORMULATION</t>
  </si>
  <si>
    <t>NEW PADDY NEW FORMULATION</t>
  </si>
  <si>
    <t>Batch No 354,355,356</t>
  </si>
  <si>
    <t>(NEW)PADDY+BAGASSE+MUSTARD NEW FORMULATION</t>
  </si>
  <si>
    <t>OLD PADDY + MUSTARD NEW FORMULATION</t>
  </si>
  <si>
    <t>NEW PADDY + MUSTARD NEW FORMULATION</t>
  </si>
  <si>
    <t>Wheat</t>
  </si>
  <si>
    <t>Old bagasse</t>
  </si>
  <si>
    <t>4 Batches</t>
  </si>
  <si>
    <t>Batch No 387,388,389,390(Punjab bales)</t>
  </si>
  <si>
    <t>Batch No 391,392,393,394(Punjab bales)</t>
  </si>
  <si>
    <t>Punjab Paddy</t>
  </si>
  <si>
    <t>Batch No 395,396,397(Punjab bales)</t>
  </si>
  <si>
    <t>Batch No 001,002,003(Punjab bales)</t>
  </si>
  <si>
    <t>ROUND PADDY BALES</t>
  </si>
  <si>
    <t>NEW FORMULATION</t>
  </si>
  <si>
    <t>Round Paddy</t>
  </si>
  <si>
    <t>Batch No 013,014,015</t>
  </si>
  <si>
    <t>Local Paddy</t>
  </si>
  <si>
    <t>Batch No 010,011,012 (Local Paddy)</t>
  </si>
  <si>
    <t>Batch No 013,014,015 (Local Paddy)</t>
  </si>
  <si>
    <t>Batch No 007,008,009(Local Paddy)</t>
  </si>
  <si>
    <t>Batch No 016,017,018 (Local Paddy)</t>
  </si>
  <si>
    <t>Batch No 004,005,006(Punjab Bales)</t>
  </si>
  <si>
    <t>Batch No 357,358,359(Local Paddy)</t>
  </si>
  <si>
    <t>Batch No 363,364,365(Local Paddy)</t>
  </si>
  <si>
    <t>Batch No 360,361,362(Local Paddy)</t>
  </si>
  <si>
    <t>Batch No 366,367,368(Local Paddy)</t>
  </si>
  <si>
    <t>Batch No 372,373,374(Local Paddy)</t>
  </si>
  <si>
    <t>Batch No 375,376,377(Local Paddy)</t>
  </si>
  <si>
    <t>Batch No 378,379,380(Local Paddy)</t>
  </si>
  <si>
    <t>Batch No 381,382,383(Local Paddy)</t>
  </si>
  <si>
    <t>Batch No 384,385,386(Local Paddy)</t>
  </si>
  <si>
    <r>
      <t>Batch No 369,370,371</t>
    </r>
    <r>
      <rPr>
        <b/>
        <i/>
        <sz val="11"/>
        <color theme="5" tint="-0.499984740745262"/>
        <rFont val="Calibri"/>
        <family val="2"/>
        <scheme val="minor"/>
      </rPr>
      <t>(Wheat Batch)</t>
    </r>
  </si>
  <si>
    <t>Batch No 019,020,021 (Local Paddy)</t>
  </si>
  <si>
    <t>Batch No 022,023,024 (Local Paddy)</t>
  </si>
  <si>
    <t>TUNNEL DETAILS</t>
  </si>
  <si>
    <t>Tunnel No</t>
  </si>
  <si>
    <t>Loading Height</t>
  </si>
  <si>
    <t>Unloading Height</t>
  </si>
  <si>
    <t>Total Compost</t>
  </si>
  <si>
    <t>T-8</t>
  </si>
  <si>
    <t>T-2</t>
  </si>
  <si>
    <t>T-4</t>
  </si>
  <si>
    <t>Batch No 395,396,397 (Punjab bales)</t>
  </si>
  <si>
    <t>Batch No 025,026,027 (Local Paddy)</t>
  </si>
  <si>
    <t>Batch No 028 029 030 (LOCAL PADDY)</t>
  </si>
  <si>
    <t>Batch No 031 032 033 (LOCAL PADDY)</t>
  </si>
  <si>
    <t>Batch No 034 035 036 (LOCAL PADDY)</t>
  </si>
  <si>
    <t>Date : 10-05-2026</t>
  </si>
  <si>
    <t>Batch No 037 038 039 (LOCAL PADDY)</t>
  </si>
  <si>
    <t>Batch No 046 047 048 (LOCAL PADDY)</t>
  </si>
  <si>
    <t>Batch No 040 041 042 (LOCAL PADDY+PUNJAB PADDY)</t>
  </si>
  <si>
    <t>Batch No 043 044 045 (CM+GYPSUM)</t>
  </si>
  <si>
    <t>Chicken Manure+GYPSUM</t>
  </si>
  <si>
    <t>Batch No 049 050 051 (LOCAL PADDY)</t>
  </si>
  <si>
    <t>Batch No 052,053,054  (LOCAL PADDY)</t>
  </si>
  <si>
    <t>mustard</t>
  </si>
  <si>
    <t>Bagasse</t>
  </si>
  <si>
    <t>Batch No 043 044 045 (LOCAL NEW PADDY)</t>
  </si>
  <si>
    <t>Batch No 055,056,057  (PUNJAB PADDY)</t>
  </si>
  <si>
    <t xml:space="preserve"> Paddy</t>
  </si>
  <si>
    <t>Batch No 058,059,060   (PUNJAB PADDY)</t>
  </si>
  <si>
    <t>Batch No 061,062,063   (PUNJAB PADDY)</t>
  </si>
  <si>
    <t>Batch No 064,065,066  (PUNJAB PADDY)</t>
  </si>
  <si>
    <t>Batch No 73,74,75   (PUNJAB PADDY)</t>
  </si>
  <si>
    <t>Batch No 76,77,78   (PUNJAB PADDY)</t>
  </si>
  <si>
    <t>Urea 2 bags at soaking 3</t>
  </si>
  <si>
    <t>Batch No 79,80,81   (PUNJAB PADDY)</t>
  </si>
  <si>
    <t>Batch No 70,71,72   (PUNJAB + local PADDY)</t>
  </si>
  <si>
    <t>CM+Gypsum</t>
  </si>
  <si>
    <t>Urea 1 bags at soaking 3</t>
  </si>
  <si>
    <t xml:space="preserve">c/m bagasse </t>
  </si>
  <si>
    <t>Batch No 067,068,069   (LOCAL OLD PADDY)</t>
  </si>
  <si>
    <t>Batch No 82,83,84   (LOCAL OLD PADDY )</t>
  </si>
  <si>
    <t>Batch No 85,86,87   (LOCAL OLD PADDY)</t>
  </si>
  <si>
    <t>Batch No 88,89,90   (LOCAL OLD PADDY)</t>
  </si>
  <si>
    <t>Batch No 91,92,93   (LOCAL OLD PADDY)</t>
  </si>
  <si>
    <t>Batch No 94,95,96</t>
  </si>
  <si>
    <t xml:space="preserve">Batch No 97,98,99   </t>
  </si>
  <si>
    <t xml:space="preserve">Batch No 100,101,102   </t>
  </si>
  <si>
    <t xml:space="preserve">Batch No 103,104,105   </t>
  </si>
  <si>
    <t xml:space="preserve">PUNJAB Paddy </t>
  </si>
  <si>
    <t xml:space="preserve">Batch No 109,110,111 </t>
  </si>
  <si>
    <t>DRYWT</t>
  </si>
  <si>
    <t>FRESH WT</t>
  </si>
  <si>
    <t xml:space="preserve">LOCAL Paddy </t>
  </si>
  <si>
    <t>Batch No 118,119,120</t>
  </si>
  <si>
    <t>Batch No 121,122</t>
  </si>
  <si>
    <t>Batch No 115,116,117 PUNJAB</t>
  </si>
  <si>
    <t>Batch No 112,113,114 PUNJAB</t>
  </si>
  <si>
    <t>Batch No 106,107,108   PUNJAB</t>
  </si>
  <si>
    <t>Batch No 121,122 PUNJAB</t>
  </si>
  <si>
    <t>Batch No 123,124,125</t>
  </si>
  <si>
    <t>Batch No 126,127,128</t>
  </si>
  <si>
    <t>Batch No 129,130,131</t>
  </si>
  <si>
    <t>Batch No 132,133,134</t>
  </si>
  <si>
    <t>Batch No 135,136,137</t>
  </si>
  <si>
    <t>Batch No 138,139,140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</si>
</sst>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5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1" fillId="0" borderId="1" xfId="0" applyFont="1" applyFill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1" fontId="1" fillId="0" borderId="1" xfId="0" applyNumberFormat="1" applyFont="1" applyBorder="1"/>
    <xf numFmtId="2" fontId="1" fillId="3" borderId="1" xfId="0" applyNumberFormat="1" applyFont="1" applyFill="1" applyBorder="1"/>
    <xf numFmtId="0" fontId="1" fillId="3" borderId="1" xfId="0" applyFont="1" applyFill="1" applyBorder="1"/>
    <xf numFmtId="164" fontId="1" fillId="0" borderId="1" xfId="0" applyNumberFormat="1" applyFont="1" applyFill="1" applyBorder="1"/>
    <xf numFmtId="164" fontId="1" fillId="3" borderId="1" xfId="0" applyNumberFormat="1" applyFont="1" applyFill="1" applyBorder="1"/>
    <xf numFmtId="0" fontId="0" fillId="3" borderId="1" xfId="0" applyFill="1" applyBorder="1"/>
    <xf numFmtId="2" fontId="1" fillId="0" borderId="1" xfId="0" applyNumberFormat="1" applyFont="1" applyFill="1" applyBorder="1"/>
    <xf numFmtId="2" fontId="1" fillId="4" borderId="1" xfId="0" applyNumberFormat="1" applyFont="1" applyFill="1" applyBorder="1"/>
    <xf numFmtId="165" fontId="1" fillId="0" borderId="1" xfId="0" applyNumberFormat="1" applyFont="1" applyFill="1" applyBorder="1"/>
    <xf numFmtId="0" fontId="0" fillId="0" borderId="0" xfId="0" applyBorder="1"/>
    <xf numFmtId="0" fontId="1" fillId="0" borderId="0" xfId="0" applyFont="1" applyBorder="1"/>
    <xf numFmtId="2" fontId="1" fillId="0" borderId="0" xfId="0" applyNumberFormat="1" applyFont="1" applyBorder="1"/>
    <xf numFmtId="164" fontId="1" fillId="0" borderId="0" xfId="0" applyNumberFormat="1" applyFont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2" fontId="1" fillId="5" borderId="1" xfId="0" applyNumberFormat="1" applyFont="1" applyFill="1" applyBorder="1"/>
    <xf numFmtId="0" fontId="0" fillId="5" borderId="1" xfId="0" applyFill="1" applyBorder="1"/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Fill="1" applyBorder="1" applyAlignment="1">
      <alignment wrapText="1"/>
    </xf>
    <xf numFmtId="164" fontId="1" fillId="3" borderId="1" xfId="0" applyNumberFormat="1" applyFont="1" applyFill="1" applyBorder="1" applyAlignment="1">
      <alignment wrapText="1"/>
    </xf>
    <xf numFmtId="165" fontId="1" fillId="0" borderId="1" xfId="0" applyNumberFormat="1" applyFont="1" applyFill="1" applyBorder="1" applyAlignment="1">
      <alignment wrapText="1"/>
    </xf>
    <xf numFmtId="2" fontId="0" fillId="0" borderId="1" xfId="0" applyNumberFormat="1" applyBorder="1" applyAlignment="1">
      <alignment wrapText="1"/>
    </xf>
    <xf numFmtId="164" fontId="1" fillId="5" borderId="1" xfId="0" applyNumberFormat="1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2" fontId="1" fillId="0" borderId="0" xfId="0" applyNumberFormat="1" applyFont="1" applyBorder="1" applyAlignment="1">
      <alignment wrapText="1"/>
    </xf>
    <xf numFmtId="2" fontId="1" fillId="4" borderId="1" xfId="0" applyNumberFormat="1" applyFont="1" applyFill="1" applyBorder="1" applyAlignment="1">
      <alignment wrapText="1"/>
    </xf>
    <xf numFmtId="165" fontId="1" fillId="4" borderId="1" xfId="0" applyNumberFormat="1" applyFont="1" applyFill="1" applyBorder="1" applyAlignment="1">
      <alignment wrapText="1"/>
    </xf>
    <xf numFmtId="164" fontId="1" fillId="4" borderId="1" xfId="0" applyNumberFormat="1" applyFont="1" applyFill="1" applyBorder="1" applyAlignment="1">
      <alignment wrapText="1"/>
    </xf>
    <xf numFmtId="10" fontId="1" fillId="0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6" xfId="0" applyFont="1" applyBorder="1" applyAlignment="1">
      <alignment wrapText="1"/>
    </xf>
    <xf numFmtId="1" fontId="2" fillId="0" borderId="10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wrapText="1"/>
    </xf>
    <xf numFmtId="2" fontId="2" fillId="0" borderId="10" xfId="0" applyNumberFormat="1" applyFont="1" applyBorder="1"/>
    <xf numFmtId="2" fontId="2" fillId="0" borderId="11" xfId="0" applyNumberFormat="1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65" fontId="2" fillId="0" borderId="10" xfId="0" applyNumberFormat="1" applyFont="1" applyBorder="1" applyAlignment="1">
      <alignment wrapText="1"/>
    </xf>
    <xf numFmtId="0" fontId="2" fillId="6" borderId="6" xfId="0" applyFont="1" applyFill="1" applyBorder="1" applyAlignment="1">
      <alignment wrapText="1"/>
    </xf>
    <xf numFmtId="1" fontId="2" fillId="6" borderId="10" xfId="0" applyNumberFormat="1" applyFont="1" applyFill="1" applyBorder="1" applyAlignment="1">
      <alignment horizontal="center"/>
    </xf>
    <xf numFmtId="164" fontId="2" fillId="6" borderId="10" xfId="0" applyNumberFormat="1" applyFont="1" applyFill="1" applyBorder="1" applyAlignment="1">
      <alignment wrapText="1"/>
    </xf>
    <xf numFmtId="0" fontId="2" fillId="6" borderId="10" xfId="0" applyFont="1" applyFill="1" applyBorder="1"/>
    <xf numFmtId="164" fontId="2" fillId="6" borderId="10" xfId="0" applyNumberFormat="1" applyFont="1" applyFill="1" applyBorder="1"/>
    <xf numFmtId="0" fontId="2" fillId="0" borderId="12" xfId="0" applyFont="1" applyBorder="1" applyAlignment="1">
      <alignment horizontal="center" vertical="center" wrapText="1"/>
    </xf>
    <xf numFmtId="2" fontId="2" fillId="6" borderId="10" xfId="0" applyNumberFormat="1" applyFont="1" applyFill="1" applyBorder="1"/>
    <xf numFmtId="0" fontId="3" fillId="6" borderId="10" xfId="0" applyFont="1" applyFill="1" applyBorder="1"/>
    <xf numFmtId="164" fontId="2" fillId="6" borderId="4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/>
    <xf numFmtId="2" fontId="4" fillId="0" borderId="7" xfId="0" applyNumberFormat="1" applyFont="1" applyBorder="1" applyAlignment="1">
      <alignment vertical="center" wrapText="1"/>
    </xf>
    <xf numFmtId="0" fontId="4" fillId="0" borderId="1" xfId="0" applyFont="1" applyFill="1" applyBorder="1" applyAlignment="1">
      <alignment wrapText="1"/>
    </xf>
    <xf numFmtId="0" fontId="4" fillId="0" borderId="7" xfId="0" applyFont="1" applyBorder="1" applyAlignment="1">
      <alignment vertical="center" wrapText="1"/>
    </xf>
    <xf numFmtId="1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/>
    <xf numFmtId="0" fontId="4" fillId="3" borderId="1" xfId="0" applyFont="1" applyFill="1" applyBorder="1" applyAlignment="1">
      <alignment wrapText="1"/>
    </xf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2" fontId="4" fillId="3" borderId="1" xfId="0" applyNumberFormat="1" applyFont="1" applyFill="1" applyBorder="1"/>
    <xf numFmtId="0" fontId="5" fillId="3" borderId="1" xfId="0" applyFont="1" applyFill="1" applyBorder="1"/>
    <xf numFmtId="0" fontId="5" fillId="0" borderId="0" xfId="0" applyFont="1" applyAlignment="1">
      <alignment wrapText="1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Fill="1" applyBorder="1" applyAlignment="1">
      <alignment vertical="center" wrapText="1"/>
    </xf>
    <xf numFmtId="164" fontId="1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1" fillId="0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2" fontId="4" fillId="0" borderId="1" xfId="0" applyNumberFormat="1" applyFont="1" applyFill="1" applyBorder="1" applyAlignment="1">
      <alignment vertical="center" wrapText="1"/>
    </xf>
    <xf numFmtId="165" fontId="4" fillId="0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2" fontId="1" fillId="0" borderId="1" xfId="0" applyNumberFormat="1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vertical="center"/>
    </xf>
    <xf numFmtId="2" fontId="2" fillId="0" borderId="4" xfId="0" applyNumberFormat="1" applyFont="1" applyBorder="1"/>
    <xf numFmtId="2" fontId="2" fillId="0" borderId="6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2" fontId="2" fillId="0" borderId="10" xfId="0" applyNumberFormat="1" applyFont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9" borderId="6" xfId="0" applyFont="1" applyFill="1" applyBorder="1"/>
    <xf numFmtId="1" fontId="2" fillId="9" borderId="10" xfId="0" applyNumberFormat="1" applyFont="1" applyFill="1" applyBorder="1" applyAlignment="1">
      <alignment horizontal="center"/>
    </xf>
    <xf numFmtId="164" fontId="2" fillId="9" borderId="10" xfId="0" applyNumberFormat="1" applyFont="1" applyFill="1" applyBorder="1" applyAlignment="1">
      <alignment vertical="center"/>
    </xf>
    <xf numFmtId="0" fontId="2" fillId="9" borderId="10" xfId="0" applyFont="1" applyFill="1" applyBorder="1"/>
    <xf numFmtId="164" fontId="2" fillId="9" borderId="10" xfId="0" applyNumberFormat="1" applyFont="1" applyFill="1" applyBorder="1"/>
    <xf numFmtId="2" fontId="2" fillId="9" borderId="10" xfId="0" applyNumberFormat="1" applyFont="1" applyFill="1" applyBorder="1"/>
    <xf numFmtId="0" fontId="3" fillId="9" borderId="10" xfId="0" applyFont="1" applyFill="1" applyBorder="1"/>
    <xf numFmtId="164" fontId="2" fillId="9" borderId="4" xfId="0" applyNumberFormat="1" applyFont="1" applyFill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/>
    </xf>
    <xf numFmtId="2" fontId="1" fillId="4" borderId="0" xfId="0" applyNumberFormat="1" applyFont="1" applyFill="1" applyBorder="1"/>
    <xf numFmtId="0" fontId="0" fillId="4" borderId="0" xfId="0" applyFill="1" applyBorder="1"/>
    <xf numFmtId="164" fontId="1" fillId="4" borderId="0" xfId="0" applyNumberFormat="1" applyFont="1" applyFill="1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2" fillId="9" borderId="2" xfId="0" applyNumberFormat="1" applyFont="1" applyFill="1" applyBorder="1" applyAlignment="1">
      <alignment horizontal="center" vertical="center"/>
    </xf>
    <xf numFmtId="3" fontId="2" fillId="9" borderId="3" xfId="0" applyNumberFormat="1" applyFont="1" applyFill="1" applyBorder="1" applyAlignment="1">
      <alignment horizontal="center" vertical="center"/>
    </xf>
    <xf numFmtId="3" fontId="2" fillId="9" borderId="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 wrapText="1"/>
    </xf>
    <xf numFmtId="2" fontId="2" fillId="0" borderId="6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5"/>
  <sheetViews>
    <sheetView topLeftCell="A43" zoomScale="115" zoomScaleNormal="115" workbookViewId="0">
      <selection activeCell="K18" sqref="K18"/>
    </sheetView>
  </sheetViews>
  <sheetFormatPr defaultRowHeight="15" x14ac:dyDescent="0.25"/>
  <cols>
    <col min="2" max="2" width="20" bestFit="1" customWidth="1"/>
    <col min="3" max="3" width="14.5703125" bestFit="1" customWidth="1"/>
    <col min="4" max="4" width="8" customWidth="1"/>
    <col min="5" max="5" width="17" customWidth="1"/>
    <col min="6" max="6" width="17.140625" customWidth="1"/>
  </cols>
  <sheetData>
    <row r="2" spans="2:11" x14ac:dyDescent="0.25">
      <c r="B2" s="214" t="s">
        <v>18</v>
      </c>
      <c r="C2" s="215"/>
      <c r="D2" s="215"/>
      <c r="E2" s="215"/>
      <c r="F2" s="215"/>
      <c r="G2" s="215"/>
      <c r="H2" s="215"/>
      <c r="I2" s="215"/>
      <c r="J2" s="215"/>
      <c r="K2" s="216"/>
    </row>
    <row r="3" spans="2:11" x14ac:dyDescent="0.25">
      <c r="B3" s="217" t="s">
        <v>0</v>
      </c>
      <c r="C3" s="219" t="s">
        <v>19</v>
      </c>
      <c r="D3" s="217" t="s">
        <v>1</v>
      </c>
      <c r="E3" s="219" t="s">
        <v>20</v>
      </c>
      <c r="F3" s="219" t="s">
        <v>27</v>
      </c>
      <c r="G3" s="221" t="s">
        <v>7</v>
      </c>
      <c r="H3" s="222"/>
      <c r="I3" s="222"/>
      <c r="J3" s="222"/>
      <c r="K3" s="223"/>
    </row>
    <row r="4" spans="2:11" ht="35.25" customHeight="1" x14ac:dyDescent="0.25">
      <c r="B4" s="218"/>
      <c r="C4" s="220"/>
      <c r="D4" s="218"/>
      <c r="E4" s="220"/>
      <c r="F4" s="220"/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</row>
    <row r="5" spans="2:11" x14ac:dyDescent="0.25">
      <c r="B5" s="2" t="s">
        <v>8</v>
      </c>
      <c r="C5" s="3">
        <v>7.5</v>
      </c>
      <c r="D5" s="3">
        <v>41.7</v>
      </c>
      <c r="E5" s="3">
        <f>C5/(100-H5)%</f>
        <v>8.5714285714285712</v>
      </c>
      <c r="F5" s="3">
        <f>E5*3</f>
        <v>25.714285714285715</v>
      </c>
      <c r="G5" s="3">
        <v>7.01</v>
      </c>
      <c r="H5" s="3">
        <v>12.5</v>
      </c>
      <c r="I5" s="3">
        <v>14.6</v>
      </c>
      <c r="J5" s="3">
        <v>1.19</v>
      </c>
      <c r="K5" s="1" t="s">
        <v>9</v>
      </c>
    </row>
    <row r="6" spans="2:11" x14ac:dyDescent="0.25">
      <c r="B6" s="2" t="s">
        <v>10</v>
      </c>
      <c r="C6" s="3">
        <v>2.5</v>
      </c>
      <c r="D6" s="3">
        <v>13.9</v>
      </c>
      <c r="E6" s="3">
        <f t="shared" ref="E6:E11" si="0">C6/(100-H6)%</f>
        <v>2.8280542986425341</v>
      </c>
      <c r="F6" s="3">
        <f t="shared" ref="F6:F11" si="1">E6*3</f>
        <v>8.4841628959276019</v>
      </c>
      <c r="G6" s="3">
        <v>7.2</v>
      </c>
      <c r="H6" s="3">
        <v>11.6</v>
      </c>
      <c r="I6" s="3">
        <v>14.8</v>
      </c>
      <c r="J6" s="3">
        <v>0.98</v>
      </c>
      <c r="K6" s="1" t="s">
        <v>11</v>
      </c>
    </row>
    <row r="7" spans="2:11" x14ac:dyDescent="0.25">
      <c r="B7" s="2" t="s">
        <v>12</v>
      </c>
      <c r="C7" s="3">
        <v>6</v>
      </c>
      <c r="D7" s="3">
        <v>33.299999999999997</v>
      </c>
      <c r="E7" s="3">
        <f t="shared" si="0"/>
        <v>13.245033112582783</v>
      </c>
      <c r="F7" s="3">
        <f t="shared" si="1"/>
        <v>39.735099337748352</v>
      </c>
      <c r="G7" s="3">
        <v>4.0999999999999996</v>
      </c>
      <c r="H7" s="3">
        <v>54.7</v>
      </c>
      <c r="I7" s="3">
        <v>1.6</v>
      </c>
      <c r="J7" s="3">
        <v>0.35</v>
      </c>
      <c r="K7" s="1" t="s">
        <v>13</v>
      </c>
    </row>
    <row r="8" spans="2:11" x14ac:dyDescent="0.25">
      <c r="B8" s="2" t="s">
        <v>14</v>
      </c>
      <c r="C8" s="3">
        <v>2</v>
      </c>
      <c r="D8" s="3">
        <v>11.1</v>
      </c>
      <c r="E8" s="3">
        <f t="shared" si="0"/>
        <v>3.6363636363636362</v>
      </c>
      <c r="F8" s="3">
        <f t="shared" si="1"/>
        <v>10.909090909090908</v>
      </c>
      <c r="G8" s="3">
        <v>3.8</v>
      </c>
      <c r="H8" s="3">
        <v>45</v>
      </c>
      <c r="I8" s="3">
        <v>2.9</v>
      </c>
      <c r="J8" s="3">
        <v>0.56000000000000005</v>
      </c>
      <c r="K8" s="1" t="s">
        <v>15</v>
      </c>
    </row>
    <row r="9" spans="2:11" x14ac:dyDescent="0.25">
      <c r="B9" s="2" t="s">
        <v>26</v>
      </c>
      <c r="C9" s="5">
        <v>18</v>
      </c>
      <c r="D9" s="5">
        <f>SUM(D5:D8)</f>
        <v>100</v>
      </c>
      <c r="E9" s="5">
        <f>SUM(E5:E8)</f>
        <v>28.280879619017526</v>
      </c>
      <c r="F9" s="3">
        <f t="shared" si="1"/>
        <v>84.842638857052577</v>
      </c>
      <c r="G9" s="5"/>
      <c r="H9" s="5"/>
      <c r="I9" s="5"/>
      <c r="J9" s="5"/>
      <c r="K9" s="2"/>
    </row>
    <row r="10" spans="2:11" x14ac:dyDescent="0.25">
      <c r="B10" s="2" t="s">
        <v>17</v>
      </c>
      <c r="C10" s="3">
        <v>9</v>
      </c>
      <c r="D10" s="3">
        <v>50</v>
      </c>
      <c r="E10" s="3">
        <f t="shared" si="0"/>
        <v>12.67605633802817</v>
      </c>
      <c r="F10" s="3">
        <f t="shared" si="1"/>
        <v>38.028169014084511</v>
      </c>
      <c r="G10" s="3">
        <v>8.1</v>
      </c>
      <c r="H10" s="3">
        <v>29</v>
      </c>
      <c r="I10" s="3">
        <v>31.6</v>
      </c>
      <c r="J10" s="3">
        <v>3.29</v>
      </c>
      <c r="K10" s="1" t="s">
        <v>16</v>
      </c>
    </row>
    <row r="11" spans="2:11" x14ac:dyDescent="0.25">
      <c r="B11" s="4" t="s">
        <v>21</v>
      </c>
      <c r="C11" s="3">
        <v>1.9</v>
      </c>
      <c r="D11" s="3">
        <v>10.55</v>
      </c>
      <c r="E11" s="3">
        <f t="shared" si="0"/>
        <v>2.5956284153005464</v>
      </c>
      <c r="F11" s="3">
        <f t="shared" si="1"/>
        <v>7.7868852459016393</v>
      </c>
      <c r="G11" s="1">
        <v>2.9</v>
      </c>
      <c r="H11" s="3">
        <v>26.8</v>
      </c>
      <c r="I11" s="1"/>
      <c r="J11" s="1"/>
      <c r="K11" s="1"/>
    </row>
    <row r="12" spans="2:11" x14ac:dyDescent="0.25">
      <c r="B12" s="4" t="s">
        <v>22</v>
      </c>
      <c r="C12" s="1" t="s">
        <v>24</v>
      </c>
      <c r="D12" s="1"/>
      <c r="E12" s="1"/>
      <c r="F12" s="1"/>
      <c r="G12" s="1"/>
      <c r="H12" s="1"/>
      <c r="I12" s="1"/>
      <c r="J12" s="1"/>
      <c r="K12" s="1"/>
    </row>
    <row r="13" spans="2:11" x14ac:dyDescent="0.25">
      <c r="B13" s="4" t="s">
        <v>23</v>
      </c>
      <c r="C13" s="1" t="s">
        <v>25</v>
      </c>
      <c r="D13" s="1"/>
      <c r="E13" s="1"/>
      <c r="F13" s="1"/>
      <c r="G13" s="1"/>
      <c r="H13" s="1"/>
      <c r="I13" s="1"/>
      <c r="J13" s="1"/>
      <c r="K13" s="1"/>
    </row>
    <row r="15" spans="2:11" x14ac:dyDescent="0.25">
      <c r="B15" s="214" t="s">
        <v>28</v>
      </c>
      <c r="C15" s="215"/>
      <c r="D15" s="215"/>
      <c r="E15" s="215"/>
      <c r="F15" s="215"/>
      <c r="G15" s="215"/>
      <c r="H15" s="215"/>
      <c r="I15" s="215"/>
      <c r="J15" s="215"/>
      <c r="K15" s="216"/>
    </row>
    <row r="16" spans="2:11" x14ac:dyDescent="0.25">
      <c r="B16" s="217" t="s">
        <v>0</v>
      </c>
      <c r="C16" s="219" t="s">
        <v>19</v>
      </c>
      <c r="D16" s="217" t="s">
        <v>1</v>
      </c>
      <c r="E16" s="219" t="s">
        <v>20</v>
      </c>
      <c r="F16" s="219" t="s">
        <v>35</v>
      </c>
      <c r="G16" s="221" t="s">
        <v>7</v>
      </c>
      <c r="H16" s="222"/>
      <c r="I16" s="222"/>
      <c r="J16" s="222"/>
      <c r="K16" s="223"/>
    </row>
    <row r="17" spans="2:11" x14ac:dyDescent="0.25">
      <c r="B17" s="218"/>
      <c r="C17" s="220"/>
      <c r="D17" s="218"/>
      <c r="E17" s="220"/>
      <c r="F17" s="220"/>
      <c r="G17" s="2" t="s">
        <v>2</v>
      </c>
      <c r="H17" s="2" t="s">
        <v>3</v>
      </c>
      <c r="I17" s="2" t="s">
        <v>4</v>
      </c>
      <c r="J17" s="2" t="s">
        <v>5</v>
      </c>
      <c r="K17" s="2" t="s">
        <v>6</v>
      </c>
    </row>
    <row r="18" spans="2:11" x14ac:dyDescent="0.25">
      <c r="B18" s="2" t="s">
        <v>8</v>
      </c>
      <c r="C18" s="5">
        <v>7.5</v>
      </c>
      <c r="D18" s="7">
        <f>C18/C22%</f>
        <v>41.666666666666671</v>
      </c>
      <c r="E18" s="6">
        <f>C18/(100-H18)%</f>
        <v>8.5227272727272734</v>
      </c>
      <c r="F18" s="6">
        <f>E18*3</f>
        <v>25.56818181818182</v>
      </c>
      <c r="G18" s="5">
        <v>7.05</v>
      </c>
      <c r="H18" s="5">
        <v>12</v>
      </c>
      <c r="I18" s="5">
        <v>14.7</v>
      </c>
      <c r="J18" s="5">
        <v>1.19</v>
      </c>
      <c r="K18" s="2" t="s">
        <v>31</v>
      </c>
    </row>
    <row r="19" spans="2:11" x14ac:dyDescent="0.25">
      <c r="B19" s="2" t="s">
        <v>10</v>
      </c>
      <c r="C19" s="5">
        <v>2.5</v>
      </c>
      <c r="D19" s="7">
        <f>C19/C22%</f>
        <v>13.888888888888889</v>
      </c>
      <c r="E19" s="6">
        <f>C19/(100-H19)%</f>
        <v>2.8669724770642202</v>
      </c>
      <c r="F19" s="6">
        <f t="shared" ref="F19:F25" si="2">E19*3</f>
        <v>8.6009174311926611</v>
      </c>
      <c r="G19" s="5">
        <v>7.22</v>
      </c>
      <c r="H19" s="5">
        <v>12.8</v>
      </c>
      <c r="I19" s="5">
        <v>14.5</v>
      </c>
      <c r="J19" s="5">
        <v>0.97</v>
      </c>
      <c r="K19" s="2" t="s">
        <v>32</v>
      </c>
    </row>
    <row r="20" spans="2:11" x14ac:dyDescent="0.25">
      <c r="B20" s="2" t="s">
        <v>12</v>
      </c>
      <c r="C20" s="5">
        <v>6</v>
      </c>
      <c r="D20" s="7">
        <f>C20/C22%</f>
        <v>33.333333333333336</v>
      </c>
      <c r="E20" s="6">
        <f>C20/(100-H20)%</f>
        <v>13.015184381778742</v>
      </c>
      <c r="F20" s="6">
        <f t="shared" si="2"/>
        <v>39.045553145336228</v>
      </c>
      <c r="G20" s="5">
        <v>4.12</v>
      </c>
      <c r="H20" s="5">
        <v>53.9</v>
      </c>
      <c r="I20" s="5">
        <v>1.9</v>
      </c>
      <c r="J20" s="5">
        <v>0.35</v>
      </c>
      <c r="K20" s="2" t="s">
        <v>33</v>
      </c>
    </row>
    <row r="21" spans="2:11" x14ac:dyDescent="0.25">
      <c r="B21" s="2" t="s">
        <v>14</v>
      </c>
      <c r="C21" s="5">
        <v>2</v>
      </c>
      <c r="D21" s="7">
        <v>11.1</v>
      </c>
      <c r="E21" s="6">
        <f>C21/(100-H21)%</f>
        <v>3.766478342749529</v>
      </c>
      <c r="F21" s="6">
        <f t="shared" si="2"/>
        <v>11.299435028248586</v>
      </c>
      <c r="G21" s="5">
        <v>3.76</v>
      </c>
      <c r="H21" s="5">
        <v>46.9</v>
      </c>
      <c r="I21" s="5">
        <v>2.9</v>
      </c>
      <c r="J21" s="5">
        <v>0.5</v>
      </c>
      <c r="K21" s="2" t="s">
        <v>34</v>
      </c>
    </row>
    <row r="22" spans="2:11" x14ac:dyDescent="0.25">
      <c r="B22" s="2" t="s">
        <v>26</v>
      </c>
      <c r="C22" s="5">
        <v>18</v>
      </c>
      <c r="D22" s="7">
        <f>SUM(D18:D21)</f>
        <v>99.98888888888888</v>
      </c>
      <c r="E22" s="6">
        <f>SUM(E18:E21)</f>
        <v>28.171362474319764</v>
      </c>
      <c r="F22" s="6">
        <f t="shared" si="2"/>
        <v>84.514087422959292</v>
      </c>
      <c r="G22" s="5"/>
      <c r="H22" s="5"/>
      <c r="I22" s="5"/>
      <c r="J22" s="5"/>
      <c r="K22" s="2"/>
    </row>
    <row r="23" spans="2:11" x14ac:dyDescent="0.25">
      <c r="B23" s="2"/>
      <c r="C23" s="5"/>
      <c r="D23" s="7"/>
      <c r="E23" s="5"/>
      <c r="F23" s="5"/>
      <c r="G23" s="5"/>
      <c r="H23" s="5"/>
      <c r="I23" s="5"/>
      <c r="J23" s="5"/>
      <c r="K23" s="2"/>
    </row>
    <row r="24" spans="2:11" x14ac:dyDescent="0.25">
      <c r="B24" s="2" t="s">
        <v>17</v>
      </c>
      <c r="C24" s="14">
        <v>11.7</v>
      </c>
      <c r="D24" s="7">
        <v>65</v>
      </c>
      <c r="E24" s="5">
        <f>C24/(100-H24)%</f>
        <v>15.961800818553888</v>
      </c>
      <c r="F24" s="5">
        <f t="shared" si="2"/>
        <v>47.885402455661662</v>
      </c>
      <c r="G24" s="5">
        <v>8.1999999999999993</v>
      </c>
      <c r="H24" s="5">
        <v>26.7</v>
      </c>
      <c r="I24" s="5">
        <v>30.8</v>
      </c>
      <c r="J24" s="5">
        <v>3.15</v>
      </c>
      <c r="K24" s="2" t="s">
        <v>36</v>
      </c>
    </row>
    <row r="25" spans="2:11" x14ac:dyDescent="0.25">
      <c r="B25" s="4" t="s">
        <v>21</v>
      </c>
      <c r="C25" s="14">
        <v>1.9</v>
      </c>
      <c r="D25" s="7">
        <v>10.55</v>
      </c>
      <c r="E25" s="5">
        <f>C25/(100-H25)%</f>
        <v>2.5956284153005464</v>
      </c>
      <c r="F25" s="5">
        <f t="shared" si="2"/>
        <v>7.7868852459016393</v>
      </c>
      <c r="G25" s="2">
        <v>2.9</v>
      </c>
      <c r="H25" s="5">
        <v>26.8</v>
      </c>
      <c r="I25" s="2"/>
      <c r="J25" s="2"/>
      <c r="K25" s="2"/>
    </row>
    <row r="26" spans="2:11" x14ac:dyDescent="0.25">
      <c r="B26" s="4" t="s">
        <v>22</v>
      </c>
      <c r="C26" s="2" t="s">
        <v>30</v>
      </c>
      <c r="D26" s="2"/>
      <c r="E26" s="2"/>
      <c r="F26" s="2"/>
      <c r="G26" s="2"/>
      <c r="H26" s="2"/>
      <c r="I26" s="2"/>
      <c r="J26" s="2"/>
      <c r="K26" s="2"/>
    </row>
    <row r="27" spans="2:11" x14ac:dyDescent="0.25">
      <c r="B27" s="4" t="s">
        <v>23</v>
      </c>
      <c r="C27" s="2" t="s">
        <v>29</v>
      </c>
      <c r="D27" s="2"/>
      <c r="E27" s="2"/>
      <c r="F27" s="2"/>
      <c r="G27" s="2"/>
      <c r="H27" s="2"/>
      <c r="I27" s="2"/>
      <c r="J27" s="2"/>
      <c r="K27" s="2"/>
    </row>
    <row r="29" spans="2:11" x14ac:dyDescent="0.25">
      <c r="B29" s="214" t="s">
        <v>37</v>
      </c>
      <c r="C29" s="215"/>
      <c r="D29" s="215"/>
      <c r="E29" s="215"/>
      <c r="F29" s="215"/>
      <c r="G29" s="215"/>
      <c r="H29" s="215"/>
      <c r="I29" s="215"/>
      <c r="J29" s="215"/>
      <c r="K29" s="216"/>
    </row>
    <row r="30" spans="2:11" x14ac:dyDescent="0.25">
      <c r="B30" s="217" t="s">
        <v>0</v>
      </c>
      <c r="C30" s="219" t="s">
        <v>19</v>
      </c>
      <c r="D30" s="217" t="s">
        <v>1</v>
      </c>
      <c r="E30" s="219" t="s">
        <v>20</v>
      </c>
      <c r="F30" s="219" t="s">
        <v>35</v>
      </c>
      <c r="G30" s="221" t="s">
        <v>7</v>
      </c>
      <c r="H30" s="222"/>
      <c r="I30" s="222"/>
      <c r="J30" s="222"/>
      <c r="K30" s="223"/>
    </row>
    <row r="31" spans="2:11" x14ac:dyDescent="0.25">
      <c r="B31" s="218"/>
      <c r="C31" s="220"/>
      <c r="D31" s="218"/>
      <c r="E31" s="220"/>
      <c r="F31" s="220"/>
      <c r="G31" s="2" t="s">
        <v>2</v>
      </c>
      <c r="H31" s="2" t="s">
        <v>3</v>
      </c>
      <c r="I31" s="2" t="s">
        <v>4</v>
      </c>
      <c r="J31" s="2" t="s">
        <v>5</v>
      </c>
      <c r="K31" s="2" t="s">
        <v>6</v>
      </c>
    </row>
    <row r="32" spans="2:11" x14ac:dyDescent="0.25">
      <c r="B32" s="2" t="s">
        <v>8</v>
      </c>
      <c r="C32" s="5">
        <v>7.5</v>
      </c>
      <c r="D32" s="7">
        <f>C32/C36%</f>
        <v>41.666666666666671</v>
      </c>
      <c r="E32" s="6">
        <f>C32/(100-H32)%</f>
        <v>8.6009174311926611</v>
      </c>
      <c r="F32" s="6">
        <f>E32*3</f>
        <v>25.802752293577981</v>
      </c>
      <c r="G32" s="5">
        <v>7.05</v>
      </c>
      <c r="H32" s="5">
        <v>12.8</v>
      </c>
      <c r="I32" s="5">
        <v>14.6</v>
      </c>
      <c r="J32" s="5">
        <v>1.1200000000000001</v>
      </c>
      <c r="K32" s="2" t="s">
        <v>38</v>
      </c>
    </row>
    <row r="33" spans="2:11" x14ac:dyDescent="0.25">
      <c r="B33" s="2" t="s">
        <v>10</v>
      </c>
      <c r="C33" s="5">
        <v>2.5</v>
      </c>
      <c r="D33" s="7">
        <f>C33/C36%</f>
        <v>13.888888888888889</v>
      </c>
      <c r="E33" s="6">
        <f>C33/(100-H33)%</f>
        <v>2.9205607476635516</v>
      </c>
      <c r="F33" s="6">
        <f>E33*3</f>
        <v>8.7616822429906556</v>
      </c>
      <c r="G33" s="5">
        <v>7.22</v>
      </c>
      <c r="H33" s="5">
        <v>14.4</v>
      </c>
      <c r="I33" s="5">
        <v>14.8</v>
      </c>
      <c r="J33" s="5">
        <v>0.94</v>
      </c>
      <c r="K33" s="2" t="s">
        <v>39</v>
      </c>
    </row>
    <row r="34" spans="2:11" x14ac:dyDescent="0.25">
      <c r="B34" s="2" t="s">
        <v>12</v>
      </c>
      <c r="C34" s="5">
        <v>6</v>
      </c>
      <c r="D34" s="7">
        <f>C34/C36%</f>
        <v>33.333333333333336</v>
      </c>
      <c r="E34" s="6">
        <f>C34/(100-H34)%</f>
        <v>13.48314606741573</v>
      </c>
      <c r="F34" s="6">
        <f>E34*3</f>
        <v>40.449438202247187</v>
      </c>
      <c r="G34" s="5">
        <v>4.12</v>
      </c>
      <c r="H34" s="5">
        <v>55.5</v>
      </c>
      <c r="I34" s="5">
        <v>1.8</v>
      </c>
      <c r="J34" s="5">
        <v>0.35</v>
      </c>
      <c r="K34" s="2" t="s">
        <v>40</v>
      </c>
    </row>
    <row r="35" spans="2:11" x14ac:dyDescent="0.25">
      <c r="B35" s="2" t="s">
        <v>14</v>
      </c>
      <c r="C35" s="5">
        <v>2</v>
      </c>
      <c r="D35" s="7">
        <v>11.1</v>
      </c>
      <c r="E35" s="6">
        <f>C35/(100-H35)%</f>
        <v>3.6363636363636362</v>
      </c>
      <c r="F35" s="6">
        <f>E35*3</f>
        <v>10.909090909090908</v>
      </c>
      <c r="G35" s="5">
        <v>3.76</v>
      </c>
      <c r="H35" s="5">
        <v>45</v>
      </c>
      <c r="I35" s="5">
        <v>3</v>
      </c>
      <c r="J35" s="5">
        <v>0.56000000000000005</v>
      </c>
      <c r="K35" s="2" t="s">
        <v>15</v>
      </c>
    </row>
    <row r="36" spans="2:11" x14ac:dyDescent="0.25">
      <c r="B36" s="2" t="s">
        <v>26</v>
      </c>
      <c r="C36" s="5">
        <v>18</v>
      </c>
      <c r="D36" s="7">
        <f>SUM(D32:D35)</f>
        <v>99.98888888888888</v>
      </c>
      <c r="E36" s="6">
        <f>SUM(E32:E35)</f>
        <v>28.640987882635581</v>
      </c>
      <c r="F36" s="6">
        <f>E36*3</f>
        <v>85.922963647906741</v>
      </c>
      <c r="G36" s="5"/>
      <c r="H36" s="5"/>
      <c r="I36" s="5"/>
      <c r="J36" s="5"/>
      <c r="K36" s="2"/>
    </row>
    <row r="37" spans="2:11" x14ac:dyDescent="0.25">
      <c r="B37" s="2"/>
      <c r="C37" s="5"/>
      <c r="D37" s="7"/>
      <c r="E37" s="5"/>
      <c r="F37" s="5"/>
      <c r="G37" s="5"/>
      <c r="H37" s="5"/>
      <c r="I37" s="5"/>
      <c r="J37" s="5"/>
      <c r="K37" s="2"/>
    </row>
    <row r="38" spans="2:11" x14ac:dyDescent="0.25">
      <c r="B38" s="2" t="s">
        <v>17</v>
      </c>
      <c r="C38" s="5">
        <v>8.1</v>
      </c>
      <c r="D38" s="7">
        <v>45</v>
      </c>
      <c r="E38" s="5">
        <f>C38/(100-H38)%</f>
        <v>10.227272727272727</v>
      </c>
      <c r="F38" s="5">
        <f>E38*3</f>
        <v>30.68181818181818</v>
      </c>
      <c r="G38" s="5">
        <v>8.1999999999999993</v>
      </c>
      <c r="H38" s="5">
        <v>20.8</v>
      </c>
      <c r="I38" s="5">
        <v>30.8</v>
      </c>
      <c r="J38" s="5">
        <v>3.15</v>
      </c>
      <c r="K38" s="2" t="s">
        <v>36</v>
      </c>
    </row>
    <row r="39" spans="2:11" x14ac:dyDescent="0.25">
      <c r="B39" s="4" t="s">
        <v>21</v>
      </c>
      <c r="C39" s="5">
        <v>1.9</v>
      </c>
      <c r="D39" s="7">
        <v>10.55</v>
      </c>
      <c r="E39" s="5">
        <f>C39/(100-H39)%</f>
        <v>2.7656477438136822</v>
      </c>
      <c r="F39" s="5">
        <f>E39*3</f>
        <v>8.2969432314410465</v>
      </c>
      <c r="G39" s="2">
        <v>2.9</v>
      </c>
      <c r="H39" s="5">
        <v>31.3</v>
      </c>
      <c r="I39" s="2"/>
      <c r="J39" s="2"/>
      <c r="K39" s="2"/>
    </row>
    <row r="40" spans="2:11" x14ac:dyDescent="0.25">
      <c r="B40" s="4" t="s">
        <v>22</v>
      </c>
      <c r="C40" s="2" t="s">
        <v>30</v>
      </c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4" t="s">
        <v>23</v>
      </c>
      <c r="C41" s="2" t="s">
        <v>29</v>
      </c>
      <c r="D41" s="2"/>
      <c r="E41" s="2"/>
      <c r="F41" s="2"/>
      <c r="G41" s="2"/>
      <c r="H41" s="2"/>
      <c r="I41" s="2"/>
      <c r="J41" s="2"/>
      <c r="K41" s="2"/>
    </row>
    <row r="43" spans="2:11" x14ac:dyDescent="0.25">
      <c r="B43" s="214" t="s">
        <v>41</v>
      </c>
      <c r="C43" s="215"/>
      <c r="D43" s="215"/>
      <c r="E43" s="215"/>
      <c r="F43" s="215"/>
      <c r="G43" s="215"/>
      <c r="H43" s="215"/>
      <c r="I43" s="215"/>
      <c r="J43" s="215"/>
      <c r="K43" s="216"/>
    </row>
    <row r="44" spans="2:11" x14ac:dyDescent="0.25">
      <c r="B44" s="217" t="s">
        <v>0</v>
      </c>
      <c r="C44" s="219" t="s">
        <v>19</v>
      </c>
      <c r="D44" s="217" t="s">
        <v>1</v>
      </c>
      <c r="E44" s="219" t="s">
        <v>20</v>
      </c>
      <c r="F44" s="219" t="s">
        <v>35</v>
      </c>
      <c r="G44" s="221" t="s">
        <v>7</v>
      </c>
      <c r="H44" s="222"/>
      <c r="I44" s="222"/>
      <c r="J44" s="222"/>
      <c r="K44" s="223"/>
    </row>
    <row r="45" spans="2:11" x14ac:dyDescent="0.25">
      <c r="B45" s="218"/>
      <c r="C45" s="220"/>
      <c r="D45" s="218"/>
      <c r="E45" s="220"/>
      <c r="F45" s="220"/>
      <c r="G45" s="2" t="s">
        <v>2</v>
      </c>
      <c r="H45" s="2" t="s">
        <v>3</v>
      </c>
      <c r="I45" s="2" t="s">
        <v>4</v>
      </c>
      <c r="J45" s="2" t="s">
        <v>5</v>
      </c>
      <c r="K45" s="2" t="s">
        <v>6</v>
      </c>
    </row>
    <row r="46" spans="2:11" x14ac:dyDescent="0.25">
      <c r="B46" s="2" t="s">
        <v>8</v>
      </c>
      <c r="C46" s="5">
        <v>7.5</v>
      </c>
      <c r="D46" s="7">
        <f>C46/C50%</f>
        <v>41.666666666666671</v>
      </c>
      <c r="E46" s="6">
        <f>C46/(100-H46)%</f>
        <v>8.6009174311926611</v>
      </c>
      <c r="F46" s="6">
        <f>E46*3</f>
        <v>25.802752293577981</v>
      </c>
      <c r="G46" s="5">
        <v>7.05</v>
      </c>
      <c r="H46" s="14">
        <v>12.8</v>
      </c>
      <c r="I46" s="5">
        <v>14.6</v>
      </c>
      <c r="J46" s="5">
        <v>1.1200000000000001</v>
      </c>
      <c r="K46" s="2" t="s">
        <v>38</v>
      </c>
    </row>
    <row r="47" spans="2:11" x14ac:dyDescent="0.25">
      <c r="B47" s="2" t="s">
        <v>10</v>
      </c>
      <c r="C47" s="5">
        <v>2.5</v>
      </c>
      <c r="D47" s="7">
        <f>C47/C50%</f>
        <v>13.888888888888889</v>
      </c>
      <c r="E47" s="6">
        <f>C47/(100-H47)%</f>
        <v>2.8835063437139561</v>
      </c>
      <c r="F47" s="6">
        <f>E47*3</f>
        <v>8.6505190311418687</v>
      </c>
      <c r="G47" s="5">
        <v>7.22</v>
      </c>
      <c r="H47" s="5">
        <v>13.3</v>
      </c>
      <c r="I47" s="5">
        <v>14.8</v>
      </c>
      <c r="J47" s="5">
        <v>0.94</v>
      </c>
      <c r="K47" s="2" t="s">
        <v>39</v>
      </c>
    </row>
    <row r="48" spans="2:11" x14ac:dyDescent="0.25">
      <c r="B48" s="2" t="s">
        <v>12</v>
      </c>
      <c r="C48" s="5">
        <v>6</v>
      </c>
      <c r="D48" s="7">
        <f>C48/C50%</f>
        <v>33.333333333333336</v>
      </c>
      <c r="E48" s="6">
        <f>C48/(100-H48)%</f>
        <v>15.584415584415584</v>
      </c>
      <c r="F48" s="6">
        <f>E48*3</f>
        <v>46.753246753246756</v>
      </c>
      <c r="G48" s="5">
        <v>4.12</v>
      </c>
      <c r="H48" s="5">
        <v>61.5</v>
      </c>
      <c r="I48" s="5">
        <v>1.8</v>
      </c>
      <c r="J48" s="5">
        <v>0.35</v>
      </c>
      <c r="K48" s="2" t="s">
        <v>40</v>
      </c>
    </row>
    <row r="49" spans="2:11" x14ac:dyDescent="0.25">
      <c r="B49" s="2" t="s">
        <v>14</v>
      </c>
      <c r="C49" s="5">
        <v>2</v>
      </c>
      <c r="D49" s="7">
        <v>11.1</v>
      </c>
      <c r="E49" s="6">
        <f>C49/(100-H49)%</f>
        <v>3.7383177570093458</v>
      </c>
      <c r="F49" s="6">
        <f>E49*3</f>
        <v>11.214953271028037</v>
      </c>
      <c r="G49" s="5">
        <v>3.76</v>
      </c>
      <c r="H49" s="5">
        <v>46.5</v>
      </c>
      <c r="I49" s="5">
        <v>3</v>
      </c>
      <c r="J49" s="5">
        <v>0.56000000000000005</v>
      </c>
      <c r="K49" s="2" t="s">
        <v>15</v>
      </c>
    </row>
    <row r="50" spans="2:11" x14ac:dyDescent="0.25">
      <c r="B50" s="2" t="s">
        <v>26</v>
      </c>
      <c r="C50" s="5">
        <v>18</v>
      </c>
      <c r="D50" s="7">
        <f>SUM(D46:D49)</f>
        <v>99.98888888888888</v>
      </c>
      <c r="E50" s="6">
        <f>SUM(E46:E49)</f>
        <v>30.807157116331545</v>
      </c>
      <c r="F50" s="6">
        <f>E50*3</f>
        <v>92.421471348994629</v>
      </c>
      <c r="G50" s="5"/>
      <c r="H50" s="5"/>
      <c r="I50" s="5"/>
      <c r="J50" s="5"/>
      <c r="K50" s="2"/>
    </row>
    <row r="51" spans="2:11" x14ac:dyDescent="0.25">
      <c r="B51" s="2"/>
      <c r="C51" s="5"/>
      <c r="D51" s="7"/>
      <c r="E51" s="5"/>
      <c r="F51" s="5"/>
      <c r="G51" s="5"/>
      <c r="H51" s="5"/>
      <c r="I51" s="5"/>
      <c r="J51" s="5"/>
      <c r="K51" s="2"/>
    </row>
    <row r="52" spans="2:11" x14ac:dyDescent="0.25">
      <c r="B52" s="2" t="s">
        <v>17</v>
      </c>
      <c r="C52" s="5">
        <v>8.1</v>
      </c>
      <c r="D52" s="7">
        <v>45</v>
      </c>
      <c r="E52" s="5">
        <f>C52/(100-H52)%</f>
        <v>10.227272727272727</v>
      </c>
      <c r="F52" s="5">
        <f>E52*3</f>
        <v>30.68181818181818</v>
      </c>
      <c r="G52" s="5">
        <v>8.1999999999999993</v>
      </c>
      <c r="H52" s="5">
        <v>20.8</v>
      </c>
      <c r="I52" s="5">
        <v>30.8</v>
      </c>
      <c r="J52" s="5">
        <v>3.15</v>
      </c>
      <c r="K52" s="2" t="s">
        <v>36</v>
      </c>
    </row>
    <row r="53" spans="2:11" x14ac:dyDescent="0.25">
      <c r="B53" s="4" t="s">
        <v>21</v>
      </c>
      <c r="C53" s="5">
        <v>1.9</v>
      </c>
      <c r="D53" s="7">
        <v>10.55</v>
      </c>
      <c r="E53" s="5">
        <f>C53/(100-H53)%</f>
        <v>2.5956284153005464</v>
      </c>
      <c r="F53" s="5">
        <f>E53*3</f>
        <v>7.7868852459016393</v>
      </c>
      <c r="G53" s="2">
        <v>2.9</v>
      </c>
      <c r="H53" s="5">
        <v>26.8</v>
      </c>
      <c r="I53" s="2"/>
      <c r="J53" s="2"/>
      <c r="K53" s="2"/>
    </row>
    <row r="54" spans="2:11" x14ac:dyDescent="0.25">
      <c r="B54" s="4" t="s">
        <v>22</v>
      </c>
      <c r="C54" s="2" t="s">
        <v>30</v>
      </c>
      <c r="D54" s="2"/>
      <c r="E54" s="2"/>
      <c r="F54" s="2"/>
      <c r="G54" s="2"/>
      <c r="H54" s="2"/>
      <c r="I54" s="2"/>
      <c r="J54" s="2"/>
      <c r="K54" s="2"/>
    </row>
    <row r="55" spans="2:11" x14ac:dyDescent="0.25">
      <c r="B55" s="4" t="s">
        <v>23</v>
      </c>
      <c r="C55" s="2" t="s">
        <v>29</v>
      </c>
      <c r="D55" s="2"/>
      <c r="E55" s="2"/>
      <c r="F55" s="2"/>
      <c r="G55" s="2"/>
      <c r="H55" s="2"/>
      <c r="I55" s="2"/>
      <c r="J55" s="2"/>
      <c r="K55" s="2"/>
    </row>
  </sheetData>
  <mergeCells count="28">
    <mergeCell ref="B29:K29"/>
    <mergeCell ref="B30:B31"/>
    <mergeCell ref="C30:C31"/>
    <mergeCell ref="D30:D31"/>
    <mergeCell ref="E30:E31"/>
    <mergeCell ref="F30:F31"/>
    <mergeCell ref="G30:K30"/>
    <mergeCell ref="G3:K3"/>
    <mergeCell ref="B3:B4"/>
    <mergeCell ref="C3:C4"/>
    <mergeCell ref="D3:D4"/>
    <mergeCell ref="B2:K2"/>
    <mergeCell ref="E3:E4"/>
    <mergeCell ref="F3:F4"/>
    <mergeCell ref="B15:K15"/>
    <mergeCell ref="B16:B17"/>
    <mergeCell ref="C16:C17"/>
    <mergeCell ref="D16:D17"/>
    <mergeCell ref="E16:E17"/>
    <mergeCell ref="F16:F17"/>
    <mergeCell ref="G16:K16"/>
    <mergeCell ref="B43:K43"/>
    <mergeCell ref="B44:B45"/>
    <mergeCell ref="C44:C45"/>
    <mergeCell ref="D44:D45"/>
    <mergeCell ref="E44:E45"/>
    <mergeCell ref="F44:F45"/>
    <mergeCell ref="G44:K44"/>
  </mergeCells>
  <pageMargins left="0.7" right="0.7" top="0.75" bottom="0.75" header="0.3" footer="0.3"/>
  <pageSetup orientation="portrait" r:id="rId1"/>
  <ignoredErrors>
    <ignoredError sqref="E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790"/>
  <sheetViews>
    <sheetView tabSelected="1" topLeftCell="A745" zoomScale="130" zoomScaleNormal="130" workbookViewId="0">
      <selection activeCell="E775" sqref="E775"/>
    </sheetView>
  </sheetViews>
  <sheetFormatPr defaultRowHeight="15" x14ac:dyDescent="0.25"/>
  <cols>
    <col min="1" max="1" width="2.5703125" customWidth="1"/>
    <col min="2" max="2" width="24.7109375" style="61" bestFit="1" customWidth="1"/>
    <col min="3" max="3" width="7.28515625" style="45" customWidth="1"/>
    <col min="4" max="4" width="14.28515625" style="132" customWidth="1"/>
    <col min="5" max="5" width="9.28515625" bestFit="1" customWidth="1"/>
    <col min="6" max="6" width="10.85546875" bestFit="1" customWidth="1"/>
    <col min="7" max="7" width="9.28515625" bestFit="1" customWidth="1"/>
    <col min="8" max="8" width="11.85546875" bestFit="1" customWidth="1"/>
    <col min="9" max="9" width="15.140625" customWidth="1"/>
    <col min="10" max="10" width="4.140625" customWidth="1"/>
    <col min="11" max="11" width="20" style="61" bestFit="1" customWidth="1"/>
    <col min="12" max="12" width="8.28515625" style="34" customWidth="1"/>
    <col min="13" max="13" width="16" style="61" customWidth="1"/>
    <col min="14" max="14" width="9.140625" customWidth="1"/>
    <col min="15" max="15" width="10.7109375" bestFit="1" customWidth="1"/>
    <col min="16" max="16" width="8" customWidth="1"/>
    <col min="17" max="17" width="10.42578125" bestFit="1" customWidth="1"/>
    <col min="18" max="18" width="10.85546875" bestFit="1" customWidth="1"/>
  </cols>
  <sheetData>
    <row r="2" spans="2:17" x14ac:dyDescent="0.25">
      <c r="B2" s="268" t="s">
        <v>56</v>
      </c>
      <c r="C2" s="268"/>
      <c r="D2" s="268"/>
      <c r="E2" s="268"/>
      <c r="F2" s="268"/>
      <c r="G2" s="268"/>
      <c r="H2" s="268"/>
      <c r="I2" s="268"/>
      <c r="K2" s="214" t="s">
        <v>56</v>
      </c>
      <c r="L2" s="215"/>
      <c r="M2" s="215"/>
      <c r="N2" s="215"/>
      <c r="O2" s="215"/>
      <c r="P2" s="215"/>
      <c r="Q2" s="215"/>
    </row>
    <row r="3" spans="2:17" x14ac:dyDescent="0.25">
      <c r="B3" s="269" t="s">
        <v>0</v>
      </c>
      <c r="C3" s="227" t="s">
        <v>1</v>
      </c>
      <c r="D3" s="269" t="s">
        <v>47</v>
      </c>
      <c r="E3" s="229" t="s">
        <v>46</v>
      </c>
      <c r="F3" s="229"/>
      <c r="G3" s="229"/>
      <c r="H3" s="229"/>
      <c r="I3" s="229" t="s">
        <v>102</v>
      </c>
      <c r="K3" s="219" t="s">
        <v>0</v>
      </c>
      <c r="L3" s="227" t="s">
        <v>1</v>
      </c>
      <c r="M3" s="219" t="s">
        <v>52</v>
      </c>
      <c r="N3" s="221" t="s">
        <v>7</v>
      </c>
      <c r="O3" s="222"/>
      <c r="P3" s="222"/>
      <c r="Q3" s="222"/>
    </row>
    <row r="4" spans="2:17" x14ac:dyDescent="0.25">
      <c r="B4" s="269"/>
      <c r="C4" s="228"/>
      <c r="D4" s="269"/>
      <c r="E4" s="2" t="s">
        <v>42</v>
      </c>
      <c r="F4" s="2" t="s">
        <v>43</v>
      </c>
      <c r="G4" s="2" t="s">
        <v>44</v>
      </c>
      <c r="H4" s="2" t="s">
        <v>45</v>
      </c>
      <c r="I4" s="229"/>
      <c r="K4" s="220"/>
      <c r="L4" s="228"/>
      <c r="M4" s="220"/>
      <c r="N4" s="2" t="s">
        <v>2</v>
      </c>
      <c r="O4" s="2" t="s">
        <v>51</v>
      </c>
      <c r="P4" s="2" t="s">
        <v>44</v>
      </c>
      <c r="Q4" s="2" t="s">
        <v>53</v>
      </c>
    </row>
    <row r="5" spans="2:17" x14ac:dyDescent="0.25">
      <c r="B5" s="56" t="s">
        <v>8</v>
      </c>
      <c r="C5" s="35">
        <f>D5/(D5+D6+D7+D8)*100</f>
        <v>47.5</v>
      </c>
      <c r="D5" s="125">
        <v>9.5</v>
      </c>
      <c r="E5" s="6">
        <v>1.1200000000000001</v>
      </c>
      <c r="F5" s="6">
        <f t="shared" ref="F5:F12" si="0">(D5*E5%)*1000</f>
        <v>106.40000000000002</v>
      </c>
      <c r="G5" s="6">
        <v>14.6</v>
      </c>
      <c r="H5" s="6">
        <f t="shared" ref="H5:H10" si="1">(D5*G5%)*1000</f>
        <v>1387</v>
      </c>
      <c r="I5" s="51">
        <f>D5+D6+D7+D8</f>
        <v>20</v>
      </c>
      <c r="K5" s="56" t="s">
        <v>8</v>
      </c>
      <c r="L5" s="35">
        <f>M5/(M5+M6+M7+M8)*100</f>
        <v>36.111111111111107</v>
      </c>
      <c r="M5" s="64">
        <v>6.5</v>
      </c>
      <c r="N5" s="5">
        <v>7.24</v>
      </c>
      <c r="O5" s="14">
        <v>12</v>
      </c>
      <c r="P5" s="6">
        <v>14.6</v>
      </c>
      <c r="Q5" s="6">
        <v>1.1200000000000001</v>
      </c>
    </row>
    <row r="6" spans="2:17" x14ac:dyDescent="0.25">
      <c r="B6" s="56" t="s">
        <v>12</v>
      </c>
      <c r="C6" s="35">
        <f>D6/(D5+D6+D7+D8)*100</f>
        <v>30</v>
      </c>
      <c r="D6" s="125">
        <v>6</v>
      </c>
      <c r="E6" s="6">
        <v>0.4</v>
      </c>
      <c r="F6" s="6">
        <f t="shared" si="0"/>
        <v>24</v>
      </c>
      <c r="G6" s="6">
        <v>1.8</v>
      </c>
      <c r="H6" s="6">
        <f t="shared" si="1"/>
        <v>108.00000000000001</v>
      </c>
      <c r="I6" s="25"/>
      <c r="K6" s="56" t="s">
        <v>12</v>
      </c>
      <c r="L6" s="35">
        <f>M6/(M5+M6+M7+M8)*100</f>
        <v>11.111111111111111</v>
      </c>
      <c r="M6" s="64">
        <v>2</v>
      </c>
      <c r="N6" s="5">
        <v>4.12</v>
      </c>
      <c r="O6" s="5">
        <v>60.8</v>
      </c>
      <c r="P6" s="6">
        <v>1.8</v>
      </c>
      <c r="Q6" s="6">
        <v>0.4</v>
      </c>
    </row>
    <row r="7" spans="2:17" x14ac:dyDescent="0.25">
      <c r="B7" s="56" t="s">
        <v>14</v>
      </c>
      <c r="C7" s="35">
        <f>D7/(D5+D6+D7+D8)*100</f>
        <v>10</v>
      </c>
      <c r="D7" s="125">
        <v>2</v>
      </c>
      <c r="E7" s="6">
        <v>0.6</v>
      </c>
      <c r="F7" s="6">
        <f t="shared" si="0"/>
        <v>12</v>
      </c>
      <c r="G7" s="6">
        <v>3</v>
      </c>
      <c r="H7" s="6">
        <f t="shared" si="1"/>
        <v>60</v>
      </c>
      <c r="I7" s="25"/>
      <c r="K7" s="56" t="s">
        <v>14</v>
      </c>
      <c r="L7" s="35">
        <f>M7/(M5+M6+M7+M8)*100</f>
        <v>44.444444444444443</v>
      </c>
      <c r="M7" s="64">
        <v>8</v>
      </c>
      <c r="N7" s="5">
        <v>3.86</v>
      </c>
      <c r="O7" s="5">
        <v>44.2</v>
      </c>
      <c r="P7" s="6">
        <v>3</v>
      </c>
      <c r="Q7" s="6">
        <v>0.6</v>
      </c>
    </row>
    <row r="8" spans="2:17" x14ac:dyDescent="0.25">
      <c r="B8" s="57" t="s">
        <v>10</v>
      </c>
      <c r="C8" s="35">
        <f>D8/(D5+D6+D7+D8)*100</f>
        <v>12.5</v>
      </c>
      <c r="D8" s="125">
        <v>2.5</v>
      </c>
      <c r="E8" s="6">
        <v>0.9</v>
      </c>
      <c r="F8" s="6">
        <f t="shared" si="0"/>
        <v>22.500000000000004</v>
      </c>
      <c r="G8" s="6">
        <v>14.8</v>
      </c>
      <c r="H8" s="6">
        <f t="shared" si="1"/>
        <v>370.00000000000006</v>
      </c>
      <c r="I8" s="25"/>
      <c r="K8" s="57" t="s">
        <v>10</v>
      </c>
      <c r="L8" s="35">
        <f>M8/(M5+M6+M7+M8)*100</f>
        <v>8.3333333333333321</v>
      </c>
      <c r="M8" s="64">
        <v>1.5</v>
      </c>
      <c r="N8" s="5">
        <v>6.94</v>
      </c>
      <c r="O8" s="5">
        <v>14.4</v>
      </c>
      <c r="P8" s="6">
        <v>14.8</v>
      </c>
      <c r="Q8" s="6">
        <v>0.9</v>
      </c>
    </row>
    <row r="9" spans="2:17" x14ac:dyDescent="0.25">
      <c r="B9" s="56" t="s">
        <v>17</v>
      </c>
      <c r="C9" s="35">
        <f>D9/(D5+D6+D7+D8)*100</f>
        <v>45</v>
      </c>
      <c r="D9" s="125">
        <v>9</v>
      </c>
      <c r="E9" s="6">
        <v>3.2</v>
      </c>
      <c r="F9" s="6">
        <f t="shared" si="0"/>
        <v>288.00000000000006</v>
      </c>
      <c r="G9" s="6">
        <v>30.8</v>
      </c>
      <c r="H9" s="6">
        <f t="shared" si="1"/>
        <v>2772</v>
      </c>
      <c r="I9" s="25"/>
      <c r="K9" s="56" t="s">
        <v>17</v>
      </c>
      <c r="L9" s="35">
        <f>M9/(M5+M6+M7+M8)*100</f>
        <v>47.222222222222221</v>
      </c>
      <c r="M9" s="64">
        <v>8.5</v>
      </c>
      <c r="N9" s="5">
        <v>7.98</v>
      </c>
      <c r="O9" s="5">
        <v>24.3</v>
      </c>
      <c r="P9" s="6">
        <v>30.8</v>
      </c>
      <c r="Q9" s="6">
        <v>3.2</v>
      </c>
    </row>
    <row r="10" spans="2:17" x14ac:dyDescent="0.25">
      <c r="B10" s="57" t="s">
        <v>21</v>
      </c>
      <c r="C10" s="41">
        <f>D10/(D5+D6+D7+D8+D9)*100</f>
        <v>6.5517241379310338</v>
      </c>
      <c r="D10" s="126">
        <v>1.9</v>
      </c>
      <c r="E10" s="6"/>
      <c r="F10" s="6">
        <f t="shared" si="0"/>
        <v>0</v>
      </c>
      <c r="G10" s="6">
        <v>86</v>
      </c>
      <c r="H10" s="6">
        <f t="shared" si="1"/>
        <v>1634</v>
      </c>
      <c r="I10" s="25"/>
      <c r="K10" s="57" t="s">
        <v>21</v>
      </c>
      <c r="L10" s="36"/>
      <c r="M10" s="64">
        <v>1.8</v>
      </c>
      <c r="N10" s="2">
        <v>3.1</v>
      </c>
      <c r="O10" s="5">
        <v>31.1</v>
      </c>
      <c r="P10" s="6">
        <v>86</v>
      </c>
      <c r="Q10" s="2"/>
    </row>
    <row r="11" spans="2:17" x14ac:dyDescent="0.25">
      <c r="B11" s="57" t="s">
        <v>49</v>
      </c>
      <c r="C11" s="41"/>
      <c r="D11" s="126">
        <v>0</v>
      </c>
      <c r="E11" s="10">
        <v>46</v>
      </c>
      <c r="F11" s="6">
        <f t="shared" si="0"/>
        <v>0</v>
      </c>
      <c r="G11" s="2"/>
      <c r="H11" s="2"/>
      <c r="I11" s="25"/>
      <c r="K11" s="57" t="s">
        <v>54</v>
      </c>
      <c r="L11" s="36"/>
      <c r="M11" s="56">
        <v>0</v>
      </c>
      <c r="N11" s="2"/>
      <c r="O11" s="2"/>
      <c r="P11" s="2"/>
      <c r="Q11" s="2"/>
    </row>
    <row r="12" spans="2:17" ht="30" x14ac:dyDescent="0.25">
      <c r="B12" s="57" t="s">
        <v>48</v>
      </c>
      <c r="C12" s="41"/>
      <c r="D12" s="126">
        <v>0.1</v>
      </c>
      <c r="E12" s="10">
        <v>20.5</v>
      </c>
      <c r="F12" s="6">
        <f t="shared" si="0"/>
        <v>20.5</v>
      </c>
      <c r="G12" s="2"/>
      <c r="H12" s="2"/>
      <c r="I12" s="25"/>
      <c r="K12" s="57" t="s">
        <v>23</v>
      </c>
      <c r="L12" s="36"/>
      <c r="M12" s="56">
        <v>0.5</v>
      </c>
      <c r="N12" s="2"/>
      <c r="O12" s="2"/>
      <c r="P12" s="2"/>
      <c r="Q12" s="5">
        <v>20.5</v>
      </c>
    </row>
    <row r="13" spans="2:17" x14ac:dyDescent="0.25">
      <c r="B13" s="58" t="s">
        <v>26</v>
      </c>
      <c r="C13" s="42"/>
      <c r="D13" s="127">
        <f>SUM(D5:D12)</f>
        <v>31</v>
      </c>
      <c r="E13" s="9"/>
      <c r="F13" s="11">
        <f>SUM(F5:F12)</f>
        <v>473.40000000000009</v>
      </c>
      <c r="G13" s="9"/>
      <c r="H13" s="11">
        <f>SUM(H5:H12)</f>
        <v>6331</v>
      </c>
      <c r="I13" s="24" t="s">
        <v>6</v>
      </c>
      <c r="K13" s="57" t="s">
        <v>26</v>
      </c>
      <c r="L13" s="36"/>
      <c r="M13" s="64">
        <f>SUM(M5:M12)</f>
        <v>28.8</v>
      </c>
      <c r="N13" s="1"/>
      <c r="O13" s="1"/>
      <c r="P13" s="1"/>
      <c r="Q13" s="1"/>
    </row>
    <row r="14" spans="2:17" x14ac:dyDescent="0.25">
      <c r="B14" s="59"/>
      <c r="C14" s="43"/>
      <c r="D14" s="128"/>
      <c r="E14" s="1"/>
      <c r="F14" s="8">
        <f>F13/D13/10</f>
        <v>1.5270967741935486</v>
      </c>
      <c r="G14" s="12"/>
      <c r="H14" s="8">
        <f>H13/D13/10</f>
        <v>20.42258064516129</v>
      </c>
      <c r="I14" s="11">
        <f>((100-H14)*0.5)/F14</f>
        <v>26.055133079847906</v>
      </c>
    </row>
    <row r="16" spans="2:17" x14ac:dyDescent="0.25">
      <c r="B16" s="268" t="s">
        <v>50</v>
      </c>
      <c r="C16" s="268"/>
      <c r="D16" s="268"/>
      <c r="E16" s="268"/>
      <c r="F16" s="268"/>
      <c r="G16" s="268"/>
      <c r="H16" s="268"/>
      <c r="I16" s="268"/>
      <c r="K16" s="214" t="s">
        <v>64</v>
      </c>
      <c r="L16" s="215"/>
      <c r="M16" s="215"/>
      <c r="N16" s="215"/>
      <c r="O16" s="215"/>
      <c r="P16" s="215"/>
      <c r="Q16" s="215"/>
    </row>
    <row r="17" spans="2:17" x14ac:dyDescent="0.25">
      <c r="B17" s="269" t="s">
        <v>0</v>
      </c>
      <c r="C17" s="227" t="s">
        <v>1</v>
      </c>
      <c r="D17" s="269" t="s">
        <v>47</v>
      </c>
      <c r="E17" s="229" t="s">
        <v>46</v>
      </c>
      <c r="F17" s="229"/>
      <c r="G17" s="229"/>
      <c r="H17" s="229"/>
      <c r="I17" s="229" t="s">
        <v>102</v>
      </c>
      <c r="K17" s="219" t="s">
        <v>0</v>
      </c>
      <c r="L17" s="227" t="s">
        <v>1</v>
      </c>
      <c r="M17" s="219" t="s">
        <v>52</v>
      </c>
      <c r="N17" s="221" t="s">
        <v>7</v>
      </c>
      <c r="O17" s="222"/>
      <c r="P17" s="222"/>
      <c r="Q17" s="222"/>
    </row>
    <row r="18" spans="2:17" x14ac:dyDescent="0.25">
      <c r="B18" s="269"/>
      <c r="C18" s="228"/>
      <c r="D18" s="269"/>
      <c r="E18" s="2" t="s">
        <v>42</v>
      </c>
      <c r="F18" s="2" t="s">
        <v>43</v>
      </c>
      <c r="G18" s="2" t="s">
        <v>44</v>
      </c>
      <c r="H18" s="2" t="s">
        <v>45</v>
      </c>
      <c r="I18" s="229"/>
      <c r="K18" s="220"/>
      <c r="L18" s="228"/>
      <c r="M18" s="220"/>
      <c r="N18" s="2" t="s">
        <v>2</v>
      </c>
      <c r="O18" s="2" t="s">
        <v>51</v>
      </c>
      <c r="P18" s="2" t="s">
        <v>44</v>
      </c>
      <c r="Q18" s="2" t="s">
        <v>53</v>
      </c>
    </row>
    <row r="19" spans="2:17" x14ac:dyDescent="0.25">
      <c r="B19" s="56" t="s">
        <v>8</v>
      </c>
      <c r="C19" s="35">
        <f>D19/(D19+D20+D21+D22)*100</f>
        <v>30.412371134020621</v>
      </c>
      <c r="D19" s="125">
        <v>5.9</v>
      </c>
      <c r="E19" s="6">
        <v>1.1000000000000001</v>
      </c>
      <c r="F19" s="6">
        <f t="shared" ref="F19:F26" si="2">(D19*E19%)*1000</f>
        <v>64.90000000000002</v>
      </c>
      <c r="G19" s="6">
        <v>14.6</v>
      </c>
      <c r="H19" s="6">
        <f t="shared" ref="H19:H24" si="3">(D19*G19%)*1000</f>
        <v>861.4</v>
      </c>
      <c r="I19" s="51">
        <f>D19+D20+D21+D22</f>
        <v>19.399999999999999</v>
      </c>
      <c r="K19" s="56" t="s">
        <v>8</v>
      </c>
      <c r="L19" s="35">
        <f>M19/(M19+M20+M21+M22)*100</f>
        <v>33.908045977011497</v>
      </c>
      <c r="M19" s="64">
        <v>5.9</v>
      </c>
      <c r="N19" s="5">
        <v>7.06</v>
      </c>
      <c r="O19" s="14">
        <v>13.5</v>
      </c>
      <c r="P19" s="6">
        <v>14.6</v>
      </c>
      <c r="Q19" s="6">
        <v>1.1000000000000001</v>
      </c>
    </row>
    <row r="20" spans="2:17" x14ac:dyDescent="0.25">
      <c r="B20" s="56" t="s">
        <v>12</v>
      </c>
      <c r="C20" s="35">
        <f>D20/(D19+D20+D21+D22)*100</f>
        <v>46.391752577319586</v>
      </c>
      <c r="D20" s="125">
        <v>9</v>
      </c>
      <c r="E20" s="6">
        <v>0.4</v>
      </c>
      <c r="F20" s="6">
        <f t="shared" si="2"/>
        <v>36.000000000000007</v>
      </c>
      <c r="G20" s="6">
        <v>1.8</v>
      </c>
      <c r="H20" s="6">
        <f t="shared" si="3"/>
        <v>162.00000000000003</v>
      </c>
      <c r="I20" s="25"/>
      <c r="K20" s="56" t="s">
        <v>12</v>
      </c>
      <c r="L20" s="35">
        <f>M20/(M19+M20+M21+M22)*100</f>
        <v>11.494252873563219</v>
      </c>
      <c r="M20" s="64">
        <v>2</v>
      </c>
      <c r="N20" s="5">
        <v>4.25</v>
      </c>
      <c r="O20" s="5">
        <v>59.6</v>
      </c>
      <c r="P20" s="6">
        <v>1.8</v>
      </c>
      <c r="Q20" s="6">
        <v>0.4</v>
      </c>
    </row>
    <row r="21" spans="2:17" x14ac:dyDescent="0.25">
      <c r="B21" s="56" t="s">
        <v>14</v>
      </c>
      <c r="C21" s="35">
        <f>D21/(D19+D20+D21+D22)*100</f>
        <v>10.309278350515465</v>
      </c>
      <c r="D21" s="125">
        <v>2</v>
      </c>
      <c r="E21" s="6">
        <v>0.6</v>
      </c>
      <c r="F21" s="6">
        <f t="shared" si="2"/>
        <v>12</v>
      </c>
      <c r="G21" s="6">
        <v>3</v>
      </c>
      <c r="H21" s="6">
        <f t="shared" si="3"/>
        <v>60</v>
      </c>
      <c r="I21" s="25"/>
      <c r="K21" s="56" t="s">
        <v>14</v>
      </c>
      <c r="L21" s="35">
        <f>M21/(M19+M20+M21+M22)*100</f>
        <v>45.977011494252878</v>
      </c>
      <c r="M21" s="64">
        <v>8</v>
      </c>
      <c r="N21" s="5">
        <v>3.86</v>
      </c>
      <c r="O21" s="5">
        <v>44.5</v>
      </c>
      <c r="P21" s="6">
        <v>3</v>
      </c>
      <c r="Q21" s="6">
        <v>0.6</v>
      </c>
    </row>
    <row r="22" spans="2:17" x14ac:dyDescent="0.25">
      <c r="B22" s="57" t="s">
        <v>10</v>
      </c>
      <c r="C22" s="35">
        <f>D22/(D19+D20+D21+D22)*100</f>
        <v>12.886597938144332</v>
      </c>
      <c r="D22" s="125">
        <v>2.5</v>
      </c>
      <c r="E22" s="6">
        <v>0.9</v>
      </c>
      <c r="F22" s="6">
        <f t="shared" si="2"/>
        <v>22.500000000000004</v>
      </c>
      <c r="G22" s="6">
        <v>14.8</v>
      </c>
      <c r="H22" s="6">
        <f t="shared" si="3"/>
        <v>370.00000000000006</v>
      </c>
      <c r="I22" s="25"/>
      <c r="K22" s="57" t="s">
        <v>10</v>
      </c>
      <c r="L22" s="35">
        <f>M22/(M19+M20+M21+M22)*100</f>
        <v>8.6206896551724146</v>
      </c>
      <c r="M22" s="64">
        <v>1.5</v>
      </c>
      <c r="N22" s="5">
        <v>6.87</v>
      </c>
      <c r="O22" s="5">
        <v>13.6</v>
      </c>
      <c r="P22" s="6">
        <v>14.8</v>
      </c>
      <c r="Q22" s="6">
        <v>0.9</v>
      </c>
    </row>
    <row r="23" spans="2:17" x14ac:dyDescent="0.25">
      <c r="B23" s="56" t="s">
        <v>17</v>
      </c>
      <c r="C23" s="35">
        <f>D23/(D19+D20+D21+D22)*100</f>
        <v>46.391752577319586</v>
      </c>
      <c r="D23" s="125">
        <v>9</v>
      </c>
      <c r="E23" s="6">
        <v>2.94</v>
      </c>
      <c r="F23" s="6">
        <f t="shared" si="2"/>
        <v>264.60000000000002</v>
      </c>
      <c r="G23" s="6">
        <v>30.8</v>
      </c>
      <c r="H23" s="6">
        <f t="shared" si="3"/>
        <v>2772</v>
      </c>
      <c r="I23" s="25"/>
      <c r="K23" s="56" t="s">
        <v>17</v>
      </c>
      <c r="L23" s="35">
        <f>M23/(M19+M20+M21+M22)*100</f>
        <v>48.850574712643677</v>
      </c>
      <c r="M23" s="64">
        <v>8.5</v>
      </c>
      <c r="N23" s="5">
        <v>8.1199999999999992</v>
      </c>
      <c r="O23" s="5">
        <v>23</v>
      </c>
      <c r="P23" s="6">
        <v>30.8</v>
      </c>
      <c r="Q23" s="6">
        <v>2.94</v>
      </c>
    </row>
    <row r="24" spans="2:17" x14ac:dyDescent="0.25">
      <c r="B24" s="57" t="s">
        <v>21</v>
      </c>
      <c r="C24" s="41">
        <f>D24/(D19+D20+D21+D22+D23)*100</f>
        <v>6.3380281690140841</v>
      </c>
      <c r="D24" s="126">
        <v>1.8</v>
      </c>
      <c r="E24" s="6"/>
      <c r="F24" s="6">
        <f t="shared" si="2"/>
        <v>0</v>
      </c>
      <c r="G24" s="6">
        <v>86</v>
      </c>
      <c r="H24" s="6">
        <f t="shared" si="3"/>
        <v>1548</v>
      </c>
      <c r="I24" s="25"/>
      <c r="K24" s="57" t="s">
        <v>21</v>
      </c>
      <c r="L24" s="36"/>
      <c r="M24" s="64">
        <v>1.8</v>
      </c>
      <c r="N24" s="2">
        <v>2.98</v>
      </c>
      <c r="O24" s="5">
        <v>30.8</v>
      </c>
      <c r="P24" s="6">
        <v>86</v>
      </c>
      <c r="Q24" s="2"/>
    </row>
    <row r="25" spans="2:17" x14ac:dyDescent="0.25">
      <c r="B25" s="57" t="s">
        <v>49</v>
      </c>
      <c r="C25" s="41"/>
      <c r="D25" s="126">
        <v>0</v>
      </c>
      <c r="E25" s="10">
        <v>46</v>
      </c>
      <c r="F25" s="6">
        <f t="shared" si="2"/>
        <v>0</v>
      </c>
      <c r="G25" s="2"/>
      <c r="H25" s="2"/>
      <c r="I25" s="25"/>
      <c r="K25" s="57" t="s">
        <v>54</v>
      </c>
      <c r="L25" s="36"/>
      <c r="M25" s="56">
        <v>0</v>
      </c>
      <c r="N25" s="2"/>
      <c r="O25" s="2"/>
      <c r="P25" s="2"/>
      <c r="Q25" s="2"/>
    </row>
    <row r="26" spans="2:17" ht="30" x14ac:dyDescent="0.25">
      <c r="B26" s="57" t="s">
        <v>48</v>
      </c>
      <c r="C26" s="41"/>
      <c r="D26" s="126">
        <v>0.16600000000000001</v>
      </c>
      <c r="E26" s="10">
        <v>20.5</v>
      </c>
      <c r="F26" s="6">
        <f t="shared" si="2"/>
        <v>34.03</v>
      </c>
      <c r="G26" s="2"/>
      <c r="H26" s="2"/>
      <c r="I26" s="25"/>
      <c r="K26" s="57" t="s">
        <v>23</v>
      </c>
      <c r="L26" s="36"/>
      <c r="M26" s="56">
        <v>0.17</v>
      </c>
      <c r="N26" s="2"/>
      <c r="O26" s="2"/>
      <c r="P26" s="2"/>
      <c r="Q26" s="5">
        <v>20.5</v>
      </c>
    </row>
    <row r="27" spans="2:17" x14ac:dyDescent="0.25">
      <c r="B27" s="58" t="s">
        <v>26</v>
      </c>
      <c r="C27" s="42"/>
      <c r="D27" s="127">
        <f>SUM(D19:D26)</f>
        <v>30.366</v>
      </c>
      <c r="E27" s="9"/>
      <c r="F27" s="11">
        <f>SUM(F19:F26)</f>
        <v>434.03000000000009</v>
      </c>
      <c r="G27" s="9"/>
      <c r="H27" s="11">
        <f>SUM(H19:H26)</f>
        <v>5773.4</v>
      </c>
      <c r="I27" s="24" t="s">
        <v>6</v>
      </c>
      <c r="K27" s="57" t="s">
        <v>26</v>
      </c>
      <c r="L27" s="36"/>
      <c r="M27" s="64">
        <f>SUM(M19:M26)</f>
        <v>27.87</v>
      </c>
      <c r="N27" s="1"/>
      <c r="O27" s="1"/>
      <c r="P27" s="1"/>
      <c r="Q27" s="1"/>
    </row>
    <row r="28" spans="2:17" x14ac:dyDescent="0.25">
      <c r="B28" s="59"/>
      <c r="C28" s="43"/>
      <c r="D28" s="128"/>
      <c r="E28" s="1"/>
      <c r="F28" s="8">
        <f>F27/D27/10</f>
        <v>1.4293288546400582</v>
      </c>
      <c r="G28" s="12"/>
      <c r="H28" s="8">
        <f>H27/D27/10</f>
        <v>19.012711585325693</v>
      </c>
      <c r="I28" s="11">
        <f>((100-H28)*0.5)/F28</f>
        <v>28.330530147685639</v>
      </c>
    </row>
    <row r="32" spans="2:17" x14ac:dyDescent="0.25">
      <c r="B32" s="268" t="s">
        <v>55</v>
      </c>
      <c r="C32" s="268"/>
      <c r="D32" s="268"/>
      <c r="E32" s="268"/>
      <c r="F32" s="268"/>
      <c r="G32" s="268"/>
      <c r="H32" s="268"/>
      <c r="I32" s="268"/>
      <c r="K32" s="214" t="s">
        <v>55</v>
      </c>
      <c r="L32" s="215"/>
      <c r="M32" s="215"/>
      <c r="N32" s="215"/>
      <c r="O32" s="215"/>
      <c r="P32" s="215"/>
      <c r="Q32" s="215"/>
    </row>
    <row r="33" spans="2:17" ht="15" customHeight="1" x14ac:dyDescent="0.25">
      <c r="B33" s="269" t="s">
        <v>0</v>
      </c>
      <c r="C33" s="227" t="s">
        <v>1</v>
      </c>
      <c r="D33" s="269" t="s">
        <v>47</v>
      </c>
      <c r="E33" s="229" t="s">
        <v>46</v>
      </c>
      <c r="F33" s="229"/>
      <c r="G33" s="229"/>
      <c r="H33" s="229"/>
      <c r="I33" s="229" t="s">
        <v>102</v>
      </c>
      <c r="K33" s="219" t="s">
        <v>0</v>
      </c>
      <c r="L33" s="227" t="s">
        <v>1</v>
      </c>
      <c r="M33" s="219" t="s">
        <v>52</v>
      </c>
      <c r="N33" s="221" t="s">
        <v>7</v>
      </c>
      <c r="O33" s="222"/>
      <c r="P33" s="222"/>
      <c r="Q33" s="222"/>
    </row>
    <row r="34" spans="2:17" x14ac:dyDescent="0.25">
      <c r="B34" s="269"/>
      <c r="C34" s="228"/>
      <c r="D34" s="269"/>
      <c r="E34" s="2" t="s">
        <v>42</v>
      </c>
      <c r="F34" s="2" t="s">
        <v>43</v>
      </c>
      <c r="G34" s="2" t="s">
        <v>44</v>
      </c>
      <c r="H34" s="2" t="s">
        <v>45</v>
      </c>
      <c r="I34" s="229"/>
      <c r="K34" s="220"/>
      <c r="L34" s="228"/>
      <c r="M34" s="220"/>
      <c r="N34" s="2" t="s">
        <v>2</v>
      </c>
      <c r="O34" s="2" t="s">
        <v>51</v>
      </c>
      <c r="P34" s="2" t="s">
        <v>44</v>
      </c>
      <c r="Q34" s="2" t="s">
        <v>53</v>
      </c>
    </row>
    <row r="35" spans="2:17" x14ac:dyDescent="0.25">
      <c r="B35" s="56" t="s">
        <v>8</v>
      </c>
      <c r="C35" s="35">
        <f>D35/(D35+D36+D37+D38)*100</f>
        <v>36.111111111111107</v>
      </c>
      <c r="D35" s="125">
        <v>6.5</v>
      </c>
      <c r="E35" s="6">
        <v>1.1000000000000001</v>
      </c>
      <c r="F35" s="6">
        <f>(D35*E35%)*1000</f>
        <v>71.500000000000014</v>
      </c>
      <c r="G35" s="6">
        <v>14.4</v>
      </c>
      <c r="H35" s="6">
        <f t="shared" ref="H35:H42" si="4">(D35*G35%)*1000</f>
        <v>936.00000000000011</v>
      </c>
      <c r="I35" s="51">
        <f>D35+D36+D37+D38</f>
        <v>18</v>
      </c>
      <c r="K35" s="56" t="s">
        <v>8</v>
      </c>
      <c r="L35" s="35">
        <f>M35/(M35+M36+M37+M38)*100</f>
        <v>36.111111111111107</v>
      </c>
      <c r="M35" s="64">
        <v>6.5</v>
      </c>
      <c r="N35" s="5">
        <v>7.06</v>
      </c>
      <c r="O35" s="14">
        <v>12</v>
      </c>
      <c r="P35" s="6">
        <v>14.4</v>
      </c>
      <c r="Q35" s="6">
        <v>1.1000000000000001</v>
      </c>
    </row>
    <row r="36" spans="2:17" x14ac:dyDescent="0.25">
      <c r="B36" s="56" t="s">
        <v>12</v>
      </c>
      <c r="C36" s="35">
        <f>D36/(D35+D36+D37+D38)*100</f>
        <v>44.444444444444443</v>
      </c>
      <c r="D36" s="125">
        <v>8</v>
      </c>
      <c r="E36" s="6">
        <v>0.35</v>
      </c>
      <c r="F36" s="6">
        <f>(D36*E36%)*1000</f>
        <v>27.999999999999996</v>
      </c>
      <c r="G36" s="6">
        <v>2</v>
      </c>
      <c r="H36" s="6">
        <f t="shared" si="4"/>
        <v>160</v>
      </c>
      <c r="I36" s="25"/>
      <c r="K36" s="56" t="s">
        <v>12</v>
      </c>
      <c r="L36" s="35">
        <f>M36/(M35+M36+M37+M38)*100</f>
        <v>11.111111111111111</v>
      </c>
      <c r="M36" s="64">
        <v>2</v>
      </c>
      <c r="N36" s="5">
        <v>4.25</v>
      </c>
      <c r="O36" s="5">
        <v>59</v>
      </c>
      <c r="P36" s="6">
        <v>2</v>
      </c>
      <c r="Q36" s="6">
        <v>0.35</v>
      </c>
    </row>
    <row r="37" spans="2:17" x14ac:dyDescent="0.25">
      <c r="B37" s="56" t="s">
        <v>14</v>
      </c>
      <c r="C37" s="35">
        <f>D37/(D35+D36+D37+D38)*100</f>
        <v>8.3333333333333321</v>
      </c>
      <c r="D37" s="125">
        <v>1.5</v>
      </c>
      <c r="E37" s="6">
        <v>0.6</v>
      </c>
      <c r="F37" s="6">
        <f>(D37*E37%)*1000</f>
        <v>9.0000000000000018</v>
      </c>
      <c r="G37" s="6">
        <v>3</v>
      </c>
      <c r="H37" s="6">
        <f t="shared" si="4"/>
        <v>45</v>
      </c>
      <c r="I37" s="25"/>
      <c r="K37" s="56" t="s">
        <v>14</v>
      </c>
      <c r="L37" s="35">
        <f>M37/(M35+M36+M37+M38)*100</f>
        <v>44.444444444444443</v>
      </c>
      <c r="M37" s="64">
        <v>8</v>
      </c>
      <c r="N37" s="5">
        <v>3.86</v>
      </c>
      <c r="O37" s="5">
        <v>43.2</v>
      </c>
      <c r="P37" s="6">
        <v>3</v>
      </c>
      <c r="Q37" s="6">
        <v>0.6</v>
      </c>
    </row>
    <row r="38" spans="2:17" x14ac:dyDescent="0.25">
      <c r="B38" s="57" t="s">
        <v>10</v>
      </c>
      <c r="C38" s="35">
        <f>D38/(D35+D36+D37+D38)*100</f>
        <v>11.111111111111111</v>
      </c>
      <c r="D38" s="125">
        <v>2</v>
      </c>
      <c r="E38" s="6">
        <v>0.9</v>
      </c>
      <c r="F38" s="6">
        <f>(D38*E38%)*1000</f>
        <v>18.000000000000004</v>
      </c>
      <c r="G38" s="6">
        <v>14.6</v>
      </c>
      <c r="H38" s="6">
        <f t="shared" si="4"/>
        <v>292</v>
      </c>
      <c r="I38" s="25"/>
      <c r="K38" s="57" t="s">
        <v>10</v>
      </c>
      <c r="L38" s="35">
        <f>M38/(M35+M36+M37+M38)*100</f>
        <v>8.3333333333333321</v>
      </c>
      <c r="M38" s="64">
        <v>1.5</v>
      </c>
      <c r="N38" s="5">
        <v>6.87</v>
      </c>
      <c r="O38" s="5">
        <v>13.2</v>
      </c>
      <c r="P38" s="6">
        <v>14.6</v>
      </c>
      <c r="Q38" s="6">
        <v>0.9</v>
      </c>
    </row>
    <row r="39" spans="2:17" x14ac:dyDescent="0.25">
      <c r="B39" s="56" t="s">
        <v>17</v>
      </c>
      <c r="C39" s="35">
        <f>D39/(D35+D36+D37+D38)*100</f>
        <v>47.222222222222221</v>
      </c>
      <c r="D39" s="125">
        <v>8.5</v>
      </c>
      <c r="E39" s="6">
        <v>2.85</v>
      </c>
      <c r="F39" s="6">
        <v>242.2</v>
      </c>
      <c r="G39" s="6">
        <v>33.200000000000003</v>
      </c>
      <c r="H39" s="6">
        <f t="shared" si="4"/>
        <v>2822</v>
      </c>
      <c r="I39" s="25"/>
      <c r="K39" s="56" t="s">
        <v>17</v>
      </c>
      <c r="L39" s="35">
        <f>M39/(M35+M36+M37+M38)*100</f>
        <v>47.222222222222221</v>
      </c>
      <c r="M39" s="64">
        <v>8.5</v>
      </c>
      <c r="N39" s="5">
        <v>8.1199999999999992</v>
      </c>
      <c r="O39" s="5">
        <v>21.8</v>
      </c>
      <c r="P39" s="6">
        <v>33.200000000000003</v>
      </c>
      <c r="Q39" s="6">
        <v>2.85</v>
      </c>
    </row>
    <row r="40" spans="2:17" x14ac:dyDescent="0.25">
      <c r="B40" s="57" t="s">
        <v>21</v>
      </c>
      <c r="C40" s="41">
        <f>D40/(D35+D36+D37+D38+D39)*100</f>
        <v>6.7924528301886795</v>
      </c>
      <c r="D40" s="126">
        <v>1.8</v>
      </c>
      <c r="E40" s="6">
        <v>0</v>
      </c>
      <c r="F40" s="6">
        <v>0</v>
      </c>
      <c r="G40" s="6">
        <v>86</v>
      </c>
      <c r="H40" s="6">
        <f t="shared" si="4"/>
        <v>1548</v>
      </c>
      <c r="I40" s="25"/>
      <c r="K40" s="57" t="s">
        <v>21</v>
      </c>
      <c r="L40" s="36"/>
      <c r="M40" s="64">
        <v>1.8</v>
      </c>
      <c r="N40" s="2">
        <v>2.98</v>
      </c>
      <c r="O40" s="5">
        <v>29.8</v>
      </c>
      <c r="P40" s="6">
        <v>86</v>
      </c>
      <c r="Q40" s="6">
        <v>0</v>
      </c>
    </row>
    <row r="41" spans="2:17" x14ac:dyDescent="0.25">
      <c r="B41" s="57" t="s">
        <v>49</v>
      </c>
      <c r="C41" s="41"/>
      <c r="D41" s="129">
        <v>0</v>
      </c>
      <c r="E41" s="10">
        <v>46</v>
      </c>
      <c r="F41" s="6">
        <f>(D41*E41%)*1000</f>
        <v>0</v>
      </c>
      <c r="G41" s="6">
        <v>0</v>
      </c>
      <c r="H41" s="6">
        <f t="shared" si="4"/>
        <v>0</v>
      </c>
      <c r="I41" s="25"/>
      <c r="K41" s="57" t="s">
        <v>54</v>
      </c>
      <c r="L41" s="36"/>
      <c r="M41" s="56">
        <v>0</v>
      </c>
      <c r="N41" s="2"/>
      <c r="O41" s="2"/>
      <c r="P41" s="2"/>
      <c r="Q41" s="10">
        <v>46</v>
      </c>
    </row>
    <row r="42" spans="2:17" ht="30" x14ac:dyDescent="0.25">
      <c r="B42" s="57" t="s">
        <v>58</v>
      </c>
      <c r="C42" s="41"/>
      <c r="D42" s="126">
        <v>0.16600000000000001</v>
      </c>
      <c r="E42" s="10">
        <v>20.5</v>
      </c>
      <c r="F42" s="6">
        <f>(D42*E42%)*1000</f>
        <v>34.03</v>
      </c>
      <c r="G42" s="6">
        <v>0</v>
      </c>
      <c r="H42" s="6">
        <f t="shared" si="4"/>
        <v>0</v>
      </c>
      <c r="I42" s="25"/>
      <c r="K42" s="57" t="s">
        <v>23</v>
      </c>
      <c r="L42" s="36"/>
      <c r="M42" s="56">
        <v>0.17</v>
      </c>
      <c r="N42" s="2"/>
      <c r="O42" s="2"/>
      <c r="P42" s="2"/>
      <c r="Q42" s="5">
        <v>20.5</v>
      </c>
    </row>
    <row r="43" spans="2:17" x14ac:dyDescent="0.25">
      <c r="B43" s="58" t="s">
        <v>26</v>
      </c>
      <c r="C43" s="42"/>
      <c r="D43" s="127">
        <f>SUM(D35:D42)</f>
        <v>28.466000000000001</v>
      </c>
      <c r="E43" s="9"/>
      <c r="F43" s="11">
        <f>SUM(F35:F42)</f>
        <v>402.73</v>
      </c>
      <c r="G43" s="9"/>
      <c r="H43" s="11">
        <f>SUM(H35:H42)</f>
        <v>5803</v>
      </c>
      <c r="I43" s="24" t="s">
        <v>6</v>
      </c>
      <c r="K43" s="57" t="s">
        <v>26</v>
      </c>
      <c r="L43" s="36"/>
      <c r="M43" s="64">
        <f>SUM(M35:M42)</f>
        <v>28.470000000000002</v>
      </c>
      <c r="N43" s="1"/>
      <c r="O43" s="1"/>
      <c r="P43" s="1"/>
      <c r="Q43" s="1"/>
    </row>
    <row r="44" spans="2:17" x14ac:dyDescent="0.25">
      <c r="B44" s="59"/>
      <c r="C44" s="43"/>
      <c r="D44" s="128"/>
      <c r="E44" s="1"/>
      <c r="F44" s="8">
        <f>F43/D43/10</f>
        <v>1.4147755216749807</v>
      </c>
      <c r="G44" s="12"/>
      <c r="H44" s="8">
        <f>H43/D43/10</f>
        <v>20.385723319047283</v>
      </c>
      <c r="I44" s="11">
        <f>((100-H44)*0.5)/F44</f>
        <v>28.13671690710898</v>
      </c>
    </row>
    <row r="47" spans="2:17" x14ac:dyDescent="0.25">
      <c r="B47" s="268" t="s">
        <v>57</v>
      </c>
      <c r="C47" s="268"/>
      <c r="D47" s="268"/>
      <c r="E47" s="268"/>
      <c r="F47" s="268"/>
      <c r="G47" s="268"/>
      <c r="H47" s="268"/>
      <c r="I47" s="268"/>
      <c r="K47" s="214" t="s">
        <v>57</v>
      </c>
      <c r="L47" s="215"/>
      <c r="M47" s="215"/>
      <c r="N47" s="215"/>
      <c r="O47" s="215"/>
      <c r="P47" s="215"/>
      <c r="Q47" s="215"/>
    </row>
    <row r="48" spans="2:17" ht="15" customHeight="1" x14ac:dyDescent="0.25">
      <c r="B48" s="269" t="s">
        <v>0</v>
      </c>
      <c r="C48" s="227" t="s">
        <v>1</v>
      </c>
      <c r="D48" s="269" t="s">
        <v>47</v>
      </c>
      <c r="E48" s="229" t="s">
        <v>46</v>
      </c>
      <c r="F48" s="229"/>
      <c r="G48" s="229"/>
      <c r="H48" s="229"/>
      <c r="I48" s="229" t="s">
        <v>102</v>
      </c>
      <c r="K48" s="219" t="s">
        <v>0</v>
      </c>
      <c r="L48" s="227" t="s">
        <v>1</v>
      </c>
      <c r="M48" s="219" t="s">
        <v>52</v>
      </c>
      <c r="N48" s="221" t="s">
        <v>7</v>
      </c>
      <c r="O48" s="222"/>
      <c r="P48" s="222"/>
      <c r="Q48" s="222"/>
    </row>
    <row r="49" spans="2:17" x14ac:dyDescent="0.25">
      <c r="B49" s="269"/>
      <c r="C49" s="228"/>
      <c r="D49" s="269"/>
      <c r="E49" s="2" t="s">
        <v>42</v>
      </c>
      <c r="F49" s="2" t="s">
        <v>43</v>
      </c>
      <c r="G49" s="2" t="s">
        <v>44</v>
      </c>
      <c r="H49" s="2" t="s">
        <v>45</v>
      </c>
      <c r="I49" s="229"/>
      <c r="K49" s="220"/>
      <c r="L49" s="228"/>
      <c r="M49" s="220"/>
      <c r="N49" s="2" t="s">
        <v>2</v>
      </c>
      <c r="O49" s="2" t="s">
        <v>51</v>
      </c>
      <c r="P49" s="2" t="s">
        <v>44</v>
      </c>
      <c r="Q49" s="2" t="s">
        <v>53</v>
      </c>
    </row>
    <row r="50" spans="2:17" x14ac:dyDescent="0.25">
      <c r="B50" s="56" t="s">
        <v>8</v>
      </c>
      <c r="C50" s="35">
        <f>D50/(D50+D51+D52+D53)*100</f>
        <v>28.125</v>
      </c>
      <c r="D50" s="125">
        <v>4.5</v>
      </c>
      <c r="E50" s="6">
        <v>1.1000000000000001</v>
      </c>
      <c r="F50" s="6">
        <f>(D50*E50%)*1000</f>
        <v>49.5</v>
      </c>
      <c r="G50" s="6">
        <v>14.4</v>
      </c>
      <c r="H50" s="6">
        <f t="shared" ref="H50:H57" si="5">(D50*G50%)*1000</f>
        <v>648.00000000000011</v>
      </c>
      <c r="I50" s="51">
        <f>D50+D51+D52+D53</f>
        <v>16</v>
      </c>
      <c r="K50" s="56" t="s">
        <v>8</v>
      </c>
      <c r="L50" s="35">
        <f>M50/(M50+M51+M52+M53)*100</f>
        <v>28.125</v>
      </c>
      <c r="M50" s="64">
        <v>4.5</v>
      </c>
      <c r="N50" s="5">
        <v>7.06</v>
      </c>
      <c r="O50" s="14">
        <v>13.4</v>
      </c>
      <c r="P50" s="6">
        <v>14.4</v>
      </c>
      <c r="Q50" s="6">
        <v>1.1000000000000001</v>
      </c>
    </row>
    <row r="51" spans="2:17" x14ac:dyDescent="0.25">
      <c r="B51" s="56" t="s">
        <v>12</v>
      </c>
      <c r="C51" s="35">
        <f>D51/(D50+D51+D52+D53)*100</f>
        <v>50</v>
      </c>
      <c r="D51" s="125">
        <v>8</v>
      </c>
      <c r="E51" s="6">
        <v>0.35</v>
      </c>
      <c r="F51" s="6">
        <f>(D51*E51%)*1000</f>
        <v>27.999999999999996</v>
      </c>
      <c r="G51" s="6">
        <v>2</v>
      </c>
      <c r="H51" s="6">
        <f t="shared" si="5"/>
        <v>160</v>
      </c>
      <c r="I51" s="25"/>
      <c r="K51" s="56" t="s">
        <v>12</v>
      </c>
      <c r="L51" s="35">
        <f>M51/(M50+M51+M52+M53)*100</f>
        <v>12.5</v>
      </c>
      <c r="M51" s="64">
        <v>2</v>
      </c>
      <c r="N51" s="5">
        <v>4.25</v>
      </c>
      <c r="O51" s="5">
        <v>57.1</v>
      </c>
      <c r="P51" s="6">
        <v>2</v>
      </c>
      <c r="Q51" s="6">
        <v>0.35</v>
      </c>
    </row>
    <row r="52" spans="2:17" x14ac:dyDescent="0.25">
      <c r="B52" s="56" t="s">
        <v>14</v>
      </c>
      <c r="C52" s="35">
        <f>D52/(D50+D51+D52+D53)*100</f>
        <v>9.375</v>
      </c>
      <c r="D52" s="125">
        <v>1.5</v>
      </c>
      <c r="E52" s="6">
        <v>0.6</v>
      </c>
      <c r="F52" s="6">
        <f>(D52*E52%)*1000</f>
        <v>9.0000000000000018</v>
      </c>
      <c r="G52" s="6">
        <v>3</v>
      </c>
      <c r="H52" s="6">
        <f t="shared" si="5"/>
        <v>45</v>
      </c>
      <c r="I52" s="25"/>
      <c r="K52" s="56" t="s">
        <v>14</v>
      </c>
      <c r="L52" s="35">
        <f>M52/(M50+M51+M52+M53)*100</f>
        <v>50</v>
      </c>
      <c r="M52" s="64">
        <v>8</v>
      </c>
      <c r="N52" s="5">
        <v>3.86</v>
      </c>
      <c r="O52" s="5">
        <v>43.6</v>
      </c>
      <c r="P52" s="6">
        <v>3</v>
      </c>
      <c r="Q52" s="6">
        <v>0.6</v>
      </c>
    </row>
    <row r="53" spans="2:17" x14ac:dyDescent="0.25">
      <c r="B53" s="57" t="s">
        <v>10</v>
      </c>
      <c r="C53" s="35">
        <f>D53/(D50+D51+D52+D53)*100</f>
        <v>12.5</v>
      </c>
      <c r="D53" s="125">
        <v>2</v>
      </c>
      <c r="E53" s="6">
        <v>0.9</v>
      </c>
      <c r="F53" s="6">
        <f>(D53*E53%)*1000</f>
        <v>18.000000000000004</v>
      </c>
      <c r="G53" s="6">
        <v>14.6</v>
      </c>
      <c r="H53" s="6">
        <f t="shared" si="5"/>
        <v>292</v>
      </c>
      <c r="I53" s="25"/>
      <c r="K53" s="57" t="s">
        <v>10</v>
      </c>
      <c r="L53" s="35">
        <f>M53/(M50+M51+M52+M53)*100</f>
        <v>9.375</v>
      </c>
      <c r="M53" s="64">
        <v>1.5</v>
      </c>
      <c r="N53" s="5">
        <v>6.87</v>
      </c>
      <c r="O53" s="5">
        <v>13</v>
      </c>
      <c r="P53" s="6">
        <v>14.6</v>
      </c>
      <c r="Q53" s="6">
        <v>0.9</v>
      </c>
    </row>
    <row r="54" spans="2:17" x14ac:dyDescent="0.25">
      <c r="B54" s="56" t="s">
        <v>17</v>
      </c>
      <c r="C54" s="35">
        <f>D54/(D50+D51+D52+D53)*100</f>
        <v>53.125</v>
      </c>
      <c r="D54" s="125">
        <v>8.5</v>
      </c>
      <c r="E54" s="6">
        <v>2.85</v>
      </c>
      <c r="F54" s="6">
        <v>242.2</v>
      </c>
      <c r="G54" s="6">
        <v>33.200000000000003</v>
      </c>
      <c r="H54" s="6">
        <f t="shared" si="5"/>
        <v>2822</v>
      </c>
      <c r="I54" s="25"/>
      <c r="K54" s="56" t="s">
        <v>17</v>
      </c>
      <c r="L54" s="35">
        <f>M54/(M50+M51+M52+M53)*100</f>
        <v>53.125</v>
      </c>
      <c r="M54" s="64">
        <v>8.5</v>
      </c>
      <c r="N54" s="5">
        <v>8.1999999999999993</v>
      </c>
      <c r="O54" s="5">
        <v>21.4</v>
      </c>
      <c r="P54" s="6">
        <v>33.200000000000003</v>
      </c>
      <c r="Q54" s="6">
        <v>2.85</v>
      </c>
    </row>
    <row r="55" spans="2:17" x14ac:dyDescent="0.25">
      <c r="B55" s="57" t="s">
        <v>21</v>
      </c>
      <c r="C55" s="41">
        <f>D55/(D50+D51+D52+D53+D54)*100</f>
        <v>7.3469387755102051</v>
      </c>
      <c r="D55" s="126">
        <v>1.8</v>
      </c>
      <c r="E55" s="6">
        <v>0</v>
      </c>
      <c r="F55" s="6">
        <v>0</v>
      </c>
      <c r="G55" s="6">
        <v>86</v>
      </c>
      <c r="H55" s="6">
        <f t="shared" si="5"/>
        <v>1548</v>
      </c>
      <c r="I55" s="25"/>
      <c r="K55" s="57" t="s">
        <v>21</v>
      </c>
      <c r="L55" s="36"/>
      <c r="M55" s="64">
        <v>1.8</v>
      </c>
      <c r="N55" s="2">
        <v>2.9</v>
      </c>
      <c r="O55" s="5">
        <v>29.1</v>
      </c>
      <c r="P55" s="6">
        <v>86</v>
      </c>
      <c r="Q55" s="2"/>
    </row>
    <row r="56" spans="2:17" x14ac:dyDescent="0.25">
      <c r="B56" s="57" t="s">
        <v>49</v>
      </c>
      <c r="C56" s="41"/>
      <c r="D56" s="129">
        <v>0</v>
      </c>
      <c r="E56" s="10">
        <v>46</v>
      </c>
      <c r="F56" s="6">
        <f>(D56*E56%)*1000</f>
        <v>0</v>
      </c>
      <c r="G56" s="6">
        <v>0</v>
      </c>
      <c r="H56" s="6">
        <f t="shared" si="5"/>
        <v>0</v>
      </c>
      <c r="I56" s="25"/>
      <c r="K56" s="57" t="s">
        <v>54</v>
      </c>
      <c r="L56" s="36"/>
      <c r="M56" s="56">
        <v>0</v>
      </c>
      <c r="N56" s="2"/>
      <c r="O56" s="2"/>
      <c r="P56" s="2"/>
      <c r="Q56" s="2"/>
    </row>
    <row r="57" spans="2:17" ht="30" x14ac:dyDescent="0.25">
      <c r="B57" s="57" t="s">
        <v>59</v>
      </c>
      <c r="C57" s="41"/>
      <c r="D57" s="126">
        <v>0.16600000000000001</v>
      </c>
      <c r="E57" s="10">
        <v>20.5</v>
      </c>
      <c r="F57" s="6">
        <f>(D57*E57%)*1000</f>
        <v>34.03</v>
      </c>
      <c r="G57" s="6">
        <v>0</v>
      </c>
      <c r="H57" s="6">
        <f t="shared" si="5"/>
        <v>0</v>
      </c>
      <c r="I57" s="25"/>
      <c r="K57" s="57" t="s">
        <v>23</v>
      </c>
      <c r="L57" s="36"/>
      <c r="M57" s="56">
        <v>0.17</v>
      </c>
      <c r="N57" s="2"/>
      <c r="O57" s="2"/>
      <c r="P57" s="2"/>
      <c r="Q57" s="5">
        <v>20.5</v>
      </c>
    </row>
    <row r="58" spans="2:17" x14ac:dyDescent="0.25">
      <c r="B58" s="58" t="s">
        <v>26</v>
      </c>
      <c r="C58" s="42"/>
      <c r="D58" s="127">
        <f>SUM(D50:D57)</f>
        <v>26.466000000000001</v>
      </c>
      <c r="E58" s="9"/>
      <c r="F58" s="11">
        <f>SUM(F50:F57)</f>
        <v>380.73</v>
      </c>
      <c r="G58" s="9"/>
      <c r="H58" s="11">
        <f>SUM(H50:H57)</f>
        <v>5515</v>
      </c>
      <c r="I58" s="24" t="s">
        <v>6</v>
      </c>
      <c r="K58" s="57" t="s">
        <v>26</v>
      </c>
      <c r="L58" s="36"/>
      <c r="M58" s="64">
        <f>SUM(M50:M57)</f>
        <v>26.470000000000002</v>
      </c>
      <c r="N58" s="1"/>
      <c r="O58" s="1"/>
      <c r="P58" s="1"/>
      <c r="Q58" s="1"/>
    </row>
    <row r="59" spans="2:17" x14ac:dyDescent="0.25">
      <c r="B59" s="59"/>
      <c r="C59" s="43"/>
      <c r="D59" s="128"/>
      <c r="E59" s="1"/>
      <c r="F59" s="8">
        <f>F58/D58/10</f>
        <v>1.4385626841985943</v>
      </c>
      <c r="G59" s="12"/>
      <c r="H59" s="8">
        <f>H58/D58/10</f>
        <v>20.838056374215974</v>
      </c>
      <c r="I59" s="11">
        <f>((100-H59)*0.5)/F59</f>
        <v>27.514248942820377</v>
      </c>
    </row>
    <row r="63" spans="2:17" x14ac:dyDescent="0.25">
      <c r="B63" s="268" t="s">
        <v>60</v>
      </c>
      <c r="C63" s="268"/>
      <c r="D63" s="268"/>
      <c r="E63" s="268"/>
      <c r="F63" s="268"/>
      <c r="G63" s="268"/>
      <c r="H63" s="268"/>
      <c r="I63" s="268"/>
      <c r="K63" s="214" t="s">
        <v>60</v>
      </c>
      <c r="L63" s="215"/>
      <c r="M63" s="215"/>
      <c r="N63" s="215"/>
      <c r="O63" s="215"/>
      <c r="P63" s="215"/>
      <c r="Q63" s="215"/>
    </row>
    <row r="64" spans="2:17" x14ac:dyDescent="0.25">
      <c r="B64" s="269" t="s">
        <v>0</v>
      </c>
      <c r="C64" s="227" t="s">
        <v>1</v>
      </c>
      <c r="D64" s="269" t="s">
        <v>47</v>
      </c>
      <c r="E64" s="229" t="s">
        <v>46</v>
      </c>
      <c r="F64" s="229"/>
      <c r="G64" s="229"/>
      <c r="H64" s="229"/>
      <c r="I64" s="229" t="s">
        <v>102</v>
      </c>
      <c r="K64" s="219" t="s">
        <v>0</v>
      </c>
      <c r="L64" s="227" t="s">
        <v>1</v>
      </c>
      <c r="M64" s="219" t="s">
        <v>52</v>
      </c>
      <c r="N64" s="221" t="s">
        <v>7</v>
      </c>
      <c r="O64" s="222"/>
      <c r="P64" s="222"/>
      <c r="Q64" s="222"/>
    </row>
    <row r="65" spans="2:17" x14ac:dyDescent="0.25">
      <c r="B65" s="269"/>
      <c r="C65" s="228"/>
      <c r="D65" s="269"/>
      <c r="E65" s="2" t="s">
        <v>42</v>
      </c>
      <c r="F65" s="2" t="s">
        <v>43</v>
      </c>
      <c r="G65" s="2" t="s">
        <v>44</v>
      </c>
      <c r="H65" s="2" t="s">
        <v>45</v>
      </c>
      <c r="I65" s="229"/>
      <c r="K65" s="220"/>
      <c r="L65" s="228"/>
      <c r="M65" s="220"/>
      <c r="N65" s="2" t="s">
        <v>2</v>
      </c>
      <c r="O65" s="2" t="s">
        <v>51</v>
      </c>
      <c r="P65" s="2" t="s">
        <v>44</v>
      </c>
      <c r="Q65" s="2" t="s">
        <v>53</v>
      </c>
    </row>
    <row r="66" spans="2:17" x14ac:dyDescent="0.25">
      <c r="B66" s="56" t="s">
        <v>8</v>
      </c>
      <c r="C66" s="35">
        <f>D66/(D66+D67+D68+D69)*100</f>
        <v>36.111111111111107</v>
      </c>
      <c r="D66" s="125">
        <v>6.5</v>
      </c>
      <c r="E66" s="6">
        <v>1.1200000000000001</v>
      </c>
      <c r="F66" s="6">
        <f>(D66*E66%)*1000</f>
        <v>72.8</v>
      </c>
      <c r="G66" s="6">
        <v>14.6</v>
      </c>
      <c r="H66" s="6">
        <f t="shared" ref="H66:H73" si="6">(D66*G66%)*1000</f>
        <v>949</v>
      </c>
      <c r="I66" s="51">
        <f>D66+D67+D68+D69</f>
        <v>18</v>
      </c>
      <c r="K66" s="56" t="s">
        <v>8</v>
      </c>
      <c r="L66" s="35">
        <f>M66/(M66+M67+M68+M69)*100</f>
        <v>36.111111111111107</v>
      </c>
      <c r="M66" s="64">
        <v>6.5</v>
      </c>
      <c r="N66" s="5">
        <v>7.06</v>
      </c>
      <c r="O66" s="14">
        <v>12.8</v>
      </c>
      <c r="P66" s="6">
        <v>14.6</v>
      </c>
      <c r="Q66" s="6">
        <v>1.1200000000000001</v>
      </c>
    </row>
    <row r="67" spans="2:17" x14ac:dyDescent="0.25">
      <c r="B67" s="56" t="s">
        <v>12</v>
      </c>
      <c r="C67" s="35">
        <f>D67/(D66+D67+D68+D69)*100</f>
        <v>44.444444444444443</v>
      </c>
      <c r="D67" s="125">
        <v>8</v>
      </c>
      <c r="E67" s="6">
        <v>0.35</v>
      </c>
      <c r="F67" s="6">
        <f>(D67*E67%)*1000</f>
        <v>27.999999999999996</v>
      </c>
      <c r="G67" s="6">
        <v>1.8</v>
      </c>
      <c r="H67" s="6">
        <f t="shared" si="6"/>
        <v>144.00000000000003</v>
      </c>
      <c r="I67" s="25"/>
      <c r="K67" s="56" t="s">
        <v>12</v>
      </c>
      <c r="L67" s="35">
        <f>M67/(M66+M67+M68+M69)*100</f>
        <v>11.111111111111111</v>
      </c>
      <c r="M67" s="64">
        <v>2</v>
      </c>
      <c r="N67" s="5">
        <v>4.25</v>
      </c>
      <c r="O67" s="5">
        <v>55.2</v>
      </c>
      <c r="P67" s="6">
        <v>1.8</v>
      </c>
      <c r="Q67" s="6">
        <v>0.35</v>
      </c>
    </row>
    <row r="68" spans="2:17" x14ac:dyDescent="0.25">
      <c r="B68" s="56" t="s">
        <v>14</v>
      </c>
      <c r="C68" s="35">
        <f>D68/(D66+D67+D68+D69)*100</f>
        <v>8.3333333333333321</v>
      </c>
      <c r="D68" s="125">
        <v>1.5</v>
      </c>
      <c r="E68" s="6">
        <v>0.6</v>
      </c>
      <c r="F68" s="6">
        <f>(D68*E68%)*1000</f>
        <v>9.0000000000000018</v>
      </c>
      <c r="G68" s="6">
        <v>3</v>
      </c>
      <c r="H68" s="6">
        <f t="shared" si="6"/>
        <v>45</v>
      </c>
      <c r="I68" s="25"/>
      <c r="K68" s="56" t="s">
        <v>14</v>
      </c>
      <c r="L68" s="35">
        <f>M68/(M66+M67+M68+M69)*100</f>
        <v>44.444444444444443</v>
      </c>
      <c r="M68" s="64">
        <v>8</v>
      </c>
      <c r="N68" s="5">
        <v>3.86</v>
      </c>
      <c r="O68" s="5">
        <v>43.9</v>
      </c>
      <c r="P68" s="6">
        <v>3</v>
      </c>
      <c r="Q68" s="6">
        <v>0.6</v>
      </c>
    </row>
    <row r="69" spans="2:17" x14ac:dyDescent="0.25">
      <c r="B69" s="57" t="s">
        <v>10</v>
      </c>
      <c r="C69" s="35">
        <f>D69/(D66+D67+D68+D69)*100</f>
        <v>11.111111111111111</v>
      </c>
      <c r="D69" s="125">
        <v>2</v>
      </c>
      <c r="E69" s="6">
        <v>0.98</v>
      </c>
      <c r="F69" s="6">
        <f>(D69*E69%)*1000</f>
        <v>19.599999999999998</v>
      </c>
      <c r="G69" s="6">
        <v>14.2</v>
      </c>
      <c r="H69" s="6">
        <f t="shared" si="6"/>
        <v>284</v>
      </c>
      <c r="I69" s="25"/>
      <c r="K69" s="57" t="s">
        <v>10</v>
      </c>
      <c r="L69" s="35">
        <f>M69/(M66+M67+M68+M69)*100</f>
        <v>8.3333333333333321</v>
      </c>
      <c r="M69" s="64">
        <v>1.5</v>
      </c>
      <c r="N69" s="5">
        <v>6.87</v>
      </c>
      <c r="O69" s="5">
        <v>12.5</v>
      </c>
      <c r="P69" s="6">
        <v>14.2</v>
      </c>
      <c r="Q69" s="6">
        <v>0.98</v>
      </c>
    </row>
    <row r="70" spans="2:17" x14ac:dyDescent="0.25">
      <c r="B70" s="56" t="s">
        <v>17</v>
      </c>
      <c r="C70" s="35">
        <f>D70/(D66+D67+D68+D69)*100</f>
        <v>47.222222222222221</v>
      </c>
      <c r="D70" s="125">
        <v>8.5</v>
      </c>
      <c r="E70" s="6">
        <v>3.29</v>
      </c>
      <c r="F70" s="6">
        <v>242.2</v>
      </c>
      <c r="G70" s="6">
        <v>28.5</v>
      </c>
      <c r="H70" s="6">
        <f t="shared" si="6"/>
        <v>2422.5</v>
      </c>
      <c r="I70" s="25"/>
      <c r="K70" s="56" t="s">
        <v>17</v>
      </c>
      <c r="L70" s="35">
        <f>M70/(M66+M67+M68+M69)*100</f>
        <v>47.222222222222221</v>
      </c>
      <c r="M70" s="64">
        <v>8.5</v>
      </c>
      <c r="N70" s="5">
        <v>8.1999999999999993</v>
      </c>
      <c r="O70" s="5">
        <v>20.399999999999999</v>
      </c>
      <c r="P70" s="6">
        <v>28.5</v>
      </c>
      <c r="Q70" s="6">
        <v>3.29</v>
      </c>
    </row>
    <row r="71" spans="2:17" x14ac:dyDescent="0.25">
      <c r="B71" s="57" t="s">
        <v>21</v>
      </c>
      <c r="C71" s="41">
        <f>D71/(D66+D67+D68+D69+D70)*100</f>
        <v>6.7924528301886795</v>
      </c>
      <c r="D71" s="126">
        <v>1.8</v>
      </c>
      <c r="E71" s="6">
        <v>0</v>
      </c>
      <c r="F71" s="6">
        <v>0</v>
      </c>
      <c r="G71" s="6">
        <v>86.6</v>
      </c>
      <c r="H71" s="6">
        <f t="shared" si="6"/>
        <v>1558.8</v>
      </c>
      <c r="I71" s="25"/>
      <c r="K71" s="57" t="s">
        <v>21</v>
      </c>
      <c r="L71" s="36"/>
      <c r="M71" s="64">
        <v>1.8</v>
      </c>
      <c r="N71" s="2">
        <v>2.9</v>
      </c>
      <c r="O71" s="5">
        <v>29</v>
      </c>
      <c r="P71" s="6">
        <v>86.6</v>
      </c>
      <c r="Q71" s="2"/>
    </row>
    <row r="72" spans="2:17" x14ac:dyDescent="0.25">
      <c r="B72" s="57" t="s">
        <v>49</v>
      </c>
      <c r="C72" s="41"/>
      <c r="D72" s="129">
        <v>0</v>
      </c>
      <c r="E72" s="10">
        <v>46</v>
      </c>
      <c r="F72" s="6">
        <f>(D72*E72%)*1000</f>
        <v>0</v>
      </c>
      <c r="G72" s="6">
        <v>0</v>
      </c>
      <c r="H72" s="6">
        <f t="shared" si="6"/>
        <v>0</v>
      </c>
      <c r="I72" s="25"/>
      <c r="K72" s="57" t="s">
        <v>54</v>
      </c>
      <c r="L72" s="36"/>
      <c r="M72" s="56">
        <v>0</v>
      </c>
      <c r="N72" s="2"/>
      <c r="O72" s="2"/>
      <c r="P72" s="2"/>
      <c r="Q72" s="2"/>
    </row>
    <row r="73" spans="2:17" x14ac:dyDescent="0.25">
      <c r="B73" s="57" t="s">
        <v>23</v>
      </c>
      <c r="C73" s="41"/>
      <c r="D73" s="126">
        <v>0.183</v>
      </c>
      <c r="E73" s="10">
        <v>20.5</v>
      </c>
      <c r="F73" s="6">
        <f>(D73*E73%)*1000</f>
        <v>37.515000000000001</v>
      </c>
      <c r="G73" s="6">
        <v>0</v>
      </c>
      <c r="H73" s="6">
        <f t="shared" si="6"/>
        <v>0</v>
      </c>
      <c r="I73" s="25"/>
      <c r="K73" s="57" t="s">
        <v>23</v>
      </c>
      <c r="L73" s="36"/>
      <c r="M73" s="56">
        <v>0.18</v>
      </c>
      <c r="N73" s="2"/>
      <c r="O73" s="2"/>
      <c r="P73" s="2"/>
      <c r="Q73" s="5">
        <v>20.5</v>
      </c>
    </row>
    <row r="74" spans="2:17" x14ac:dyDescent="0.25">
      <c r="B74" s="58" t="s">
        <v>26</v>
      </c>
      <c r="C74" s="42"/>
      <c r="D74" s="127">
        <f>SUM(D66:D73)</f>
        <v>28.483000000000001</v>
      </c>
      <c r="E74" s="9"/>
      <c r="F74" s="11">
        <f>SUM(F66:F73)</f>
        <v>409.11500000000001</v>
      </c>
      <c r="G74" s="9"/>
      <c r="H74" s="11">
        <f>SUM(H66:H73)</f>
        <v>5403.3</v>
      </c>
      <c r="I74" s="24" t="s">
        <v>6</v>
      </c>
      <c r="K74" s="57" t="s">
        <v>26</v>
      </c>
      <c r="L74" s="36"/>
      <c r="M74" s="64">
        <f>SUM(M66:M73)</f>
        <v>28.48</v>
      </c>
      <c r="N74" s="1"/>
      <c r="O74" s="1"/>
      <c r="P74" s="1"/>
      <c r="Q74" s="1"/>
    </row>
    <row r="75" spans="2:17" x14ac:dyDescent="0.25">
      <c r="B75" s="59"/>
      <c r="C75" s="43"/>
      <c r="D75" s="128"/>
      <c r="E75" s="1"/>
      <c r="F75" s="8">
        <f>F74/D74/10</f>
        <v>1.4363479970508723</v>
      </c>
      <c r="G75" s="12"/>
      <c r="H75" s="8">
        <f>H74/D74/10</f>
        <v>18.970262963873189</v>
      </c>
      <c r="I75" s="11">
        <f>((100-H75)*0.5)/F75</f>
        <v>28.206861151509969</v>
      </c>
    </row>
    <row r="79" spans="2:17" x14ac:dyDescent="0.25">
      <c r="B79" s="268" t="s">
        <v>61</v>
      </c>
      <c r="C79" s="268"/>
      <c r="D79" s="268"/>
      <c r="E79" s="268"/>
      <c r="F79" s="268"/>
      <c r="G79" s="268"/>
      <c r="H79" s="268"/>
      <c r="I79" s="268"/>
      <c r="K79" s="214" t="s">
        <v>61</v>
      </c>
      <c r="L79" s="215"/>
      <c r="M79" s="215"/>
      <c r="N79" s="215"/>
      <c r="O79" s="215"/>
      <c r="P79" s="215"/>
      <c r="Q79" s="215"/>
    </row>
    <row r="80" spans="2:17" x14ac:dyDescent="0.25">
      <c r="B80" s="269" t="s">
        <v>0</v>
      </c>
      <c r="C80" s="227" t="s">
        <v>1</v>
      </c>
      <c r="D80" s="269" t="s">
        <v>47</v>
      </c>
      <c r="E80" s="229" t="s">
        <v>46</v>
      </c>
      <c r="F80" s="229"/>
      <c r="G80" s="229"/>
      <c r="H80" s="229"/>
      <c r="I80" s="229" t="s">
        <v>102</v>
      </c>
      <c r="K80" s="219" t="s">
        <v>0</v>
      </c>
      <c r="L80" s="227" t="s">
        <v>1</v>
      </c>
      <c r="M80" s="219" t="s">
        <v>52</v>
      </c>
      <c r="N80" s="221" t="s">
        <v>7</v>
      </c>
      <c r="O80" s="222"/>
      <c r="P80" s="222"/>
      <c r="Q80" s="222"/>
    </row>
    <row r="81" spans="2:17" x14ac:dyDescent="0.25">
      <c r="B81" s="269"/>
      <c r="C81" s="228"/>
      <c r="D81" s="269"/>
      <c r="E81" s="2" t="s">
        <v>42</v>
      </c>
      <c r="F81" s="2" t="s">
        <v>43</v>
      </c>
      <c r="G81" s="2" t="s">
        <v>44</v>
      </c>
      <c r="H81" s="2" t="s">
        <v>45</v>
      </c>
      <c r="I81" s="229"/>
      <c r="K81" s="220"/>
      <c r="L81" s="228"/>
      <c r="M81" s="220"/>
      <c r="N81" s="2" t="s">
        <v>2</v>
      </c>
      <c r="O81" s="2" t="s">
        <v>51</v>
      </c>
      <c r="P81" s="2" t="s">
        <v>44</v>
      </c>
      <c r="Q81" s="2" t="s">
        <v>53</v>
      </c>
    </row>
    <row r="82" spans="2:17" x14ac:dyDescent="0.25">
      <c r="B82" s="56" t="s">
        <v>8</v>
      </c>
      <c r="C82" s="35">
        <f>D82/(D82+D83+D84+D85)*100</f>
        <v>36.111111111111107</v>
      </c>
      <c r="D82" s="125">
        <v>6.5</v>
      </c>
      <c r="E82" s="6">
        <v>1.1200000000000001</v>
      </c>
      <c r="F82" s="6">
        <f>(D82*E82%)*1000</f>
        <v>72.8</v>
      </c>
      <c r="G82" s="6">
        <v>14.6</v>
      </c>
      <c r="H82" s="6">
        <f t="shared" ref="H82:H89" si="7">(D82*G82%)*1000</f>
        <v>949</v>
      </c>
      <c r="I82" s="51">
        <f>D82+D83+D84+D85</f>
        <v>18</v>
      </c>
      <c r="K82" s="56" t="s">
        <v>8</v>
      </c>
      <c r="L82" s="35">
        <f>M82/(M82+M83+M84+M85)*100</f>
        <v>36.111111111111107</v>
      </c>
      <c r="M82" s="64">
        <v>6.5</v>
      </c>
      <c r="N82" s="5">
        <v>7.06</v>
      </c>
      <c r="O82" s="14">
        <v>12.4</v>
      </c>
      <c r="P82" s="6">
        <v>14.6</v>
      </c>
      <c r="Q82" s="6">
        <v>1.1200000000000001</v>
      </c>
    </row>
    <row r="83" spans="2:17" x14ac:dyDescent="0.25">
      <c r="B83" s="56" t="s">
        <v>12</v>
      </c>
      <c r="C83" s="35">
        <f>D83/(D82+D83+D84+D85)*100</f>
        <v>44.444444444444443</v>
      </c>
      <c r="D83" s="125">
        <v>8</v>
      </c>
      <c r="E83" s="6">
        <v>0.35</v>
      </c>
      <c r="F83" s="6">
        <f>(D83*E83%)*1000</f>
        <v>27.999999999999996</v>
      </c>
      <c r="G83" s="6">
        <v>1.8</v>
      </c>
      <c r="H83" s="6">
        <f t="shared" si="7"/>
        <v>144.00000000000003</v>
      </c>
      <c r="I83" s="25"/>
      <c r="K83" s="56" t="s">
        <v>12</v>
      </c>
      <c r="L83" s="35">
        <f>M83/(M82+M83+M84+M85)*100</f>
        <v>11.111111111111111</v>
      </c>
      <c r="M83" s="64">
        <v>2</v>
      </c>
      <c r="N83" s="5">
        <v>4.25</v>
      </c>
      <c r="O83" s="5">
        <v>55.2</v>
      </c>
      <c r="P83" s="6">
        <v>1.8</v>
      </c>
      <c r="Q83" s="6">
        <v>0.35</v>
      </c>
    </row>
    <row r="84" spans="2:17" x14ac:dyDescent="0.25">
      <c r="B84" s="56" t="s">
        <v>14</v>
      </c>
      <c r="C84" s="35">
        <f>D84/(D82+D83+D84+D85)*100</f>
        <v>8.3333333333333321</v>
      </c>
      <c r="D84" s="125">
        <v>1.5</v>
      </c>
      <c r="E84" s="6">
        <v>0.6</v>
      </c>
      <c r="F84" s="6">
        <f>(D84*E84%)*1000</f>
        <v>9.0000000000000018</v>
      </c>
      <c r="G84" s="6">
        <v>3</v>
      </c>
      <c r="H84" s="6">
        <f t="shared" si="7"/>
        <v>45</v>
      </c>
      <c r="I84" s="25"/>
      <c r="K84" s="56" t="s">
        <v>14</v>
      </c>
      <c r="L84" s="35">
        <f>M84/(M82+M83+M84+M85)*100</f>
        <v>44.444444444444443</v>
      </c>
      <c r="M84" s="64">
        <v>8</v>
      </c>
      <c r="N84" s="5">
        <v>3.86</v>
      </c>
      <c r="O84" s="5">
        <v>43</v>
      </c>
      <c r="P84" s="6">
        <v>3</v>
      </c>
      <c r="Q84" s="6">
        <v>0.6</v>
      </c>
    </row>
    <row r="85" spans="2:17" x14ac:dyDescent="0.25">
      <c r="B85" s="57" t="s">
        <v>10</v>
      </c>
      <c r="C85" s="35">
        <f>D85/(D82+D83+D84+D85)*100</f>
        <v>11.111111111111111</v>
      </c>
      <c r="D85" s="125">
        <v>2</v>
      </c>
      <c r="E85" s="6">
        <v>0.98</v>
      </c>
      <c r="F85" s="6">
        <f>(D85*E85%)*1000</f>
        <v>19.599999999999998</v>
      </c>
      <c r="G85" s="6">
        <v>14.2</v>
      </c>
      <c r="H85" s="6">
        <f t="shared" si="7"/>
        <v>284</v>
      </c>
      <c r="I85" s="25"/>
      <c r="K85" s="57" t="s">
        <v>10</v>
      </c>
      <c r="L85" s="35">
        <f>M85/(M82+M83+M84+M85)*100</f>
        <v>8.3333333333333321</v>
      </c>
      <c r="M85" s="64">
        <v>1.5</v>
      </c>
      <c r="N85" s="5">
        <v>6.87</v>
      </c>
      <c r="O85" s="5">
        <v>12.5</v>
      </c>
      <c r="P85" s="6">
        <v>14.2</v>
      </c>
      <c r="Q85" s="6">
        <v>0.98</v>
      </c>
    </row>
    <row r="86" spans="2:17" x14ac:dyDescent="0.25">
      <c r="B86" s="56" t="s">
        <v>17</v>
      </c>
      <c r="C86" s="35">
        <f>D86/(D82+D83+D84+D85)*100</f>
        <v>23.611111111111111</v>
      </c>
      <c r="D86" s="125">
        <v>4.25</v>
      </c>
      <c r="E86" s="6">
        <v>3.29</v>
      </c>
      <c r="F86" s="6">
        <v>242.2</v>
      </c>
      <c r="G86" s="6">
        <v>28.5</v>
      </c>
      <c r="H86" s="6">
        <f t="shared" si="7"/>
        <v>1211.25</v>
      </c>
      <c r="I86" s="25"/>
      <c r="K86" s="56" t="s">
        <v>17</v>
      </c>
      <c r="L86" s="35">
        <f>M86/(M82+M83+M84+M85)*100</f>
        <v>47.222222222222221</v>
      </c>
      <c r="M86" s="64">
        <v>8.5</v>
      </c>
      <c r="N86" s="5">
        <v>8.1999999999999993</v>
      </c>
      <c r="O86" s="5">
        <v>19.2</v>
      </c>
      <c r="P86" s="6">
        <v>28.5</v>
      </c>
      <c r="Q86" s="6">
        <v>3.29</v>
      </c>
    </row>
    <row r="87" spans="2:17" x14ac:dyDescent="0.25">
      <c r="B87" s="57" t="s">
        <v>21</v>
      </c>
      <c r="C87" s="41">
        <f>D87/(D82+D83+D84+D85+D86)*100</f>
        <v>8.0898876404494384</v>
      </c>
      <c r="D87" s="126">
        <v>1.8</v>
      </c>
      <c r="E87" s="6">
        <v>0</v>
      </c>
      <c r="F87" s="6">
        <v>0</v>
      </c>
      <c r="G87" s="6">
        <v>86.6</v>
      </c>
      <c r="H87" s="6">
        <f t="shared" si="7"/>
        <v>1558.8</v>
      </c>
      <c r="I87" s="25"/>
      <c r="K87" s="57" t="s">
        <v>21</v>
      </c>
      <c r="L87" s="36"/>
      <c r="M87" s="64">
        <v>1.8</v>
      </c>
      <c r="N87" s="2">
        <v>2.9</v>
      </c>
      <c r="O87" s="5">
        <v>28.8</v>
      </c>
      <c r="P87" s="6">
        <v>86.6</v>
      </c>
      <c r="Q87" s="2"/>
    </row>
    <row r="88" spans="2:17" x14ac:dyDescent="0.25">
      <c r="B88" s="57" t="s">
        <v>49</v>
      </c>
      <c r="C88" s="41"/>
      <c r="D88" s="129">
        <v>0</v>
      </c>
      <c r="E88" s="10">
        <v>46</v>
      </c>
      <c r="F88" s="6">
        <f>(D88*E88%)*1000</f>
        <v>0</v>
      </c>
      <c r="G88" s="6">
        <v>0</v>
      </c>
      <c r="H88" s="6">
        <f t="shared" si="7"/>
        <v>0</v>
      </c>
      <c r="I88" s="25"/>
      <c r="K88" s="57" t="s">
        <v>54</v>
      </c>
      <c r="L88" s="36"/>
      <c r="M88" s="56">
        <v>0</v>
      </c>
      <c r="N88" s="2"/>
      <c r="O88" s="2"/>
      <c r="P88" s="2"/>
      <c r="Q88" s="2"/>
    </row>
    <row r="89" spans="2:17" x14ac:dyDescent="0.25">
      <c r="B89" s="57" t="s">
        <v>23</v>
      </c>
      <c r="C89" s="41"/>
      <c r="D89" s="126">
        <v>0.2</v>
      </c>
      <c r="E89" s="10">
        <v>20.5</v>
      </c>
      <c r="F89" s="6">
        <f>(D89*E89%)*1000</f>
        <v>41</v>
      </c>
      <c r="G89" s="6">
        <v>0</v>
      </c>
      <c r="H89" s="6">
        <f t="shared" si="7"/>
        <v>0</v>
      </c>
      <c r="I89" s="25"/>
      <c r="K89" s="57" t="s">
        <v>23</v>
      </c>
      <c r="L89" s="36"/>
      <c r="M89" s="56">
        <v>0.2</v>
      </c>
      <c r="N89" s="2"/>
      <c r="O89" s="2"/>
      <c r="P89" s="2"/>
      <c r="Q89" s="5">
        <v>20.5</v>
      </c>
    </row>
    <row r="90" spans="2:17" x14ac:dyDescent="0.25">
      <c r="B90" s="58" t="s">
        <v>26</v>
      </c>
      <c r="C90" s="42"/>
      <c r="D90" s="127">
        <f>SUM(D82:D89)</f>
        <v>24.25</v>
      </c>
      <c r="E90" s="9"/>
      <c r="F90" s="11">
        <f>SUM(F82:F89)</f>
        <v>412.6</v>
      </c>
      <c r="G90" s="9"/>
      <c r="H90" s="11">
        <f>SUM(H82:H89)</f>
        <v>4192.05</v>
      </c>
      <c r="I90" s="24" t="s">
        <v>6</v>
      </c>
      <c r="K90" s="57" t="s">
        <v>26</v>
      </c>
      <c r="L90" s="36"/>
      <c r="M90" s="64">
        <f>SUM(M82:M89)</f>
        <v>28.5</v>
      </c>
      <c r="N90" s="1"/>
      <c r="O90" s="1"/>
      <c r="P90" s="1"/>
      <c r="Q90" s="1"/>
    </row>
    <row r="91" spans="2:17" x14ac:dyDescent="0.25">
      <c r="B91" s="59"/>
      <c r="C91" s="43"/>
      <c r="D91" s="128"/>
      <c r="E91" s="1"/>
      <c r="F91" s="8">
        <f>F90/D90/10</f>
        <v>1.7014432989690722</v>
      </c>
      <c r="G91" s="12"/>
      <c r="H91" s="8">
        <f>H90/D90/10</f>
        <v>17.286804123711342</v>
      </c>
      <c r="I91" s="11">
        <f>((100-H91)*0.5)/F91</f>
        <v>24.306774115365972</v>
      </c>
    </row>
    <row r="95" spans="2:17" x14ac:dyDescent="0.25">
      <c r="B95" s="268" t="s">
        <v>62</v>
      </c>
      <c r="C95" s="268"/>
      <c r="D95" s="268"/>
      <c r="E95" s="268"/>
      <c r="F95" s="268"/>
      <c r="G95" s="268"/>
      <c r="H95" s="268"/>
      <c r="I95" s="268"/>
      <c r="K95" s="214" t="s">
        <v>62</v>
      </c>
      <c r="L95" s="215"/>
      <c r="M95" s="215"/>
      <c r="N95" s="215"/>
      <c r="O95" s="215"/>
      <c r="P95" s="215"/>
      <c r="Q95" s="215"/>
    </row>
    <row r="96" spans="2:17" x14ac:dyDescent="0.25">
      <c r="B96" s="269" t="s">
        <v>0</v>
      </c>
      <c r="C96" s="227" t="s">
        <v>1</v>
      </c>
      <c r="D96" s="269" t="s">
        <v>47</v>
      </c>
      <c r="E96" s="229" t="s">
        <v>46</v>
      </c>
      <c r="F96" s="229"/>
      <c r="G96" s="229"/>
      <c r="H96" s="229"/>
      <c r="I96" s="229" t="s">
        <v>102</v>
      </c>
      <c r="K96" s="219" t="s">
        <v>0</v>
      </c>
      <c r="L96" s="227" t="s">
        <v>1</v>
      </c>
      <c r="M96" s="219" t="s">
        <v>52</v>
      </c>
      <c r="N96" s="221" t="s">
        <v>7</v>
      </c>
      <c r="O96" s="222"/>
      <c r="P96" s="222"/>
      <c r="Q96" s="222"/>
    </row>
    <row r="97" spans="2:17" x14ac:dyDescent="0.25">
      <c r="B97" s="269"/>
      <c r="C97" s="228"/>
      <c r="D97" s="269"/>
      <c r="E97" s="2" t="s">
        <v>42</v>
      </c>
      <c r="F97" s="2" t="s">
        <v>43</v>
      </c>
      <c r="G97" s="2" t="s">
        <v>44</v>
      </c>
      <c r="H97" s="2" t="s">
        <v>45</v>
      </c>
      <c r="I97" s="229"/>
      <c r="K97" s="220"/>
      <c r="L97" s="228"/>
      <c r="M97" s="220"/>
      <c r="N97" s="2" t="s">
        <v>2</v>
      </c>
      <c r="O97" s="2" t="s">
        <v>51</v>
      </c>
      <c r="P97" s="2" t="s">
        <v>44</v>
      </c>
      <c r="Q97" s="2" t="s">
        <v>53</v>
      </c>
    </row>
    <row r="98" spans="2:17" x14ac:dyDescent="0.25">
      <c r="B98" s="56" t="s">
        <v>8</v>
      </c>
      <c r="C98" s="35">
        <f>D98/(D98+D99+D100+D101)*100</f>
        <v>36.111111111111107</v>
      </c>
      <c r="D98" s="125">
        <v>6.5</v>
      </c>
      <c r="E98" s="6">
        <v>1.1200000000000001</v>
      </c>
      <c r="F98" s="6">
        <f>(D98*E98%)*1000</f>
        <v>72.8</v>
      </c>
      <c r="G98" s="6">
        <v>14.6</v>
      </c>
      <c r="H98" s="6">
        <f t="shared" ref="H98:H105" si="8">(D98*G98%)*1000</f>
        <v>949</v>
      </c>
      <c r="I98" s="51">
        <f>D98+D99+D100+D101</f>
        <v>18</v>
      </c>
      <c r="K98" s="56" t="s">
        <v>8</v>
      </c>
      <c r="L98" s="35">
        <f>M98/(M98+M99+M100+M101)*100</f>
        <v>28.125</v>
      </c>
      <c r="M98" s="64">
        <v>4.5</v>
      </c>
      <c r="N98" s="5">
        <v>7.06</v>
      </c>
      <c r="O98" s="14">
        <v>12.8</v>
      </c>
      <c r="P98" s="6">
        <v>14.6</v>
      </c>
      <c r="Q98" s="6">
        <v>1.1200000000000001</v>
      </c>
    </row>
    <row r="99" spans="2:17" x14ac:dyDescent="0.25">
      <c r="B99" s="56" t="s">
        <v>12</v>
      </c>
      <c r="C99" s="35">
        <f>D99/(D98+D99+D100+D101)*100</f>
        <v>44.444444444444443</v>
      </c>
      <c r="D99" s="125">
        <v>8</v>
      </c>
      <c r="E99" s="6">
        <v>0.35</v>
      </c>
      <c r="F99" s="6">
        <f>(D99*E99%)*1000</f>
        <v>27.999999999999996</v>
      </c>
      <c r="G99" s="6">
        <v>1.8</v>
      </c>
      <c r="H99" s="6">
        <f t="shared" si="8"/>
        <v>144.00000000000003</v>
      </c>
      <c r="I99" s="25"/>
      <c r="K99" s="56" t="s">
        <v>12</v>
      </c>
      <c r="L99" s="35">
        <f>M99/(M98+M99+M100+M101)*100</f>
        <v>12.5</v>
      </c>
      <c r="M99" s="64">
        <v>2</v>
      </c>
      <c r="N99" s="5">
        <v>4.25</v>
      </c>
      <c r="O99" s="5">
        <v>61.5</v>
      </c>
      <c r="P99" s="6">
        <v>1.8</v>
      </c>
      <c r="Q99" s="6">
        <v>0.35</v>
      </c>
    </row>
    <row r="100" spans="2:17" x14ac:dyDescent="0.25">
      <c r="B100" s="56" t="s">
        <v>14</v>
      </c>
      <c r="C100" s="35">
        <f>D100/(D98+D99+D100+D101)*100</f>
        <v>8.3333333333333321</v>
      </c>
      <c r="D100" s="125">
        <v>1.5</v>
      </c>
      <c r="E100" s="6">
        <v>0.6</v>
      </c>
      <c r="F100" s="6">
        <f>(D100*E100%)*1000</f>
        <v>9.0000000000000018</v>
      </c>
      <c r="G100" s="6">
        <v>3</v>
      </c>
      <c r="H100" s="6">
        <f t="shared" si="8"/>
        <v>45</v>
      </c>
      <c r="I100" s="25"/>
      <c r="K100" s="56" t="s">
        <v>14</v>
      </c>
      <c r="L100" s="35">
        <f>M100/(M98+M99+M100+M101)*100</f>
        <v>50</v>
      </c>
      <c r="M100" s="64">
        <v>8</v>
      </c>
      <c r="N100" s="5">
        <v>3.86</v>
      </c>
      <c r="O100" s="5">
        <v>46.5</v>
      </c>
      <c r="P100" s="6">
        <v>3</v>
      </c>
      <c r="Q100" s="6">
        <v>0.6</v>
      </c>
    </row>
    <row r="101" spans="2:17" x14ac:dyDescent="0.25">
      <c r="B101" s="57" t="s">
        <v>10</v>
      </c>
      <c r="C101" s="35">
        <f>D101/(D98+D99+D100+D101)*100</f>
        <v>11.111111111111111</v>
      </c>
      <c r="D101" s="125">
        <v>2</v>
      </c>
      <c r="E101" s="6">
        <v>0.98</v>
      </c>
      <c r="F101" s="6">
        <f>(D101*E101%)*1000</f>
        <v>19.599999999999998</v>
      </c>
      <c r="G101" s="6">
        <v>14.2</v>
      </c>
      <c r="H101" s="6">
        <f t="shared" si="8"/>
        <v>284</v>
      </c>
      <c r="I101" s="25"/>
      <c r="K101" s="57" t="s">
        <v>10</v>
      </c>
      <c r="L101" s="35">
        <f>M101/(M98+M99+M100+M101)*100</f>
        <v>9.375</v>
      </c>
      <c r="M101" s="64">
        <v>1.5</v>
      </c>
      <c r="N101" s="5">
        <v>6.87</v>
      </c>
      <c r="O101" s="5">
        <v>13.5</v>
      </c>
      <c r="P101" s="6">
        <v>14.2</v>
      </c>
      <c r="Q101" s="6">
        <v>0.98</v>
      </c>
    </row>
    <row r="102" spans="2:17" x14ac:dyDescent="0.25">
      <c r="B102" s="56" t="s">
        <v>17</v>
      </c>
      <c r="C102" s="35">
        <f>D102/(D98+D99+D100+D101)*100</f>
        <v>47.222222222222221</v>
      </c>
      <c r="D102" s="125">
        <v>8.5</v>
      </c>
      <c r="E102" s="6">
        <v>3.29</v>
      </c>
      <c r="F102" s="6">
        <v>242.2</v>
      </c>
      <c r="G102" s="6">
        <v>28.5</v>
      </c>
      <c r="H102" s="6">
        <f t="shared" si="8"/>
        <v>2422.5</v>
      </c>
      <c r="I102" s="25"/>
      <c r="K102" s="56" t="s">
        <v>17</v>
      </c>
      <c r="L102" s="35">
        <f>M102/(M98+M99+M100+M101)*100</f>
        <v>53.125</v>
      </c>
      <c r="M102" s="64">
        <v>8.5</v>
      </c>
      <c r="N102" s="5">
        <v>8.1999999999999993</v>
      </c>
      <c r="O102" s="5">
        <v>20.8</v>
      </c>
      <c r="P102" s="6">
        <v>28.5</v>
      </c>
      <c r="Q102" s="6">
        <v>3.29</v>
      </c>
    </row>
    <row r="103" spans="2:17" x14ac:dyDescent="0.25">
      <c r="B103" s="57" t="s">
        <v>21</v>
      </c>
      <c r="C103" s="41">
        <f>D103/(D98+D99+D100+D101+D102)*100</f>
        <v>6.7924528301886795</v>
      </c>
      <c r="D103" s="126">
        <v>1.8</v>
      </c>
      <c r="E103" s="6">
        <v>0</v>
      </c>
      <c r="F103" s="6">
        <v>0</v>
      </c>
      <c r="G103" s="6">
        <v>86.6</v>
      </c>
      <c r="H103" s="6">
        <f t="shared" si="8"/>
        <v>1558.8</v>
      </c>
      <c r="I103" s="25"/>
      <c r="K103" s="57" t="s">
        <v>21</v>
      </c>
      <c r="L103" s="36"/>
      <c r="M103" s="64">
        <v>1.8</v>
      </c>
      <c r="N103" s="2">
        <v>2.9</v>
      </c>
      <c r="O103" s="5">
        <v>26.8</v>
      </c>
      <c r="P103" s="6">
        <v>86.6</v>
      </c>
      <c r="Q103" s="2"/>
    </row>
    <row r="104" spans="2:17" x14ac:dyDescent="0.25">
      <c r="B104" s="57" t="s">
        <v>49</v>
      </c>
      <c r="C104" s="41"/>
      <c r="D104" s="129">
        <v>0</v>
      </c>
      <c r="E104" s="10">
        <v>46</v>
      </c>
      <c r="F104" s="6">
        <f>(D104*E104%)*1000</f>
        <v>0</v>
      </c>
      <c r="G104" s="6">
        <v>0</v>
      </c>
      <c r="H104" s="6">
        <f t="shared" si="8"/>
        <v>0</v>
      </c>
      <c r="I104" s="25"/>
      <c r="K104" s="57" t="s">
        <v>54</v>
      </c>
      <c r="L104" s="36"/>
      <c r="M104" s="56">
        <v>0</v>
      </c>
      <c r="N104" s="2"/>
      <c r="O104" s="2"/>
      <c r="P104" s="2"/>
      <c r="Q104" s="2"/>
    </row>
    <row r="105" spans="2:17" x14ac:dyDescent="0.25">
      <c r="B105" s="57" t="s">
        <v>23</v>
      </c>
      <c r="C105" s="41"/>
      <c r="D105" s="126">
        <v>0.2</v>
      </c>
      <c r="E105" s="10">
        <v>20.5</v>
      </c>
      <c r="F105" s="6">
        <f>(D105*E105%)*1000</f>
        <v>41</v>
      </c>
      <c r="G105" s="6">
        <v>0</v>
      </c>
      <c r="H105" s="6">
        <f t="shared" si="8"/>
        <v>0</v>
      </c>
      <c r="I105" s="25"/>
      <c r="K105" s="57" t="s">
        <v>23</v>
      </c>
      <c r="L105" s="36"/>
      <c r="M105" s="56">
        <v>0.55000000000000004</v>
      </c>
      <c r="N105" s="2"/>
      <c r="O105" s="2"/>
      <c r="P105" s="2"/>
      <c r="Q105" s="5">
        <v>20.5</v>
      </c>
    </row>
    <row r="106" spans="2:17" x14ac:dyDescent="0.25">
      <c r="B106" s="58" t="s">
        <v>26</v>
      </c>
      <c r="C106" s="42"/>
      <c r="D106" s="127">
        <f>SUM(D98:D105)</f>
        <v>28.5</v>
      </c>
      <c r="E106" s="9"/>
      <c r="F106" s="11">
        <f>SUM(F98:F105)</f>
        <v>412.6</v>
      </c>
      <c r="G106" s="9"/>
      <c r="H106" s="11">
        <f>SUM(H98:H105)</f>
        <v>5403.3</v>
      </c>
      <c r="I106" s="24" t="s">
        <v>6</v>
      </c>
      <c r="K106" s="57" t="s">
        <v>26</v>
      </c>
      <c r="L106" s="36"/>
      <c r="M106" s="64">
        <f>SUM(M98:M105)</f>
        <v>26.85</v>
      </c>
      <c r="N106" s="1"/>
      <c r="O106" s="1"/>
      <c r="P106" s="1"/>
      <c r="Q106" s="1"/>
    </row>
    <row r="107" spans="2:17" x14ac:dyDescent="0.25">
      <c r="B107" s="59"/>
      <c r="C107" s="43"/>
      <c r="D107" s="128"/>
      <c r="E107" s="1"/>
      <c r="F107" s="8">
        <f>F106/D106/10</f>
        <v>1.4477192982456142</v>
      </c>
      <c r="G107" s="12"/>
      <c r="H107" s="8">
        <f>H106/D106/10</f>
        <v>18.958947368421054</v>
      </c>
      <c r="I107" s="11">
        <f>((100-H107)*0.5)/F107</f>
        <v>27.989214735821616</v>
      </c>
    </row>
    <row r="111" spans="2:17" x14ac:dyDescent="0.25">
      <c r="B111" s="268" t="s">
        <v>63</v>
      </c>
      <c r="C111" s="268"/>
      <c r="D111" s="268"/>
      <c r="E111" s="268"/>
      <c r="F111" s="268"/>
      <c r="G111" s="268"/>
      <c r="H111" s="268"/>
      <c r="I111" s="268"/>
      <c r="K111" s="214" t="s">
        <v>63</v>
      </c>
      <c r="L111" s="215"/>
      <c r="M111" s="215"/>
      <c r="N111" s="215"/>
      <c r="O111" s="215"/>
      <c r="P111" s="215"/>
      <c r="Q111" s="215"/>
    </row>
    <row r="112" spans="2:17" x14ac:dyDescent="0.25">
      <c r="B112" s="269" t="s">
        <v>0</v>
      </c>
      <c r="C112" s="227" t="s">
        <v>1</v>
      </c>
      <c r="D112" s="269" t="s">
        <v>47</v>
      </c>
      <c r="E112" s="229" t="s">
        <v>46</v>
      </c>
      <c r="F112" s="229"/>
      <c r="G112" s="229"/>
      <c r="H112" s="229"/>
      <c r="I112" s="229" t="s">
        <v>102</v>
      </c>
      <c r="K112" s="219" t="s">
        <v>0</v>
      </c>
      <c r="L112" s="227" t="s">
        <v>1</v>
      </c>
      <c r="M112" s="219" t="s">
        <v>52</v>
      </c>
      <c r="N112" s="221" t="s">
        <v>7</v>
      </c>
      <c r="O112" s="222"/>
      <c r="P112" s="222"/>
      <c r="Q112" s="222"/>
    </row>
    <row r="113" spans="2:17" x14ac:dyDescent="0.25">
      <c r="B113" s="269"/>
      <c r="C113" s="228"/>
      <c r="D113" s="269"/>
      <c r="E113" s="2" t="s">
        <v>42</v>
      </c>
      <c r="F113" s="2" t="s">
        <v>43</v>
      </c>
      <c r="G113" s="2" t="s">
        <v>44</v>
      </c>
      <c r="H113" s="2" t="s">
        <v>45</v>
      </c>
      <c r="I113" s="229"/>
      <c r="K113" s="220"/>
      <c r="L113" s="228"/>
      <c r="M113" s="220"/>
      <c r="N113" s="2" t="s">
        <v>2</v>
      </c>
      <c r="O113" s="2" t="s">
        <v>51</v>
      </c>
      <c r="P113" s="2" t="s">
        <v>44</v>
      </c>
      <c r="Q113" s="2" t="s">
        <v>53</v>
      </c>
    </row>
    <row r="114" spans="2:17" x14ac:dyDescent="0.25">
      <c r="B114" s="56" t="s">
        <v>8</v>
      </c>
      <c r="C114" s="35">
        <f>D114/(D114+D115+D116+D117)*100</f>
        <v>36.111111111111107</v>
      </c>
      <c r="D114" s="125">
        <v>6.5</v>
      </c>
      <c r="E114" s="6">
        <v>1.19</v>
      </c>
      <c r="F114" s="6">
        <f>(D114*E114%)*1000</f>
        <v>77.349999999999994</v>
      </c>
      <c r="G114" s="6">
        <v>14.6</v>
      </c>
      <c r="H114" s="6">
        <f t="shared" ref="H114:H121" si="9">(D114*G114%)*1000</f>
        <v>949</v>
      </c>
      <c r="I114" s="51">
        <f>D114+D115+D116+D117</f>
        <v>18</v>
      </c>
      <c r="K114" s="56" t="s">
        <v>8</v>
      </c>
      <c r="L114" s="35">
        <f>M114/(M114+M115+M116+M117)*100</f>
        <v>28.125</v>
      </c>
      <c r="M114" s="64">
        <v>4.5</v>
      </c>
      <c r="N114" s="5">
        <v>7.06</v>
      </c>
      <c r="O114" s="14">
        <v>12.8</v>
      </c>
      <c r="P114" s="6">
        <v>14.6</v>
      </c>
      <c r="Q114" s="6">
        <v>1.1200000000000001</v>
      </c>
    </row>
    <row r="115" spans="2:17" x14ac:dyDescent="0.25">
      <c r="B115" s="57" t="s">
        <v>10</v>
      </c>
      <c r="C115" s="35">
        <f>D115/(D114+D115+D116+D117)*100</f>
        <v>11.111111111111111</v>
      </c>
      <c r="D115" s="125">
        <v>2</v>
      </c>
      <c r="E115" s="6">
        <v>0.9</v>
      </c>
      <c r="F115" s="6">
        <f>(D115*E115%)*1000</f>
        <v>18.000000000000004</v>
      </c>
      <c r="G115" s="6">
        <v>14.2</v>
      </c>
      <c r="H115" s="6">
        <f t="shared" si="9"/>
        <v>284</v>
      </c>
      <c r="I115" s="25"/>
      <c r="K115" s="57" t="s">
        <v>10</v>
      </c>
      <c r="L115" s="35">
        <f>M115/(M114+M115+M116+M117)*100</f>
        <v>12.5</v>
      </c>
      <c r="M115" s="64">
        <v>2</v>
      </c>
      <c r="N115" s="5">
        <v>6.87</v>
      </c>
      <c r="O115" s="5">
        <v>13.3</v>
      </c>
      <c r="P115" s="6">
        <v>14.2</v>
      </c>
      <c r="Q115" s="6">
        <v>1</v>
      </c>
    </row>
    <row r="116" spans="2:17" x14ac:dyDescent="0.25">
      <c r="B116" s="56" t="s">
        <v>12</v>
      </c>
      <c r="C116" s="35">
        <f>D116/(D114+D115+D116+D117)*100</f>
        <v>44.444444444444443</v>
      </c>
      <c r="D116" s="125">
        <v>8</v>
      </c>
      <c r="E116" s="6">
        <v>0.35</v>
      </c>
      <c r="F116" s="6">
        <v>32</v>
      </c>
      <c r="G116" s="6">
        <v>1.8</v>
      </c>
      <c r="H116" s="6">
        <f t="shared" si="9"/>
        <v>144.00000000000003</v>
      </c>
      <c r="I116" s="25"/>
      <c r="K116" s="56" t="s">
        <v>12</v>
      </c>
      <c r="L116" s="35">
        <f>M116/(M114+M115+M116+M117)*100</f>
        <v>50</v>
      </c>
      <c r="M116" s="64">
        <v>8</v>
      </c>
      <c r="N116" s="5">
        <v>4.25</v>
      </c>
      <c r="O116" s="5">
        <v>61.5</v>
      </c>
      <c r="P116" s="6">
        <v>1.8</v>
      </c>
      <c r="Q116" s="6">
        <v>0.35</v>
      </c>
    </row>
    <row r="117" spans="2:17" x14ac:dyDescent="0.25">
      <c r="B117" s="56" t="s">
        <v>14</v>
      </c>
      <c r="C117" s="35">
        <f>D117/(D114+D115+D116+D117)*100</f>
        <v>8.3333333333333321</v>
      </c>
      <c r="D117" s="125">
        <v>1.5</v>
      </c>
      <c r="E117" s="6">
        <v>0.6</v>
      </c>
      <c r="F117" s="6">
        <f>(D117*E117%)*1000</f>
        <v>9.0000000000000018</v>
      </c>
      <c r="G117" s="6">
        <v>3</v>
      </c>
      <c r="H117" s="6">
        <f t="shared" si="9"/>
        <v>45</v>
      </c>
      <c r="I117" s="25"/>
      <c r="K117" s="56" t="s">
        <v>14</v>
      </c>
      <c r="L117" s="35">
        <f>M117/(M114+M115+M116+M117)*100</f>
        <v>9.375</v>
      </c>
      <c r="M117" s="64">
        <v>1.5</v>
      </c>
      <c r="N117" s="5">
        <v>3.86</v>
      </c>
      <c r="O117" s="5">
        <v>46.5</v>
      </c>
      <c r="P117" s="6">
        <v>3</v>
      </c>
      <c r="Q117" s="6">
        <v>0.6</v>
      </c>
    </row>
    <row r="118" spans="2:17" x14ac:dyDescent="0.25">
      <c r="B118" s="56" t="s">
        <v>17</v>
      </c>
      <c r="C118" s="35">
        <f>D118/(D114+D115+D116+D117)*100</f>
        <v>23.611111111111111</v>
      </c>
      <c r="D118" s="125">
        <f>8.5/2</f>
        <v>4.25</v>
      </c>
      <c r="E118" s="6">
        <v>3.2</v>
      </c>
      <c r="F118" s="6">
        <v>136</v>
      </c>
      <c r="G118" s="6">
        <v>28.5</v>
      </c>
      <c r="H118" s="6">
        <f t="shared" si="9"/>
        <v>1211.25</v>
      </c>
      <c r="I118" s="25"/>
      <c r="K118" s="56" t="s">
        <v>17</v>
      </c>
      <c r="L118" s="35">
        <f>M118/(M114+M115+M116+M117)*100</f>
        <v>53.125</v>
      </c>
      <c r="M118" s="64">
        <v>8.5</v>
      </c>
      <c r="N118" s="5">
        <v>8.1999999999999993</v>
      </c>
      <c r="O118" s="5">
        <v>20.8</v>
      </c>
      <c r="P118" s="6">
        <v>28.5</v>
      </c>
      <c r="Q118" s="6">
        <v>3.29</v>
      </c>
    </row>
    <row r="119" spans="2:17" x14ac:dyDescent="0.25">
      <c r="B119" s="57" t="s">
        <v>21</v>
      </c>
      <c r="C119" s="41">
        <f>D119/(D114+D115+D116+D117+D118)*100</f>
        <v>3.3707865168539324</v>
      </c>
      <c r="D119" s="126">
        <f>1.5/2</f>
        <v>0.75</v>
      </c>
      <c r="E119" s="6">
        <v>0</v>
      </c>
      <c r="F119" s="6">
        <v>0</v>
      </c>
      <c r="G119" s="6">
        <v>86.6</v>
      </c>
      <c r="H119" s="6">
        <f t="shared" si="9"/>
        <v>649.5</v>
      </c>
      <c r="I119" s="25"/>
      <c r="K119" s="57" t="s">
        <v>21</v>
      </c>
      <c r="L119" s="36"/>
      <c r="M119" s="64">
        <v>1.8</v>
      </c>
      <c r="N119" s="2">
        <v>2.9</v>
      </c>
      <c r="O119" s="5">
        <v>26.8</v>
      </c>
      <c r="P119" s="6">
        <v>86.6</v>
      </c>
      <c r="Q119" s="2"/>
    </row>
    <row r="120" spans="2:17" x14ac:dyDescent="0.25">
      <c r="B120" s="57" t="s">
        <v>49</v>
      </c>
      <c r="C120" s="41"/>
      <c r="D120" s="129">
        <v>0</v>
      </c>
      <c r="E120" s="10">
        <v>0</v>
      </c>
      <c r="F120" s="6">
        <f>(D120*E120%)*1000</f>
        <v>0</v>
      </c>
      <c r="G120" s="6">
        <v>0</v>
      </c>
      <c r="H120" s="6">
        <f t="shared" si="9"/>
        <v>0</v>
      </c>
      <c r="I120" s="25"/>
      <c r="K120" s="57" t="s">
        <v>54</v>
      </c>
      <c r="L120" s="36"/>
      <c r="M120" s="56">
        <v>0</v>
      </c>
      <c r="N120" s="2"/>
      <c r="O120" s="2"/>
      <c r="P120" s="2"/>
      <c r="Q120" s="2"/>
    </row>
    <row r="121" spans="2:17" x14ac:dyDescent="0.25">
      <c r="B121" s="57" t="s">
        <v>23</v>
      </c>
      <c r="C121" s="41"/>
      <c r="D121" s="126">
        <v>0.3</v>
      </c>
      <c r="E121" s="10">
        <v>20.5</v>
      </c>
      <c r="F121" s="6">
        <f>(D121*E121%)*1000</f>
        <v>61.499999999999993</v>
      </c>
      <c r="G121" s="6">
        <v>0</v>
      </c>
      <c r="H121" s="6">
        <f t="shared" si="9"/>
        <v>0</v>
      </c>
      <c r="I121" s="25"/>
      <c r="K121" s="57" t="s">
        <v>23</v>
      </c>
      <c r="L121" s="36"/>
      <c r="M121" s="56">
        <v>0.55000000000000004</v>
      </c>
      <c r="N121" s="2"/>
      <c r="O121" s="2"/>
      <c r="P121" s="2"/>
      <c r="Q121" s="5">
        <v>20.5</v>
      </c>
    </row>
    <row r="122" spans="2:17" x14ac:dyDescent="0.25">
      <c r="B122" s="58" t="s">
        <v>26</v>
      </c>
      <c r="C122" s="42"/>
      <c r="D122" s="127">
        <f>SUM(D114:D121)</f>
        <v>23.3</v>
      </c>
      <c r="E122" s="9"/>
      <c r="F122" s="11">
        <f>SUM(F114:F121)</f>
        <v>333.85</v>
      </c>
      <c r="G122" s="9"/>
      <c r="H122" s="11">
        <f>SUM(H114:H121)</f>
        <v>3282.75</v>
      </c>
      <c r="I122" s="24" t="s">
        <v>6</v>
      </c>
      <c r="K122" s="57" t="s">
        <v>26</v>
      </c>
      <c r="L122" s="36"/>
      <c r="M122" s="64">
        <f>SUM(M114:M121)</f>
        <v>26.85</v>
      </c>
      <c r="N122" s="1"/>
      <c r="O122" s="1"/>
      <c r="P122" s="1"/>
      <c r="Q122" s="1"/>
    </row>
    <row r="123" spans="2:17" x14ac:dyDescent="0.25">
      <c r="B123" s="59"/>
      <c r="C123" s="43"/>
      <c r="D123" s="130"/>
      <c r="E123" s="1"/>
      <c r="F123" s="8">
        <f>F122/D122/10</f>
        <v>1.4328326180257511</v>
      </c>
      <c r="G123" s="12"/>
      <c r="H123" s="8">
        <f>H122/D122/10</f>
        <v>14.089055793991415</v>
      </c>
      <c r="I123" s="11">
        <f>((100-H123)*0.5)/F123</f>
        <v>29.979406919275121</v>
      </c>
    </row>
    <row r="127" spans="2:17" x14ac:dyDescent="0.25">
      <c r="B127" s="268" t="s">
        <v>65</v>
      </c>
      <c r="C127" s="268"/>
      <c r="D127" s="268"/>
      <c r="E127" s="268"/>
      <c r="F127" s="268"/>
      <c r="G127" s="268"/>
      <c r="H127" s="268"/>
      <c r="I127" s="268"/>
      <c r="K127" s="214" t="s">
        <v>65</v>
      </c>
      <c r="L127" s="215"/>
      <c r="M127" s="215"/>
      <c r="N127" s="215"/>
      <c r="O127" s="215"/>
      <c r="P127" s="215"/>
      <c r="Q127" s="215"/>
    </row>
    <row r="128" spans="2:17" x14ac:dyDescent="0.25">
      <c r="B128" s="269" t="s">
        <v>0</v>
      </c>
      <c r="C128" s="227" t="s">
        <v>1</v>
      </c>
      <c r="D128" s="269" t="s">
        <v>47</v>
      </c>
      <c r="E128" s="229" t="s">
        <v>46</v>
      </c>
      <c r="F128" s="229"/>
      <c r="G128" s="229"/>
      <c r="H128" s="229"/>
      <c r="I128" s="229" t="s">
        <v>102</v>
      </c>
      <c r="K128" s="219" t="s">
        <v>0</v>
      </c>
      <c r="L128" s="227" t="s">
        <v>1</v>
      </c>
      <c r="M128" s="219" t="s">
        <v>52</v>
      </c>
      <c r="N128" s="221" t="s">
        <v>7</v>
      </c>
      <c r="O128" s="222"/>
      <c r="P128" s="222"/>
      <c r="Q128" s="222"/>
    </row>
    <row r="129" spans="2:17" x14ac:dyDescent="0.25">
      <c r="B129" s="269"/>
      <c r="C129" s="228"/>
      <c r="D129" s="269"/>
      <c r="E129" s="2" t="s">
        <v>42</v>
      </c>
      <c r="F129" s="2" t="s">
        <v>43</v>
      </c>
      <c r="G129" s="2" t="s">
        <v>44</v>
      </c>
      <c r="H129" s="2" t="s">
        <v>45</v>
      </c>
      <c r="I129" s="229"/>
      <c r="K129" s="220"/>
      <c r="L129" s="228"/>
      <c r="M129" s="220"/>
      <c r="N129" s="2" t="s">
        <v>2</v>
      </c>
      <c r="O129" s="2" t="s">
        <v>51</v>
      </c>
      <c r="P129" s="2" t="s">
        <v>44</v>
      </c>
      <c r="Q129" s="2" t="s">
        <v>53</v>
      </c>
    </row>
    <row r="130" spans="2:17" x14ac:dyDescent="0.25">
      <c r="B130" s="56" t="s">
        <v>8</v>
      </c>
      <c r="C130" s="35">
        <f>D130/(D130+D131+D132+D133)*100</f>
        <v>36.111111111111107</v>
      </c>
      <c r="D130" s="125">
        <v>6.5</v>
      </c>
      <c r="E130" s="6">
        <v>1.19</v>
      </c>
      <c r="F130" s="6">
        <f t="shared" ref="F130:F137" si="10">(D130*E130%)*1000</f>
        <v>77.349999999999994</v>
      </c>
      <c r="G130" s="6">
        <v>14.6</v>
      </c>
      <c r="H130" s="6">
        <f t="shared" ref="H130:H137" si="11">(D130*G130%)*1000</f>
        <v>949</v>
      </c>
      <c r="I130" s="51">
        <f>D130+D131+D132+D133</f>
        <v>18</v>
      </c>
      <c r="K130" s="56" t="s">
        <v>8</v>
      </c>
      <c r="L130" s="35">
        <f>M130/(M130+M131+M132+M133)*100</f>
        <v>28.125</v>
      </c>
      <c r="M130" s="64">
        <v>4.5</v>
      </c>
      <c r="N130" s="5">
        <v>7.06</v>
      </c>
      <c r="O130" s="14">
        <v>12.8</v>
      </c>
      <c r="P130" s="6">
        <v>14.6</v>
      </c>
      <c r="Q130" s="6">
        <v>1.1200000000000001</v>
      </c>
    </row>
    <row r="131" spans="2:17" x14ac:dyDescent="0.25">
      <c r="B131" s="57" t="s">
        <v>10</v>
      </c>
      <c r="C131" s="35">
        <f>D131/(D130+D131+D132+D133)*100</f>
        <v>11.111111111111111</v>
      </c>
      <c r="D131" s="125">
        <v>2</v>
      </c>
      <c r="E131" s="6">
        <v>0.9</v>
      </c>
      <c r="F131" s="6">
        <f t="shared" si="10"/>
        <v>18.000000000000004</v>
      </c>
      <c r="G131" s="6">
        <v>14.2</v>
      </c>
      <c r="H131" s="6">
        <f t="shared" si="11"/>
        <v>284</v>
      </c>
      <c r="I131" s="25"/>
      <c r="K131" s="57" t="s">
        <v>10</v>
      </c>
      <c r="L131" s="35">
        <f>M131/(M130+M131+M132+M133)*100</f>
        <v>12.5</v>
      </c>
      <c r="M131" s="64">
        <v>2</v>
      </c>
      <c r="N131" s="5">
        <v>6.87</v>
      </c>
      <c r="O131" s="5">
        <v>13.3</v>
      </c>
      <c r="P131" s="6">
        <v>14.2</v>
      </c>
      <c r="Q131" s="6">
        <v>1</v>
      </c>
    </row>
    <row r="132" spans="2:17" x14ac:dyDescent="0.25">
      <c r="B132" s="56" t="s">
        <v>12</v>
      </c>
      <c r="C132" s="35">
        <f>D132/(D130+D131+D132+D133)*100</f>
        <v>44.444444444444443</v>
      </c>
      <c r="D132" s="125">
        <v>8</v>
      </c>
      <c r="E132" s="6">
        <v>0.35</v>
      </c>
      <c r="F132" s="6">
        <f t="shared" si="10"/>
        <v>27.999999999999996</v>
      </c>
      <c r="G132" s="6">
        <v>1.8</v>
      </c>
      <c r="H132" s="6">
        <f t="shared" si="11"/>
        <v>144.00000000000003</v>
      </c>
      <c r="I132" s="25"/>
      <c r="K132" s="56" t="s">
        <v>12</v>
      </c>
      <c r="L132" s="35">
        <f>M132/(M130+M131+M132+M133)*100</f>
        <v>50</v>
      </c>
      <c r="M132" s="64">
        <v>8</v>
      </c>
      <c r="N132" s="5">
        <v>4.25</v>
      </c>
      <c r="O132" s="5">
        <v>61.5</v>
      </c>
      <c r="P132" s="6">
        <v>1.8</v>
      </c>
      <c r="Q132" s="6">
        <v>0.35</v>
      </c>
    </row>
    <row r="133" spans="2:17" x14ac:dyDescent="0.25">
      <c r="B133" s="56" t="s">
        <v>14</v>
      </c>
      <c r="C133" s="35">
        <f>D133/(D130+D131+D132+D133)*100</f>
        <v>8.3333333333333321</v>
      </c>
      <c r="D133" s="125">
        <v>1.5</v>
      </c>
      <c r="E133" s="6">
        <v>0.6</v>
      </c>
      <c r="F133" s="6">
        <f t="shared" si="10"/>
        <v>9.0000000000000018</v>
      </c>
      <c r="G133" s="6">
        <v>3</v>
      </c>
      <c r="H133" s="6">
        <f t="shared" si="11"/>
        <v>45</v>
      </c>
      <c r="I133" s="25"/>
      <c r="K133" s="56" t="s">
        <v>14</v>
      </c>
      <c r="L133" s="35">
        <f>M133/(M130+M131+M132+M133)*100</f>
        <v>9.375</v>
      </c>
      <c r="M133" s="64">
        <v>1.5</v>
      </c>
      <c r="N133" s="5">
        <v>3.86</v>
      </c>
      <c r="O133" s="5">
        <v>46.5</v>
      </c>
      <c r="P133" s="6">
        <v>3</v>
      </c>
      <c r="Q133" s="6">
        <v>0.6</v>
      </c>
    </row>
    <row r="134" spans="2:17" x14ac:dyDescent="0.25">
      <c r="B134" s="56" t="s">
        <v>17</v>
      </c>
      <c r="C134" s="35">
        <f>D134/(D130+D131+D132+D133)*100</f>
        <v>23.611111111111111</v>
      </c>
      <c r="D134" s="125">
        <f>8.5/2</f>
        <v>4.25</v>
      </c>
      <c r="E134" s="6">
        <v>3.2</v>
      </c>
      <c r="F134" s="6">
        <f t="shared" si="10"/>
        <v>136</v>
      </c>
      <c r="G134" s="6">
        <v>28.5</v>
      </c>
      <c r="H134" s="6">
        <f t="shared" si="11"/>
        <v>1211.25</v>
      </c>
      <c r="I134" s="25"/>
      <c r="K134" s="56" t="s">
        <v>17</v>
      </c>
      <c r="L134" s="35">
        <f>M134/(M130+M131+M132+M133)*100</f>
        <v>53.125</v>
      </c>
      <c r="M134" s="64">
        <v>8.5</v>
      </c>
      <c r="N134" s="5">
        <v>8.1999999999999993</v>
      </c>
      <c r="O134" s="5">
        <v>20.8</v>
      </c>
      <c r="P134" s="6">
        <v>28.5</v>
      </c>
      <c r="Q134" s="6">
        <v>3.29</v>
      </c>
    </row>
    <row r="135" spans="2:17" x14ac:dyDescent="0.25">
      <c r="B135" s="57" t="s">
        <v>21</v>
      </c>
      <c r="C135" s="41">
        <f>D135/(D130+D131+D132+D133+D134)*100</f>
        <v>3.3707865168539324</v>
      </c>
      <c r="D135" s="126">
        <f>1.5/2</f>
        <v>0.75</v>
      </c>
      <c r="E135" s="6">
        <v>0</v>
      </c>
      <c r="F135" s="6">
        <f t="shared" si="10"/>
        <v>0</v>
      </c>
      <c r="G135" s="6">
        <v>86.6</v>
      </c>
      <c r="H135" s="6">
        <f t="shared" si="11"/>
        <v>649.5</v>
      </c>
      <c r="I135" s="25"/>
      <c r="K135" s="57" t="s">
        <v>21</v>
      </c>
      <c r="L135" s="36"/>
      <c r="M135" s="64">
        <v>1.8</v>
      </c>
      <c r="N135" s="2">
        <v>2.9</v>
      </c>
      <c r="O135" s="5">
        <v>26.8</v>
      </c>
      <c r="P135" s="6">
        <v>86.6</v>
      </c>
      <c r="Q135" s="2"/>
    </row>
    <row r="136" spans="2:17" x14ac:dyDescent="0.25">
      <c r="B136" s="57" t="s">
        <v>49</v>
      </c>
      <c r="C136" s="41"/>
      <c r="D136" s="129">
        <v>0</v>
      </c>
      <c r="E136" s="10">
        <v>0</v>
      </c>
      <c r="F136" s="6">
        <f t="shared" si="10"/>
        <v>0</v>
      </c>
      <c r="G136" s="6">
        <v>0</v>
      </c>
      <c r="H136" s="6">
        <f t="shared" si="11"/>
        <v>0</v>
      </c>
      <c r="I136" s="25"/>
      <c r="K136" s="57" t="s">
        <v>54</v>
      </c>
      <c r="L136" s="36"/>
      <c r="M136" s="56">
        <v>0</v>
      </c>
      <c r="N136" s="2"/>
      <c r="O136" s="2"/>
      <c r="P136" s="2"/>
      <c r="Q136" s="2"/>
    </row>
    <row r="137" spans="2:17" x14ac:dyDescent="0.25">
      <c r="B137" s="57" t="s">
        <v>23</v>
      </c>
      <c r="C137" s="41"/>
      <c r="D137" s="126">
        <v>0.1</v>
      </c>
      <c r="E137" s="10">
        <v>20.5</v>
      </c>
      <c r="F137" s="6">
        <f t="shared" si="10"/>
        <v>20.5</v>
      </c>
      <c r="G137" s="6">
        <v>0</v>
      </c>
      <c r="H137" s="6">
        <f t="shared" si="11"/>
        <v>0</v>
      </c>
      <c r="I137" s="25"/>
      <c r="K137" s="57" t="s">
        <v>23</v>
      </c>
      <c r="L137" s="36"/>
      <c r="M137" s="56">
        <v>0.55000000000000004</v>
      </c>
      <c r="N137" s="2"/>
      <c r="O137" s="2"/>
      <c r="P137" s="2"/>
      <c r="Q137" s="5">
        <v>20.5</v>
      </c>
    </row>
    <row r="138" spans="2:17" x14ac:dyDescent="0.25">
      <c r="B138" s="58" t="s">
        <v>26</v>
      </c>
      <c r="C138" s="42"/>
      <c r="D138" s="127">
        <f>SUM(D130:D137)</f>
        <v>23.1</v>
      </c>
      <c r="E138" s="9"/>
      <c r="F138" s="11">
        <f>SUM(F130:F137)</f>
        <v>288.85000000000002</v>
      </c>
      <c r="G138" s="9"/>
      <c r="H138" s="11">
        <f>SUM(H130:H137)</f>
        <v>3282.75</v>
      </c>
      <c r="I138" s="24" t="s">
        <v>6</v>
      </c>
      <c r="K138" s="57" t="s">
        <v>26</v>
      </c>
      <c r="L138" s="36"/>
      <c r="M138" s="64">
        <f>SUM(M130:M137)</f>
        <v>26.85</v>
      </c>
      <c r="N138" s="1"/>
      <c r="O138" s="1"/>
      <c r="P138" s="1"/>
      <c r="Q138" s="1"/>
    </row>
    <row r="139" spans="2:17" x14ac:dyDescent="0.25">
      <c r="B139" s="59"/>
      <c r="C139" s="43"/>
      <c r="D139" s="130"/>
      <c r="E139" s="1"/>
      <c r="F139" s="8">
        <f>F138/D138/10</f>
        <v>1.2504329004329005</v>
      </c>
      <c r="G139" s="12"/>
      <c r="H139" s="8">
        <f>H138/D138/10</f>
        <v>14.211038961038961</v>
      </c>
      <c r="I139" s="11">
        <f>((100-H139)*0.5)/F139</f>
        <v>34.303704344815642</v>
      </c>
    </row>
    <row r="140" spans="2:17" x14ac:dyDescent="0.25">
      <c r="B140" s="60"/>
      <c r="C140" s="44"/>
      <c r="D140" s="131"/>
      <c r="E140" s="16"/>
      <c r="K140" s="70"/>
      <c r="L140" s="37"/>
      <c r="M140" s="72"/>
      <c r="N140" s="18"/>
      <c r="O140" s="18"/>
      <c r="P140" s="19"/>
      <c r="Q140" s="19"/>
    </row>
    <row r="141" spans="2:17" x14ac:dyDescent="0.25">
      <c r="E141" s="16"/>
      <c r="K141" s="71"/>
      <c r="L141" s="38"/>
      <c r="M141" s="72"/>
      <c r="N141" s="17"/>
      <c r="O141" s="18"/>
      <c r="P141" s="19"/>
      <c r="Q141" s="17"/>
    </row>
    <row r="142" spans="2:17" x14ac:dyDescent="0.25">
      <c r="B142" s="268" t="s">
        <v>66</v>
      </c>
      <c r="C142" s="268"/>
      <c r="D142" s="268"/>
      <c r="E142" s="268"/>
      <c r="F142" s="268"/>
      <c r="G142" s="268"/>
      <c r="H142" s="268"/>
      <c r="I142" s="268"/>
      <c r="K142" s="72"/>
      <c r="L142" s="72"/>
      <c r="M142" s="72"/>
      <c r="N142" s="72"/>
      <c r="O142" s="72"/>
      <c r="P142" s="72"/>
      <c r="Q142" s="72"/>
    </row>
    <row r="143" spans="2:17" ht="15" customHeight="1" x14ac:dyDescent="0.25">
      <c r="B143" s="269" t="s">
        <v>0</v>
      </c>
      <c r="C143" s="227" t="s">
        <v>1</v>
      </c>
      <c r="D143" s="269" t="s">
        <v>47</v>
      </c>
      <c r="E143" s="229" t="s">
        <v>46</v>
      </c>
      <c r="F143" s="229"/>
      <c r="G143" s="229"/>
      <c r="H143" s="229"/>
      <c r="I143" s="229" t="s">
        <v>102</v>
      </c>
      <c r="K143" s="72"/>
      <c r="L143" s="72"/>
      <c r="M143" s="72"/>
      <c r="N143" s="72"/>
      <c r="O143" s="72"/>
      <c r="P143" s="72"/>
      <c r="Q143" s="72"/>
    </row>
    <row r="144" spans="2:17" x14ac:dyDescent="0.25">
      <c r="B144" s="269"/>
      <c r="C144" s="228"/>
      <c r="D144" s="269"/>
      <c r="E144" s="2" t="s">
        <v>42</v>
      </c>
      <c r="F144" s="2" t="s">
        <v>43</v>
      </c>
      <c r="G144" s="2" t="s">
        <v>44</v>
      </c>
      <c r="H144" s="2" t="s">
        <v>45</v>
      </c>
      <c r="I144" s="229"/>
      <c r="K144" s="72"/>
      <c r="L144" s="72"/>
      <c r="M144" s="72"/>
      <c r="N144" s="72"/>
      <c r="O144" s="72"/>
      <c r="P144" s="72"/>
      <c r="Q144" s="72"/>
    </row>
    <row r="145" spans="2:17" x14ac:dyDescent="0.25">
      <c r="B145" s="56" t="s">
        <v>8</v>
      </c>
      <c r="C145" s="35">
        <f>D145/(D145+D146+D147+D148)*100</f>
        <v>36.111111111111107</v>
      </c>
      <c r="D145" s="125">
        <v>6.5</v>
      </c>
      <c r="E145" s="5">
        <v>1.26</v>
      </c>
      <c r="F145" s="5">
        <f t="shared" ref="F145:F152" si="12">(D145*E145%)*1000</f>
        <v>81.900000000000006</v>
      </c>
      <c r="G145" s="5">
        <v>14.9</v>
      </c>
      <c r="H145" s="5">
        <f t="shared" ref="H145:H152" si="13">(D145*G145%)*1000</f>
        <v>968.49999999999989</v>
      </c>
      <c r="I145" s="51">
        <f>D145+D146+D147+D148</f>
        <v>18</v>
      </c>
      <c r="K145" s="72"/>
      <c r="L145" s="72"/>
      <c r="M145" s="72"/>
      <c r="N145" s="72"/>
      <c r="O145" s="72"/>
      <c r="P145" s="72"/>
      <c r="Q145" s="72"/>
    </row>
    <row r="146" spans="2:17" x14ac:dyDescent="0.25">
      <c r="B146" s="57" t="s">
        <v>10</v>
      </c>
      <c r="C146" s="35">
        <f>D146/(D145+D146+D147+D148)*100</f>
        <v>11.111111111111111</v>
      </c>
      <c r="D146" s="125">
        <v>2</v>
      </c>
      <c r="E146" s="5">
        <v>1.1200000000000001</v>
      </c>
      <c r="F146" s="5">
        <f t="shared" si="12"/>
        <v>22.400000000000002</v>
      </c>
      <c r="G146" s="5">
        <v>13.1</v>
      </c>
      <c r="H146" s="5">
        <f t="shared" si="13"/>
        <v>262</v>
      </c>
      <c r="I146" s="25"/>
      <c r="K146" s="72"/>
      <c r="L146" s="72"/>
      <c r="M146" s="72"/>
      <c r="N146" s="72"/>
      <c r="O146" s="72"/>
      <c r="P146" s="72"/>
      <c r="Q146" s="72"/>
    </row>
    <row r="147" spans="2:17" x14ac:dyDescent="0.25">
      <c r="B147" s="56" t="s">
        <v>12</v>
      </c>
      <c r="C147" s="35">
        <f>D147/(D145+D146+D147+D148)*100</f>
        <v>44.444444444444443</v>
      </c>
      <c r="D147" s="125">
        <v>8</v>
      </c>
      <c r="E147" s="5">
        <v>0.36</v>
      </c>
      <c r="F147" s="5">
        <f t="shared" si="12"/>
        <v>28.8</v>
      </c>
      <c r="G147" s="5">
        <v>2.2000000000000002</v>
      </c>
      <c r="H147" s="5">
        <f t="shared" si="13"/>
        <v>176.00000000000003</v>
      </c>
      <c r="I147" s="25"/>
      <c r="K147" s="72"/>
      <c r="L147" s="72"/>
      <c r="M147" s="72"/>
      <c r="N147" s="72"/>
      <c r="O147" s="72"/>
      <c r="P147" s="72"/>
      <c r="Q147" s="72"/>
    </row>
    <row r="148" spans="2:17" x14ac:dyDescent="0.25">
      <c r="B148" s="56" t="s">
        <v>14</v>
      </c>
      <c r="C148" s="35">
        <f>D148/(D145+D146+D147+D148)*100</f>
        <v>8.3333333333333321</v>
      </c>
      <c r="D148" s="125">
        <v>1.5</v>
      </c>
      <c r="E148" s="5">
        <v>0.66</v>
      </c>
      <c r="F148" s="5">
        <f t="shared" si="12"/>
        <v>9.8999999999999986</v>
      </c>
      <c r="G148" s="5">
        <v>3.4</v>
      </c>
      <c r="H148" s="5">
        <f t="shared" si="13"/>
        <v>51.000000000000007</v>
      </c>
      <c r="I148" s="25"/>
      <c r="K148" s="72"/>
      <c r="L148" s="72"/>
      <c r="M148" s="72"/>
      <c r="N148" s="72"/>
      <c r="O148" s="72"/>
      <c r="P148" s="72"/>
      <c r="Q148" s="72"/>
    </row>
    <row r="149" spans="2:17" x14ac:dyDescent="0.25">
      <c r="B149" s="56" t="s">
        <v>17</v>
      </c>
      <c r="C149" s="35">
        <f>D149/(D145+D146+D147+D148)*100</f>
        <v>47.222222222222221</v>
      </c>
      <c r="D149" s="125">
        <v>8.5</v>
      </c>
      <c r="E149" s="5">
        <v>3.08</v>
      </c>
      <c r="F149" s="5">
        <f t="shared" si="12"/>
        <v>261.8</v>
      </c>
      <c r="G149" s="5">
        <v>29</v>
      </c>
      <c r="H149" s="5">
        <f t="shared" si="13"/>
        <v>2465</v>
      </c>
      <c r="I149" s="25"/>
      <c r="K149" s="72"/>
      <c r="L149" s="72"/>
      <c r="M149" s="72"/>
      <c r="N149" s="72"/>
      <c r="O149" s="72"/>
      <c r="P149" s="72"/>
      <c r="Q149" s="72"/>
    </row>
    <row r="150" spans="2:17" x14ac:dyDescent="0.25">
      <c r="B150" s="57" t="s">
        <v>21</v>
      </c>
      <c r="C150" s="41">
        <f>D150/(D145+D146+D147+D148+D149)*100</f>
        <v>5.6603773584905666</v>
      </c>
      <c r="D150" s="126">
        <v>1.5</v>
      </c>
      <c r="E150" s="5">
        <v>0</v>
      </c>
      <c r="F150" s="5">
        <f t="shared" si="12"/>
        <v>0</v>
      </c>
      <c r="G150" s="5">
        <v>89</v>
      </c>
      <c r="H150" s="5">
        <f t="shared" si="13"/>
        <v>1335</v>
      </c>
      <c r="I150" s="25"/>
      <c r="K150" s="72"/>
      <c r="L150" s="72"/>
      <c r="M150" s="72"/>
      <c r="N150" s="72"/>
      <c r="O150" s="72"/>
      <c r="P150" s="72"/>
      <c r="Q150" s="72"/>
    </row>
    <row r="151" spans="2:17" x14ac:dyDescent="0.25">
      <c r="B151" s="57" t="s">
        <v>49</v>
      </c>
      <c r="C151" s="41"/>
      <c r="D151" s="129">
        <v>0</v>
      </c>
      <c r="E151" s="13">
        <v>0</v>
      </c>
      <c r="F151" s="5">
        <f t="shared" si="12"/>
        <v>0</v>
      </c>
      <c r="G151" s="5">
        <v>0</v>
      </c>
      <c r="H151" s="5">
        <f t="shared" si="13"/>
        <v>0</v>
      </c>
      <c r="I151" s="25"/>
      <c r="K151" s="72"/>
      <c r="L151" s="72"/>
      <c r="M151" s="72"/>
      <c r="N151" s="72"/>
      <c r="O151" s="72"/>
      <c r="P151" s="72"/>
      <c r="Q151" s="72"/>
    </row>
    <row r="152" spans="2:17" x14ac:dyDescent="0.25">
      <c r="B152" s="57" t="s">
        <v>23</v>
      </c>
      <c r="C152" s="41"/>
      <c r="D152" s="126">
        <v>0</v>
      </c>
      <c r="E152" s="13">
        <v>0</v>
      </c>
      <c r="F152" s="5">
        <f t="shared" si="12"/>
        <v>0</v>
      </c>
      <c r="G152" s="5">
        <v>0</v>
      </c>
      <c r="H152" s="5">
        <f t="shared" si="13"/>
        <v>0</v>
      </c>
      <c r="I152" s="25"/>
      <c r="K152" s="72"/>
      <c r="L152" s="72"/>
      <c r="M152" s="72"/>
      <c r="N152" s="72"/>
      <c r="O152" s="72"/>
      <c r="P152" s="72"/>
      <c r="Q152" s="72"/>
    </row>
    <row r="153" spans="2:17" x14ac:dyDescent="0.25">
      <c r="B153" s="58" t="s">
        <v>26</v>
      </c>
      <c r="C153" s="42"/>
      <c r="D153" s="127">
        <f>SUM(D145:D152)</f>
        <v>28</v>
      </c>
      <c r="E153" s="9"/>
      <c r="F153" s="11">
        <f>SUM(F145:F152)</f>
        <v>404.80000000000007</v>
      </c>
      <c r="G153" s="9"/>
      <c r="H153" s="11">
        <f>SUM(H145:H152)</f>
        <v>5257.5</v>
      </c>
      <c r="I153" s="24" t="s">
        <v>6</v>
      </c>
      <c r="K153" s="72"/>
      <c r="L153" s="72"/>
      <c r="M153" s="72"/>
      <c r="N153" s="72"/>
      <c r="O153" s="72"/>
      <c r="P153" s="72"/>
      <c r="Q153" s="72"/>
    </row>
    <row r="154" spans="2:17" x14ac:dyDescent="0.25">
      <c r="B154" s="59"/>
      <c r="C154" s="43"/>
      <c r="D154" s="130"/>
      <c r="E154" s="1"/>
      <c r="F154" s="8">
        <f>F153/D153/10</f>
        <v>1.445714285714286</v>
      </c>
      <c r="G154" s="12"/>
      <c r="H154" s="8">
        <f>H153/D153/10</f>
        <v>18.776785714285715</v>
      </c>
      <c r="I154" s="11">
        <f>((100-H154)*0.5)/F154</f>
        <v>28.091032608695645</v>
      </c>
      <c r="K154" s="71"/>
      <c r="L154" s="38"/>
      <c r="M154" s="70"/>
      <c r="N154" s="17"/>
      <c r="O154" s="17"/>
      <c r="P154" s="17"/>
      <c r="Q154" s="18"/>
    </row>
    <row r="155" spans="2:17" x14ac:dyDescent="0.25">
      <c r="K155" s="71"/>
      <c r="L155" s="38"/>
      <c r="M155" s="72"/>
      <c r="N155" s="16"/>
      <c r="O155" s="16"/>
      <c r="P155" s="16"/>
      <c r="Q155" s="16"/>
    </row>
    <row r="158" spans="2:17" x14ac:dyDescent="0.25">
      <c r="B158" s="268" t="s">
        <v>67</v>
      </c>
      <c r="C158" s="268"/>
      <c r="D158" s="268"/>
      <c r="E158" s="268"/>
      <c r="F158" s="268"/>
      <c r="G158" s="268"/>
      <c r="H158" s="268"/>
      <c r="I158" s="268"/>
      <c r="K158" s="72"/>
      <c r="L158" s="72"/>
      <c r="M158" s="72"/>
      <c r="N158" s="72"/>
      <c r="O158" s="72"/>
      <c r="P158" s="72"/>
      <c r="Q158" s="72"/>
    </row>
    <row r="159" spans="2:17" ht="15" customHeight="1" x14ac:dyDescent="0.25">
      <c r="B159" s="269" t="s">
        <v>0</v>
      </c>
      <c r="C159" s="227" t="s">
        <v>1</v>
      </c>
      <c r="D159" s="269" t="s">
        <v>47</v>
      </c>
      <c r="E159" s="229" t="s">
        <v>46</v>
      </c>
      <c r="F159" s="229"/>
      <c r="G159" s="229"/>
      <c r="H159" s="229"/>
      <c r="I159" s="229" t="s">
        <v>102</v>
      </c>
      <c r="K159" s="72"/>
      <c r="L159" s="72"/>
      <c r="M159" s="72"/>
      <c r="N159" s="72"/>
      <c r="O159" s="72"/>
      <c r="P159" s="72"/>
      <c r="Q159" s="72"/>
    </row>
    <row r="160" spans="2:17" ht="15" customHeight="1" x14ac:dyDescent="0.25">
      <c r="B160" s="269"/>
      <c r="C160" s="228"/>
      <c r="D160" s="269"/>
      <c r="E160" s="2" t="s">
        <v>42</v>
      </c>
      <c r="F160" s="2" t="s">
        <v>43</v>
      </c>
      <c r="G160" s="2" t="s">
        <v>44</v>
      </c>
      <c r="H160" s="2" t="s">
        <v>45</v>
      </c>
      <c r="I160" s="229"/>
      <c r="K160" s="72"/>
      <c r="L160" s="72"/>
      <c r="M160" s="72"/>
      <c r="N160" s="72"/>
      <c r="O160" s="72"/>
      <c r="P160" s="72"/>
      <c r="Q160" s="72"/>
    </row>
    <row r="161" spans="2:18" x14ac:dyDescent="0.25">
      <c r="B161" s="56" t="s">
        <v>8</v>
      </c>
      <c r="C161" s="35">
        <f>D161/(D161+D162+D163+D164)*100</f>
        <v>36.111111111111107</v>
      </c>
      <c r="D161" s="125">
        <v>6.5</v>
      </c>
      <c r="E161" s="5">
        <v>1.26</v>
      </c>
      <c r="F161" s="5">
        <f t="shared" ref="F161:F168" si="14">(D161*E161%)*1000</f>
        <v>81.900000000000006</v>
      </c>
      <c r="G161" s="5">
        <v>14.9</v>
      </c>
      <c r="H161" s="5">
        <f t="shared" ref="H161:H168" si="15">(D161*G161%)*1000</f>
        <v>968.49999999999989</v>
      </c>
      <c r="I161" s="51">
        <f>D161+D162+D163+D164</f>
        <v>18</v>
      </c>
      <c r="K161" s="72"/>
      <c r="L161" s="72"/>
      <c r="M161" s="72"/>
      <c r="N161" s="72"/>
      <c r="O161" s="72"/>
      <c r="P161" s="72"/>
      <c r="Q161" s="72"/>
    </row>
    <row r="162" spans="2:18" x14ac:dyDescent="0.25">
      <c r="B162" s="57" t="s">
        <v>10</v>
      </c>
      <c r="C162" s="35">
        <f>D162/(D161+D162+D163+D164)*100</f>
        <v>11.111111111111111</v>
      </c>
      <c r="D162" s="125">
        <v>2</v>
      </c>
      <c r="E162" s="5">
        <v>1.1200000000000001</v>
      </c>
      <c r="F162" s="5">
        <f t="shared" si="14"/>
        <v>22.400000000000002</v>
      </c>
      <c r="G162" s="5">
        <v>13.1</v>
      </c>
      <c r="H162" s="5">
        <f t="shared" si="15"/>
        <v>262</v>
      </c>
      <c r="I162" s="25"/>
      <c r="K162" s="72"/>
      <c r="L162" s="72"/>
      <c r="M162" s="72"/>
      <c r="N162" s="72"/>
      <c r="O162" s="72"/>
      <c r="P162" s="72"/>
      <c r="Q162" s="72"/>
    </row>
    <row r="163" spans="2:18" x14ac:dyDescent="0.25">
      <c r="B163" s="56" t="s">
        <v>12</v>
      </c>
      <c r="C163" s="35">
        <f>D163/(D161+D162+D163+D164)*100</f>
        <v>44.444444444444443</v>
      </c>
      <c r="D163" s="125">
        <v>8</v>
      </c>
      <c r="E163" s="5">
        <v>0.36</v>
      </c>
      <c r="F163" s="5">
        <f t="shared" si="14"/>
        <v>28.8</v>
      </c>
      <c r="G163" s="5">
        <v>2.2000000000000002</v>
      </c>
      <c r="H163" s="5">
        <f t="shared" si="15"/>
        <v>176.00000000000003</v>
      </c>
      <c r="I163" s="25"/>
      <c r="K163" s="72"/>
      <c r="L163" s="72"/>
      <c r="M163" s="72"/>
      <c r="N163" s="72"/>
      <c r="O163" s="72"/>
      <c r="P163" s="72"/>
      <c r="Q163" s="72"/>
    </row>
    <row r="164" spans="2:18" x14ac:dyDescent="0.25">
      <c r="B164" s="56" t="s">
        <v>14</v>
      </c>
      <c r="C164" s="35">
        <f>D164/(D161+D162+D163+D164)*100</f>
        <v>8.3333333333333321</v>
      </c>
      <c r="D164" s="125">
        <v>1.5</v>
      </c>
      <c r="E164" s="5">
        <v>0.66</v>
      </c>
      <c r="F164" s="5">
        <f t="shared" si="14"/>
        <v>9.8999999999999986</v>
      </c>
      <c r="G164" s="5">
        <v>3.4</v>
      </c>
      <c r="H164" s="5">
        <f t="shared" si="15"/>
        <v>51.000000000000007</v>
      </c>
      <c r="I164" s="25"/>
      <c r="K164" s="72"/>
      <c r="L164" s="72"/>
      <c r="M164" s="72"/>
      <c r="N164" s="72"/>
      <c r="O164" s="72"/>
      <c r="P164" s="72"/>
      <c r="Q164" s="72"/>
    </row>
    <row r="165" spans="2:18" x14ac:dyDescent="0.25">
      <c r="B165" s="56" t="s">
        <v>17</v>
      </c>
      <c r="C165" s="35">
        <f>D165/(D161+D162+D163+D164)*100</f>
        <v>47.222222222222221</v>
      </c>
      <c r="D165" s="125">
        <v>8.5</v>
      </c>
      <c r="E165" s="5">
        <v>3.08</v>
      </c>
      <c r="F165" s="5">
        <f t="shared" si="14"/>
        <v>261.8</v>
      </c>
      <c r="G165" s="5">
        <v>29</v>
      </c>
      <c r="H165" s="5">
        <f t="shared" si="15"/>
        <v>2465</v>
      </c>
      <c r="I165" s="25"/>
      <c r="K165" s="72"/>
      <c r="L165" s="72"/>
      <c r="M165" s="72"/>
      <c r="N165" s="72"/>
      <c r="O165" s="72"/>
      <c r="P165" s="72"/>
      <c r="Q165" s="72"/>
    </row>
    <row r="166" spans="2:18" x14ac:dyDescent="0.25">
      <c r="B166" s="57" t="s">
        <v>21</v>
      </c>
      <c r="C166" s="41">
        <f>D166/(D161+D162+D163+D164+D165)*100</f>
        <v>5.6603773584905666</v>
      </c>
      <c r="D166" s="126">
        <v>1.5</v>
      </c>
      <c r="E166" s="5">
        <v>0</v>
      </c>
      <c r="F166" s="5">
        <f t="shared" si="14"/>
        <v>0</v>
      </c>
      <c r="G166" s="5">
        <v>89</v>
      </c>
      <c r="H166" s="5">
        <f t="shared" si="15"/>
        <v>1335</v>
      </c>
      <c r="I166" s="25"/>
      <c r="K166" s="72"/>
      <c r="L166" s="72"/>
      <c r="M166" s="72"/>
      <c r="N166" s="72"/>
      <c r="O166" s="72"/>
      <c r="P166" s="72"/>
      <c r="Q166" s="72"/>
    </row>
    <row r="167" spans="2:18" x14ac:dyDescent="0.25">
      <c r="B167" s="57" t="s">
        <v>49</v>
      </c>
      <c r="C167" s="41"/>
      <c r="D167" s="129">
        <v>0</v>
      </c>
      <c r="E167" s="13">
        <v>0</v>
      </c>
      <c r="F167" s="5">
        <f t="shared" si="14"/>
        <v>0</v>
      </c>
      <c r="G167" s="5">
        <v>0</v>
      </c>
      <c r="H167" s="5">
        <f t="shared" si="15"/>
        <v>0</v>
      </c>
      <c r="I167" s="25"/>
      <c r="K167" s="72"/>
      <c r="L167" s="72"/>
      <c r="M167" s="72"/>
      <c r="N167" s="72"/>
      <c r="O167" s="72"/>
      <c r="P167" s="72"/>
      <c r="Q167" s="72"/>
    </row>
    <row r="168" spans="2:18" x14ac:dyDescent="0.25">
      <c r="B168" s="57" t="s">
        <v>23</v>
      </c>
      <c r="C168" s="41"/>
      <c r="D168" s="126">
        <v>0</v>
      </c>
      <c r="E168" s="13">
        <v>0</v>
      </c>
      <c r="F168" s="5">
        <f t="shared" si="14"/>
        <v>0</v>
      </c>
      <c r="G168" s="5">
        <v>0</v>
      </c>
      <c r="H168" s="5">
        <f t="shared" si="15"/>
        <v>0</v>
      </c>
      <c r="I168" s="25"/>
      <c r="K168" s="72"/>
      <c r="L168" s="72"/>
      <c r="M168" s="72"/>
      <c r="N168" s="72"/>
      <c r="O168" s="72"/>
      <c r="P168" s="72"/>
      <c r="Q168" s="72"/>
    </row>
    <row r="169" spans="2:18" x14ac:dyDescent="0.25">
      <c r="B169" s="58" t="s">
        <v>26</v>
      </c>
      <c r="C169" s="42"/>
      <c r="D169" s="127">
        <f>SUM(D161:D168)</f>
        <v>28</v>
      </c>
      <c r="E169" s="9"/>
      <c r="F169" s="11">
        <f>SUM(F161:F168)</f>
        <v>404.80000000000007</v>
      </c>
      <c r="G169" s="9"/>
      <c r="H169" s="11">
        <f>SUM(H161:H168)</f>
        <v>5257.5</v>
      </c>
      <c r="I169" s="24" t="s">
        <v>6</v>
      </c>
      <c r="K169" s="72"/>
      <c r="L169" s="72"/>
      <c r="M169" s="72"/>
      <c r="N169" s="72"/>
      <c r="O169" s="72"/>
      <c r="P169" s="72"/>
      <c r="Q169" s="72"/>
    </row>
    <row r="170" spans="2:18" x14ac:dyDescent="0.25">
      <c r="B170" s="59"/>
      <c r="C170" s="43"/>
      <c r="D170" s="130"/>
      <c r="E170" s="1"/>
      <c r="F170" s="8">
        <f>F169/D169/10</f>
        <v>1.445714285714286</v>
      </c>
      <c r="G170" s="12"/>
      <c r="H170" s="8">
        <f>H169/D169/10</f>
        <v>18.776785714285715</v>
      </c>
      <c r="I170" s="11">
        <f>((100-H170)*0.5)/F170</f>
        <v>28.091032608695645</v>
      </c>
    </row>
    <row r="173" spans="2:18" x14ac:dyDescent="0.25">
      <c r="B173" s="268" t="s">
        <v>68</v>
      </c>
      <c r="C173" s="268"/>
      <c r="D173" s="268"/>
      <c r="E173" s="268"/>
      <c r="F173" s="268"/>
      <c r="G173" s="268"/>
      <c r="H173" s="268"/>
      <c r="I173" s="268"/>
      <c r="K173" s="270" t="s">
        <v>69</v>
      </c>
      <c r="L173" s="270"/>
      <c r="M173" s="270"/>
      <c r="N173" s="270"/>
      <c r="O173" s="270"/>
      <c r="P173" s="270"/>
      <c r="Q173" s="270"/>
      <c r="R173" s="270"/>
    </row>
    <row r="174" spans="2:18" x14ac:dyDescent="0.25">
      <c r="B174" s="269" t="s">
        <v>0</v>
      </c>
      <c r="C174" s="227" t="s">
        <v>1</v>
      </c>
      <c r="D174" s="269" t="s">
        <v>47</v>
      </c>
      <c r="E174" s="229" t="s">
        <v>46</v>
      </c>
      <c r="F174" s="229"/>
      <c r="G174" s="229"/>
      <c r="H174" s="229"/>
      <c r="I174" s="229" t="s">
        <v>102</v>
      </c>
      <c r="K174" s="269" t="s">
        <v>0</v>
      </c>
      <c r="L174" s="227" t="s">
        <v>1</v>
      </c>
      <c r="M174" s="269" t="s">
        <v>47</v>
      </c>
      <c r="N174" s="229" t="s">
        <v>46</v>
      </c>
      <c r="O174" s="229"/>
      <c r="P174" s="229"/>
      <c r="Q174" s="229"/>
      <c r="R174" s="229" t="s">
        <v>102</v>
      </c>
    </row>
    <row r="175" spans="2:18" x14ac:dyDescent="0.25">
      <c r="B175" s="269"/>
      <c r="C175" s="228"/>
      <c r="D175" s="269"/>
      <c r="E175" s="2" t="s">
        <v>42</v>
      </c>
      <c r="F175" s="2" t="s">
        <v>43</v>
      </c>
      <c r="G175" s="2" t="s">
        <v>44</v>
      </c>
      <c r="H175" s="2" t="s">
        <v>45</v>
      </c>
      <c r="I175" s="229"/>
      <c r="K175" s="269"/>
      <c r="L175" s="228"/>
      <c r="M175" s="269"/>
      <c r="N175" s="2" t="s">
        <v>42</v>
      </c>
      <c r="O175" s="2" t="s">
        <v>43</v>
      </c>
      <c r="P175" s="2" t="s">
        <v>44</v>
      </c>
      <c r="Q175" s="2" t="s">
        <v>45</v>
      </c>
      <c r="R175" s="229"/>
    </row>
    <row r="176" spans="2:18" x14ac:dyDescent="0.25">
      <c r="B176" s="56" t="s">
        <v>8</v>
      </c>
      <c r="C176" s="35">
        <f>D176/(D176+D177+D178+D179)*100</f>
        <v>36.111111111111107</v>
      </c>
      <c r="D176" s="125">
        <v>6.5</v>
      </c>
      <c r="E176" s="5">
        <v>1.19</v>
      </c>
      <c r="F176" s="5">
        <f t="shared" ref="F176:F183" si="16">(D176*E176%)*1000</f>
        <v>77.349999999999994</v>
      </c>
      <c r="G176" s="5">
        <v>14.9</v>
      </c>
      <c r="H176" s="5">
        <f t="shared" ref="H176:H183" si="17">(D176*G176%)*1000</f>
        <v>968.49999999999989</v>
      </c>
      <c r="I176" s="51">
        <f>D176+D177+D178+D179</f>
        <v>18</v>
      </c>
      <c r="K176" s="56" t="s">
        <v>8</v>
      </c>
      <c r="L176" s="35">
        <f>M176/(M176+M177+M178+M179)*100</f>
        <v>46.153846153846153</v>
      </c>
      <c r="M176" s="64">
        <v>9</v>
      </c>
      <c r="N176" s="5">
        <v>1.19</v>
      </c>
      <c r="O176" s="5">
        <f t="shared" ref="O176:O183" si="18">(M176*N176%)*1000</f>
        <v>107.09999999999998</v>
      </c>
      <c r="P176" s="5">
        <v>14.9</v>
      </c>
      <c r="Q176" s="5">
        <f t="shared" ref="Q176:Q183" si="19">(M176*P176%)*1000</f>
        <v>1341</v>
      </c>
      <c r="R176" s="51">
        <f>M176+M177+M178+M179</f>
        <v>19.5</v>
      </c>
    </row>
    <row r="177" spans="2:18" x14ac:dyDescent="0.25">
      <c r="B177" s="57" t="s">
        <v>10</v>
      </c>
      <c r="C177" s="35">
        <f>D177/(D176+D177+D178+D179)*100</f>
        <v>11.111111111111111</v>
      </c>
      <c r="D177" s="125">
        <v>2</v>
      </c>
      <c r="E177" s="5">
        <v>1.1200000000000001</v>
      </c>
      <c r="F177" s="5">
        <f t="shared" si="16"/>
        <v>22.400000000000002</v>
      </c>
      <c r="G177" s="5">
        <v>13.1</v>
      </c>
      <c r="H177" s="5">
        <f t="shared" si="17"/>
        <v>262</v>
      </c>
      <c r="I177" s="25"/>
      <c r="K177" s="57" t="s">
        <v>10</v>
      </c>
      <c r="L177" s="35">
        <f>M177/(M176+M177+M178+M179)*100</f>
        <v>12.820512820512819</v>
      </c>
      <c r="M177" s="64">
        <v>2.5</v>
      </c>
      <c r="N177" s="5">
        <v>1.1200000000000001</v>
      </c>
      <c r="O177" s="5">
        <f t="shared" si="18"/>
        <v>28.000000000000004</v>
      </c>
      <c r="P177" s="5">
        <v>13.1</v>
      </c>
      <c r="Q177" s="5">
        <f t="shared" si="19"/>
        <v>327.5</v>
      </c>
      <c r="R177" s="25"/>
    </row>
    <row r="178" spans="2:18" x14ac:dyDescent="0.25">
      <c r="B178" s="56" t="s">
        <v>12</v>
      </c>
      <c r="C178" s="35">
        <f>D178/(D176+D177+D178+D179)*100</f>
        <v>44.444444444444443</v>
      </c>
      <c r="D178" s="125">
        <v>8</v>
      </c>
      <c r="E178" s="5">
        <v>0.4</v>
      </c>
      <c r="F178" s="5">
        <f t="shared" si="16"/>
        <v>32</v>
      </c>
      <c r="G178" s="5">
        <v>2.2000000000000002</v>
      </c>
      <c r="H178" s="5">
        <f t="shared" si="17"/>
        <v>176.00000000000003</v>
      </c>
      <c r="I178" s="25"/>
      <c r="K178" s="56" t="s">
        <v>12</v>
      </c>
      <c r="L178" s="35">
        <f>M178/(M176+M177+M178+M179)*100</f>
        <v>0</v>
      </c>
      <c r="M178" s="64">
        <v>0</v>
      </c>
      <c r="N178" s="5">
        <v>0.4</v>
      </c>
      <c r="O178" s="5">
        <f t="shared" si="18"/>
        <v>0</v>
      </c>
      <c r="P178" s="5">
        <v>2.2000000000000002</v>
      </c>
      <c r="Q178" s="5">
        <f t="shared" si="19"/>
        <v>0</v>
      </c>
      <c r="R178" s="25"/>
    </row>
    <row r="179" spans="2:18" x14ac:dyDescent="0.25">
      <c r="B179" s="56" t="s">
        <v>14</v>
      </c>
      <c r="C179" s="35">
        <f>D179/(D176+D177+D178+D179)*100</f>
        <v>8.3333333333333321</v>
      </c>
      <c r="D179" s="125">
        <v>1.5</v>
      </c>
      <c r="E179" s="5">
        <v>0.66</v>
      </c>
      <c r="F179" s="5">
        <f t="shared" si="16"/>
        <v>9.8999999999999986</v>
      </c>
      <c r="G179" s="5">
        <v>3.4</v>
      </c>
      <c r="H179" s="5">
        <f t="shared" si="17"/>
        <v>51.000000000000007</v>
      </c>
      <c r="I179" s="25"/>
      <c r="K179" s="56" t="s">
        <v>14</v>
      </c>
      <c r="L179" s="35">
        <f>M179/(M176+M177+M178+M179)*100</f>
        <v>41.025641025641022</v>
      </c>
      <c r="M179" s="64">
        <v>8</v>
      </c>
      <c r="N179" s="5">
        <v>0.66</v>
      </c>
      <c r="O179" s="5">
        <f t="shared" si="18"/>
        <v>52.8</v>
      </c>
      <c r="P179" s="5">
        <v>3.4</v>
      </c>
      <c r="Q179" s="5">
        <f t="shared" si="19"/>
        <v>272</v>
      </c>
      <c r="R179" s="25"/>
    </row>
    <row r="180" spans="2:18" x14ac:dyDescent="0.25">
      <c r="B180" s="56" t="s">
        <v>17</v>
      </c>
      <c r="C180" s="35">
        <f>D180/(D176+D177+D178+D179)*100</f>
        <v>47.222222222222221</v>
      </c>
      <c r="D180" s="125">
        <v>8.5</v>
      </c>
      <c r="E180" s="5">
        <v>3.08</v>
      </c>
      <c r="F180" s="5">
        <f t="shared" si="16"/>
        <v>261.8</v>
      </c>
      <c r="G180" s="5">
        <v>29</v>
      </c>
      <c r="H180" s="5">
        <f t="shared" si="17"/>
        <v>2465</v>
      </c>
      <c r="I180" s="25"/>
      <c r="K180" s="56" t="s">
        <v>17</v>
      </c>
      <c r="L180" s="35">
        <f>M180/(M176+M177+M178+M179)*100</f>
        <v>38.461538461538467</v>
      </c>
      <c r="M180" s="64">
        <v>7.5</v>
      </c>
      <c r="N180" s="5">
        <v>3.29</v>
      </c>
      <c r="O180" s="5">
        <f t="shared" si="18"/>
        <v>246.75</v>
      </c>
      <c r="P180" s="5">
        <v>29</v>
      </c>
      <c r="Q180" s="5">
        <f t="shared" si="19"/>
        <v>2175</v>
      </c>
      <c r="R180" s="25"/>
    </row>
    <row r="181" spans="2:18" x14ac:dyDescent="0.25">
      <c r="B181" s="57" t="s">
        <v>21</v>
      </c>
      <c r="C181" s="41">
        <f>D181/(D176+D177+D178+D179+D180)*100</f>
        <v>5.6603773584905666</v>
      </c>
      <c r="D181" s="126">
        <v>1.5</v>
      </c>
      <c r="E181" s="5">
        <v>0</v>
      </c>
      <c r="F181" s="5">
        <f t="shared" si="16"/>
        <v>0</v>
      </c>
      <c r="G181" s="5">
        <v>89</v>
      </c>
      <c r="H181" s="5">
        <f t="shared" si="17"/>
        <v>1335</v>
      </c>
      <c r="I181" s="25"/>
      <c r="K181" s="57" t="s">
        <v>21</v>
      </c>
      <c r="L181" s="41">
        <f>M181/(M176+M177+M178+M179+M180)*100</f>
        <v>5.5555555555555554</v>
      </c>
      <c r="M181" s="65">
        <v>1.5</v>
      </c>
      <c r="N181" s="5">
        <v>0</v>
      </c>
      <c r="O181" s="5">
        <f t="shared" si="18"/>
        <v>0</v>
      </c>
      <c r="P181" s="5">
        <v>89</v>
      </c>
      <c r="Q181" s="5">
        <f t="shared" si="19"/>
        <v>1335</v>
      </c>
      <c r="R181" s="25"/>
    </row>
    <row r="182" spans="2:18" x14ac:dyDescent="0.25">
      <c r="B182" s="57" t="s">
        <v>49</v>
      </c>
      <c r="C182" s="41"/>
      <c r="D182" s="129">
        <v>0</v>
      </c>
      <c r="E182" s="13">
        <v>0</v>
      </c>
      <c r="F182" s="5">
        <f t="shared" si="16"/>
        <v>0</v>
      </c>
      <c r="G182" s="5">
        <v>0</v>
      </c>
      <c r="H182" s="5">
        <f t="shared" si="17"/>
        <v>0</v>
      </c>
      <c r="I182" s="25"/>
      <c r="K182" s="57" t="s">
        <v>49</v>
      </c>
      <c r="L182" s="41"/>
      <c r="M182" s="67">
        <v>0</v>
      </c>
      <c r="N182" s="13">
        <v>0</v>
      </c>
      <c r="O182" s="5">
        <f t="shared" si="18"/>
        <v>0</v>
      </c>
      <c r="P182" s="5">
        <v>0</v>
      </c>
      <c r="Q182" s="5">
        <f t="shared" si="19"/>
        <v>0</v>
      </c>
      <c r="R182" s="25"/>
    </row>
    <row r="183" spans="2:18" x14ac:dyDescent="0.25">
      <c r="B183" s="57" t="s">
        <v>23</v>
      </c>
      <c r="C183" s="41"/>
      <c r="D183" s="126">
        <v>0.05</v>
      </c>
      <c r="E183" s="13">
        <v>20.5</v>
      </c>
      <c r="F183" s="5">
        <f t="shared" si="16"/>
        <v>10.25</v>
      </c>
      <c r="G183" s="5">
        <v>0</v>
      </c>
      <c r="H183" s="5">
        <f t="shared" si="17"/>
        <v>0</v>
      </c>
      <c r="I183" s="25"/>
      <c r="K183" s="57" t="s">
        <v>23</v>
      </c>
      <c r="L183" s="41"/>
      <c r="M183" s="65">
        <v>0</v>
      </c>
      <c r="N183" s="13">
        <v>0</v>
      </c>
      <c r="O183" s="5">
        <f t="shared" si="18"/>
        <v>0</v>
      </c>
      <c r="P183" s="5">
        <v>0</v>
      </c>
      <c r="Q183" s="5">
        <f t="shared" si="19"/>
        <v>0</v>
      </c>
      <c r="R183" s="25"/>
    </row>
    <row r="184" spans="2:18" x14ac:dyDescent="0.25">
      <c r="B184" s="58" t="s">
        <v>26</v>
      </c>
      <c r="C184" s="42"/>
      <c r="D184" s="127">
        <f>SUM(D176:D183)</f>
        <v>28.05</v>
      </c>
      <c r="E184" s="9"/>
      <c r="F184" s="11">
        <f>SUM(F176:F183)</f>
        <v>413.70000000000005</v>
      </c>
      <c r="G184" s="9"/>
      <c r="H184" s="11">
        <f>SUM(H176:H183)</f>
        <v>5257.5</v>
      </c>
      <c r="I184" s="24" t="s">
        <v>6</v>
      </c>
      <c r="K184" s="58" t="s">
        <v>26</v>
      </c>
      <c r="L184" s="42"/>
      <c r="M184" s="66">
        <f>SUM(M176:M183)</f>
        <v>28.5</v>
      </c>
      <c r="N184" s="9"/>
      <c r="O184" s="11">
        <f>SUM(O176:O183)</f>
        <v>434.65</v>
      </c>
      <c r="P184" s="9"/>
      <c r="Q184" s="11">
        <f>SUM(Q176:Q183)</f>
        <v>5450.5</v>
      </c>
      <c r="R184" s="24" t="s">
        <v>6</v>
      </c>
    </row>
    <row r="185" spans="2:18" x14ac:dyDescent="0.25">
      <c r="B185" s="59"/>
      <c r="C185" s="43"/>
      <c r="D185" s="130"/>
      <c r="E185" s="1"/>
      <c r="F185" s="8">
        <f>F184/D184/10</f>
        <v>1.474866310160428</v>
      </c>
      <c r="G185" s="12"/>
      <c r="H185" s="8">
        <f>H184/D184/10</f>
        <v>18.743315508021389</v>
      </c>
      <c r="I185" s="11">
        <f>((100-H185)*0.5)/F185</f>
        <v>27.547135605511233</v>
      </c>
      <c r="K185" s="59"/>
      <c r="L185" s="43"/>
      <c r="M185" s="68"/>
      <c r="N185" s="1"/>
      <c r="O185" s="8">
        <f>O184/M184/10</f>
        <v>1.5250877192982455</v>
      </c>
      <c r="P185" s="12"/>
      <c r="Q185" s="8">
        <f>Q184/M184/10</f>
        <v>19.124561403508771</v>
      </c>
      <c r="R185" s="11">
        <f>((100-Q185)*0.5)/O185</f>
        <v>26.515012078683998</v>
      </c>
    </row>
    <row r="188" spans="2:18" x14ac:dyDescent="0.25">
      <c r="B188" s="268" t="s">
        <v>70</v>
      </c>
      <c r="C188" s="268"/>
      <c r="D188" s="268"/>
      <c r="E188" s="268"/>
      <c r="F188" s="268"/>
      <c r="G188" s="268"/>
      <c r="H188" s="268"/>
      <c r="I188" s="268"/>
      <c r="K188" s="268" t="s">
        <v>71</v>
      </c>
      <c r="L188" s="268"/>
      <c r="M188" s="268"/>
      <c r="N188" s="268"/>
      <c r="O188" s="268"/>
      <c r="P188" s="268"/>
      <c r="Q188" s="268"/>
      <c r="R188" s="268"/>
    </row>
    <row r="189" spans="2:18" x14ac:dyDescent="0.25">
      <c r="B189" s="269" t="s">
        <v>0</v>
      </c>
      <c r="C189" s="227" t="s">
        <v>1</v>
      </c>
      <c r="D189" s="269" t="s">
        <v>47</v>
      </c>
      <c r="E189" s="229" t="s">
        <v>46</v>
      </c>
      <c r="F189" s="229"/>
      <c r="G189" s="229"/>
      <c r="H189" s="229"/>
      <c r="I189" s="229" t="s">
        <v>102</v>
      </c>
      <c r="K189" s="269" t="s">
        <v>0</v>
      </c>
      <c r="L189" s="227" t="s">
        <v>1</v>
      </c>
      <c r="M189" s="269" t="s">
        <v>47</v>
      </c>
      <c r="N189" s="229" t="s">
        <v>46</v>
      </c>
      <c r="O189" s="229"/>
      <c r="P189" s="229"/>
      <c r="Q189" s="229"/>
      <c r="R189" s="229" t="s">
        <v>102</v>
      </c>
    </row>
    <row r="190" spans="2:18" x14ac:dyDescent="0.25">
      <c r="B190" s="269"/>
      <c r="C190" s="228"/>
      <c r="D190" s="269"/>
      <c r="E190" s="2" t="s">
        <v>42</v>
      </c>
      <c r="F190" s="2" t="s">
        <v>43</v>
      </c>
      <c r="G190" s="2" t="s">
        <v>44</v>
      </c>
      <c r="H190" s="2" t="s">
        <v>45</v>
      </c>
      <c r="I190" s="229"/>
      <c r="K190" s="269"/>
      <c r="L190" s="228"/>
      <c r="M190" s="269"/>
      <c r="N190" s="2" t="s">
        <v>42</v>
      </c>
      <c r="O190" s="2" t="s">
        <v>43</v>
      </c>
      <c r="P190" s="2" t="s">
        <v>44</v>
      </c>
      <c r="Q190" s="2" t="s">
        <v>45</v>
      </c>
      <c r="R190" s="229"/>
    </row>
    <row r="191" spans="2:18" x14ac:dyDescent="0.25">
      <c r="B191" s="56" t="s">
        <v>8</v>
      </c>
      <c r="C191" s="35">
        <f>D191/(D191+D192+D193+D194)*100</f>
        <v>27.777777777777779</v>
      </c>
      <c r="D191" s="125">
        <v>5</v>
      </c>
      <c r="E191" s="5">
        <v>1.19</v>
      </c>
      <c r="F191" s="5">
        <f t="shared" ref="F191:F198" si="20">(D191*E191%)*1000</f>
        <v>59.5</v>
      </c>
      <c r="G191" s="5">
        <v>14.9</v>
      </c>
      <c r="H191" s="5">
        <f t="shared" ref="H191:H198" si="21">(D191*G191%)*1000</f>
        <v>745</v>
      </c>
      <c r="I191" s="51">
        <f>D191+D192+D193+D194</f>
        <v>18</v>
      </c>
      <c r="K191" s="56" t="s">
        <v>8</v>
      </c>
      <c r="L191" s="35">
        <f>M191/(M191+M192+M193+M194)*100</f>
        <v>27.777777777777779</v>
      </c>
      <c r="M191" s="64">
        <v>5</v>
      </c>
      <c r="N191" s="5">
        <v>1.19</v>
      </c>
      <c r="O191" s="5">
        <f t="shared" ref="O191:O198" si="22">(M191*N191%)*1000</f>
        <v>59.5</v>
      </c>
      <c r="P191" s="5">
        <v>14.6</v>
      </c>
      <c r="Q191" s="5">
        <f t="shared" ref="Q191:Q198" si="23">(M191*P191%)*1000</f>
        <v>730</v>
      </c>
      <c r="R191" s="51">
        <f>M191+M192+M193+M194</f>
        <v>18</v>
      </c>
    </row>
    <row r="192" spans="2:18" x14ac:dyDescent="0.25">
      <c r="B192" s="57" t="s">
        <v>10</v>
      </c>
      <c r="C192" s="35">
        <f>D192/(D191+D192+D193+D194)*100</f>
        <v>19.444444444444446</v>
      </c>
      <c r="D192" s="125">
        <v>3.5</v>
      </c>
      <c r="E192" s="5">
        <v>1.26</v>
      </c>
      <c r="F192" s="5">
        <f t="shared" si="20"/>
        <v>44.1</v>
      </c>
      <c r="G192" s="5">
        <v>13.8</v>
      </c>
      <c r="H192" s="5">
        <f t="shared" si="21"/>
        <v>483.00000000000006</v>
      </c>
      <c r="I192" s="25"/>
      <c r="K192" s="57" t="s">
        <v>10</v>
      </c>
      <c r="L192" s="35">
        <f>M192/(M191+M192+M193+M194)*100</f>
        <v>19.444444444444446</v>
      </c>
      <c r="M192" s="64">
        <v>3.5</v>
      </c>
      <c r="N192" s="5">
        <v>1.26</v>
      </c>
      <c r="O192" s="5">
        <f t="shared" si="22"/>
        <v>44.1</v>
      </c>
      <c r="P192" s="5">
        <v>13.8</v>
      </c>
      <c r="Q192" s="5">
        <f t="shared" si="23"/>
        <v>483.00000000000006</v>
      </c>
      <c r="R192" s="25"/>
    </row>
    <row r="193" spans="2:18" x14ac:dyDescent="0.25">
      <c r="B193" s="56" t="s">
        <v>12</v>
      </c>
      <c r="C193" s="35">
        <f>D193/(D191+D192+D193+D194)*100</f>
        <v>44.444444444444443</v>
      </c>
      <c r="D193" s="125">
        <v>8</v>
      </c>
      <c r="E193" s="5">
        <v>0.4</v>
      </c>
      <c r="F193" s="5">
        <f t="shared" si="20"/>
        <v>32</v>
      </c>
      <c r="G193" s="5">
        <v>2.2000000000000002</v>
      </c>
      <c r="H193" s="5">
        <f t="shared" si="21"/>
        <v>176.00000000000003</v>
      </c>
      <c r="I193" s="25"/>
      <c r="K193" s="56" t="s">
        <v>12</v>
      </c>
      <c r="L193" s="35">
        <f>M193/(M191+M192+M193+M194)*100</f>
        <v>52.777777777777779</v>
      </c>
      <c r="M193" s="64">
        <v>9.5</v>
      </c>
      <c r="N193" s="5">
        <v>0.46</v>
      </c>
      <c r="O193" s="5">
        <f t="shared" si="22"/>
        <v>43.7</v>
      </c>
      <c r="P193" s="5">
        <v>2.2000000000000002</v>
      </c>
      <c r="Q193" s="5">
        <f t="shared" si="23"/>
        <v>209.00000000000003</v>
      </c>
      <c r="R193" s="25"/>
    </row>
    <row r="194" spans="2:18" x14ac:dyDescent="0.25">
      <c r="B194" s="56" t="s">
        <v>14</v>
      </c>
      <c r="C194" s="35">
        <f>D194/(D191+D192+D193+D194)*100</f>
        <v>8.3333333333333321</v>
      </c>
      <c r="D194" s="125">
        <v>1.5</v>
      </c>
      <c r="E194" s="5">
        <v>0.66</v>
      </c>
      <c r="F194" s="5">
        <f t="shared" si="20"/>
        <v>9.8999999999999986</v>
      </c>
      <c r="G194" s="5">
        <v>3.4</v>
      </c>
      <c r="H194" s="5">
        <f t="shared" si="21"/>
        <v>51.000000000000007</v>
      </c>
      <c r="I194" s="25"/>
      <c r="K194" s="56" t="s">
        <v>14</v>
      </c>
      <c r="L194" s="35">
        <f>M194/(M191+M192+M193+M194)*100</f>
        <v>0</v>
      </c>
      <c r="M194" s="64">
        <v>0</v>
      </c>
      <c r="N194" s="5">
        <v>0</v>
      </c>
      <c r="O194" s="5">
        <f t="shared" si="22"/>
        <v>0</v>
      </c>
      <c r="P194" s="5">
        <v>0</v>
      </c>
      <c r="Q194" s="5">
        <f t="shared" si="23"/>
        <v>0</v>
      </c>
      <c r="R194" s="25"/>
    </row>
    <row r="195" spans="2:18" x14ac:dyDescent="0.25">
      <c r="B195" s="56" t="s">
        <v>17</v>
      </c>
      <c r="C195" s="35">
        <f>D195/(D191+D192+D193+D194)*100</f>
        <v>44.444444444444443</v>
      </c>
      <c r="D195" s="125">
        <v>8</v>
      </c>
      <c r="E195" s="5">
        <v>3.22</v>
      </c>
      <c r="F195" s="5">
        <f t="shared" si="20"/>
        <v>257.60000000000002</v>
      </c>
      <c r="G195" s="5">
        <v>31.2</v>
      </c>
      <c r="H195" s="5">
        <f t="shared" si="21"/>
        <v>2496</v>
      </c>
      <c r="I195" s="25"/>
      <c r="K195" s="56" t="s">
        <v>17</v>
      </c>
      <c r="L195" s="35">
        <f>M195/(M191+M192+M193+M194)*100</f>
        <v>44.444444444444443</v>
      </c>
      <c r="M195" s="64">
        <v>8</v>
      </c>
      <c r="N195" s="5">
        <v>3.15</v>
      </c>
      <c r="O195" s="5">
        <f t="shared" si="22"/>
        <v>252</v>
      </c>
      <c r="P195" s="5">
        <v>28.8</v>
      </c>
      <c r="Q195" s="5">
        <f t="shared" si="23"/>
        <v>2304.0000000000005</v>
      </c>
      <c r="R195" s="25"/>
    </row>
    <row r="196" spans="2:18" x14ac:dyDescent="0.25">
      <c r="B196" s="57" t="s">
        <v>21</v>
      </c>
      <c r="C196" s="41">
        <f>D196/(D191+D192+D193+D194+D195)*100</f>
        <v>5.7692307692307692</v>
      </c>
      <c r="D196" s="126">
        <v>1.5</v>
      </c>
      <c r="E196" s="5">
        <v>0</v>
      </c>
      <c r="F196" s="5">
        <f t="shared" si="20"/>
        <v>0</v>
      </c>
      <c r="G196" s="5">
        <v>89</v>
      </c>
      <c r="H196" s="5">
        <f t="shared" si="21"/>
        <v>1335</v>
      </c>
      <c r="I196" s="25"/>
      <c r="K196" s="57" t="s">
        <v>21</v>
      </c>
      <c r="L196" s="41">
        <f>M196/(M191+M192+M193+M194+M195)*100</f>
        <v>5.7692307692307692</v>
      </c>
      <c r="M196" s="65">
        <v>1.5</v>
      </c>
      <c r="N196" s="5">
        <v>0</v>
      </c>
      <c r="O196" s="5">
        <f t="shared" si="22"/>
        <v>0</v>
      </c>
      <c r="P196" s="5">
        <v>89.6</v>
      </c>
      <c r="Q196" s="5">
        <f t="shared" si="23"/>
        <v>1343.9999999999998</v>
      </c>
      <c r="R196" s="25"/>
    </row>
    <row r="197" spans="2:18" x14ac:dyDescent="0.25">
      <c r="B197" s="57" t="s">
        <v>49</v>
      </c>
      <c r="C197" s="41"/>
      <c r="D197" s="129">
        <v>0</v>
      </c>
      <c r="E197" s="13">
        <v>0</v>
      </c>
      <c r="F197" s="5">
        <f t="shared" si="20"/>
        <v>0</v>
      </c>
      <c r="G197" s="5">
        <v>0</v>
      </c>
      <c r="H197" s="5">
        <f t="shared" si="21"/>
        <v>0</v>
      </c>
      <c r="I197" s="25"/>
      <c r="K197" s="57" t="s">
        <v>49</v>
      </c>
      <c r="L197" s="41"/>
      <c r="M197" s="67">
        <v>0</v>
      </c>
      <c r="N197" s="13">
        <v>0</v>
      </c>
      <c r="O197" s="5">
        <f t="shared" si="22"/>
        <v>0</v>
      </c>
      <c r="P197" s="5">
        <v>0</v>
      </c>
      <c r="Q197" s="5">
        <f t="shared" si="23"/>
        <v>0</v>
      </c>
      <c r="R197" s="25"/>
    </row>
    <row r="198" spans="2:18" x14ac:dyDescent="0.25">
      <c r="B198" s="57" t="s">
        <v>23</v>
      </c>
      <c r="C198" s="41"/>
      <c r="D198" s="126">
        <v>0</v>
      </c>
      <c r="E198" s="13">
        <v>0</v>
      </c>
      <c r="F198" s="5">
        <f t="shared" si="20"/>
        <v>0</v>
      </c>
      <c r="G198" s="5">
        <v>0</v>
      </c>
      <c r="H198" s="5">
        <f t="shared" si="21"/>
        <v>0</v>
      </c>
      <c r="I198" s="25"/>
      <c r="K198" s="57" t="s">
        <v>23</v>
      </c>
      <c r="L198" s="41"/>
      <c r="M198" s="65">
        <v>0</v>
      </c>
      <c r="N198" s="13">
        <v>0</v>
      </c>
      <c r="O198" s="5">
        <f t="shared" si="22"/>
        <v>0</v>
      </c>
      <c r="P198" s="5">
        <v>0</v>
      </c>
      <c r="Q198" s="5">
        <f t="shared" si="23"/>
        <v>0</v>
      </c>
      <c r="R198" s="25"/>
    </row>
    <row r="199" spans="2:18" x14ac:dyDescent="0.25">
      <c r="B199" s="58" t="s">
        <v>26</v>
      </c>
      <c r="C199" s="42"/>
      <c r="D199" s="127">
        <f>SUM(D191:D198)</f>
        <v>27.5</v>
      </c>
      <c r="E199" s="9"/>
      <c r="F199" s="11">
        <f>SUM(F191:F198)</f>
        <v>403.1</v>
      </c>
      <c r="G199" s="9"/>
      <c r="H199" s="11">
        <f>SUM(H191:H198)</f>
        <v>5286</v>
      </c>
      <c r="I199" s="24" t="s">
        <v>6</v>
      </c>
      <c r="K199" s="58" t="s">
        <v>26</v>
      </c>
      <c r="L199" s="42"/>
      <c r="M199" s="66">
        <f>SUM(M191:M198)</f>
        <v>27.5</v>
      </c>
      <c r="N199" s="9"/>
      <c r="O199" s="11">
        <f>SUM(O191:O198)</f>
        <v>399.3</v>
      </c>
      <c r="P199" s="9"/>
      <c r="Q199" s="11">
        <f>SUM(Q191:Q198)</f>
        <v>5070</v>
      </c>
      <c r="R199" s="24" t="s">
        <v>6</v>
      </c>
    </row>
    <row r="200" spans="2:18" x14ac:dyDescent="0.25">
      <c r="B200" s="59"/>
      <c r="C200" s="43"/>
      <c r="D200" s="130"/>
      <c r="E200" s="1"/>
      <c r="F200" s="8">
        <f>F199/D199/10</f>
        <v>1.4658181818181819</v>
      </c>
      <c r="G200" s="12"/>
      <c r="H200" s="8">
        <f>H199/D199/10</f>
        <v>19.221818181818183</v>
      </c>
      <c r="I200" s="11">
        <f>((100-H200)*0.5)/F200</f>
        <v>27.553956834532375</v>
      </c>
      <c r="K200" s="59"/>
      <c r="L200" s="43"/>
      <c r="M200" s="68"/>
      <c r="N200" s="1"/>
      <c r="O200" s="8">
        <f>O199/M199/10</f>
        <v>1.452</v>
      </c>
      <c r="P200" s="12"/>
      <c r="Q200" s="8">
        <f>Q199/M199/10</f>
        <v>18.436363636363637</v>
      </c>
      <c r="R200" s="11">
        <f>((100-Q200)*0.5)/O200</f>
        <v>28.086651640370651</v>
      </c>
    </row>
    <row r="203" spans="2:18" x14ac:dyDescent="0.25">
      <c r="B203" s="268" t="s">
        <v>72</v>
      </c>
      <c r="C203" s="268"/>
      <c r="D203" s="268"/>
      <c r="E203" s="268"/>
      <c r="F203" s="268"/>
      <c r="G203" s="268"/>
      <c r="H203" s="268"/>
      <c r="I203" s="268"/>
      <c r="K203" s="268" t="s">
        <v>73</v>
      </c>
      <c r="L203" s="268"/>
      <c r="M203" s="268"/>
      <c r="N203" s="268"/>
      <c r="O203" s="268"/>
      <c r="P203" s="268"/>
      <c r="Q203" s="268"/>
      <c r="R203" s="268"/>
    </row>
    <row r="204" spans="2:18" x14ac:dyDescent="0.25">
      <c r="B204" s="269" t="s">
        <v>0</v>
      </c>
      <c r="C204" s="227" t="s">
        <v>1</v>
      </c>
      <c r="D204" s="269" t="s">
        <v>47</v>
      </c>
      <c r="E204" s="229" t="s">
        <v>46</v>
      </c>
      <c r="F204" s="229"/>
      <c r="G204" s="229"/>
      <c r="H204" s="229"/>
      <c r="I204" s="229" t="s">
        <v>102</v>
      </c>
      <c r="K204" s="269" t="s">
        <v>0</v>
      </c>
      <c r="L204" s="227" t="s">
        <v>1</v>
      </c>
      <c r="M204" s="269" t="s">
        <v>47</v>
      </c>
      <c r="N204" s="229" t="s">
        <v>46</v>
      </c>
      <c r="O204" s="229"/>
      <c r="P204" s="229"/>
      <c r="Q204" s="229"/>
      <c r="R204" s="229" t="s">
        <v>102</v>
      </c>
    </row>
    <row r="205" spans="2:18" x14ac:dyDescent="0.25">
      <c r="B205" s="269"/>
      <c r="C205" s="228"/>
      <c r="D205" s="269"/>
      <c r="E205" s="2" t="s">
        <v>42</v>
      </c>
      <c r="F205" s="2" t="s">
        <v>43</v>
      </c>
      <c r="G205" s="2" t="s">
        <v>44</v>
      </c>
      <c r="H205" s="2" t="s">
        <v>45</v>
      </c>
      <c r="I205" s="229"/>
      <c r="K205" s="269"/>
      <c r="L205" s="228"/>
      <c r="M205" s="269"/>
      <c r="N205" s="2" t="s">
        <v>42</v>
      </c>
      <c r="O205" s="2" t="s">
        <v>43</v>
      </c>
      <c r="P205" s="2" t="s">
        <v>44</v>
      </c>
      <c r="Q205" s="2" t="s">
        <v>45</v>
      </c>
      <c r="R205" s="229"/>
    </row>
    <row r="206" spans="2:18" x14ac:dyDescent="0.25">
      <c r="B206" s="56" t="s">
        <v>8</v>
      </c>
      <c r="C206" s="35">
        <f>D206/(D206+D207+D208+D209)*100</f>
        <v>27.777777777777779</v>
      </c>
      <c r="D206" s="125">
        <v>5</v>
      </c>
      <c r="E206" s="5">
        <v>1.26</v>
      </c>
      <c r="F206" s="5">
        <f t="shared" ref="F206:F213" si="24">(D206*E206%)*1000</f>
        <v>63</v>
      </c>
      <c r="G206" s="5">
        <v>13</v>
      </c>
      <c r="H206" s="5">
        <f t="shared" ref="H206:H213" si="25">(D206*G206%)*1000</f>
        <v>650</v>
      </c>
      <c r="I206" s="51">
        <f>D206+D207+D208+D209</f>
        <v>18</v>
      </c>
      <c r="K206" s="56" t="s">
        <v>8</v>
      </c>
      <c r="L206" s="35">
        <f>M206/(M206+M207+M208+M209)*100</f>
        <v>32.642487046632127</v>
      </c>
      <c r="M206" s="64">
        <v>6.3</v>
      </c>
      <c r="N206" s="5">
        <v>1.19</v>
      </c>
      <c r="O206" s="5">
        <f t="shared" ref="O206:O213" si="26">(M206*N206%)*1000</f>
        <v>74.97</v>
      </c>
      <c r="P206" s="5">
        <v>13</v>
      </c>
      <c r="Q206" s="5">
        <f t="shared" ref="Q206:Q213" si="27">(M206*P206%)*1000</f>
        <v>819</v>
      </c>
      <c r="R206" s="51">
        <f>M206+M207+M208+M209</f>
        <v>19.3</v>
      </c>
    </row>
    <row r="207" spans="2:18" x14ac:dyDescent="0.25">
      <c r="B207" s="57" t="s">
        <v>10</v>
      </c>
      <c r="C207" s="35">
        <f>D207/(D206+D207+D208+D209)*100</f>
        <v>19.444444444444446</v>
      </c>
      <c r="D207" s="125">
        <v>3.5</v>
      </c>
      <c r="E207" s="5">
        <v>1.07</v>
      </c>
      <c r="F207" s="5">
        <f t="shared" si="24"/>
        <v>37.450000000000003</v>
      </c>
      <c r="G207" s="5">
        <v>10.8</v>
      </c>
      <c r="H207" s="5">
        <f t="shared" si="25"/>
        <v>378.00000000000006</v>
      </c>
      <c r="I207" s="25"/>
      <c r="K207" s="57" t="s">
        <v>10</v>
      </c>
      <c r="L207" s="35">
        <f>M207/(M206+M207+M208+M209)*100</f>
        <v>18.134715025906736</v>
      </c>
      <c r="M207" s="64">
        <v>3.5</v>
      </c>
      <c r="N207" s="5">
        <v>1.07</v>
      </c>
      <c r="O207" s="5">
        <f t="shared" si="26"/>
        <v>37.450000000000003</v>
      </c>
      <c r="P207" s="5">
        <v>10.8</v>
      </c>
      <c r="Q207" s="5">
        <f t="shared" si="27"/>
        <v>378.00000000000006</v>
      </c>
      <c r="R207" s="25"/>
    </row>
    <row r="208" spans="2:18" x14ac:dyDescent="0.25">
      <c r="B208" s="56" t="s">
        <v>12</v>
      </c>
      <c r="C208" s="35">
        <f>D208/(D206+D207+D208+D209)*100</f>
        <v>44.444444444444443</v>
      </c>
      <c r="D208" s="125">
        <v>8</v>
      </c>
      <c r="E208" s="5">
        <v>0.46</v>
      </c>
      <c r="F208" s="5">
        <f t="shared" si="24"/>
        <v>36.799999999999997</v>
      </c>
      <c r="G208" s="5">
        <v>2.2000000000000002</v>
      </c>
      <c r="H208" s="5">
        <f t="shared" si="25"/>
        <v>176.00000000000003</v>
      </c>
      <c r="I208" s="25"/>
      <c r="K208" s="56" t="s">
        <v>12</v>
      </c>
      <c r="L208" s="35">
        <f>M208/(M206+M207+M208+M209)*100</f>
        <v>41.450777202072537</v>
      </c>
      <c r="M208" s="64">
        <v>8</v>
      </c>
      <c r="N208" s="5">
        <v>0.46</v>
      </c>
      <c r="O208" s="5">
        <f t="shared" si="26"/>
        <v>36.799999999999997</v>
      </c>
      <c r="P208" s="5">
        <v>2.2000000000000002</v>
      </c>
      <c r="Q208" s="5">
        <f t="shared" si="27"/>
        <v>176.00000000000003</v>
      </c>
      <c r="R208" s="25"/>
    </row>
    <row r="209" spans="2:18" x14ac:dyDescent="0.25">
      <c r="B209" s="56" t="s">
        <v>14</v>
      </c>
      <c r="C209" s="35">
        <f>D209/(D206+D207+D208+D209)*100</f>
        <v>8.3333333333333321</v>
      </c>
      <c r="D209" s="125">
        <v>1.5</v>
      </c>
      <c r="E209" s="5">
        <v>0.71</v>
      </c>
      <c r="F209" s="5">
        <f t="shared" si="24"/>
        <v>10.65</v>
      </c>
      <c r="G209" s="5">
        <v>3.7</v>
      </c>
      <c r="H209" s="5">
        <f t="shared" si="25"/>
        <v>55.500000000000007</v>
      </c>
      <c r="I209" s="25"/>
      <c r="K209" s="56" t="s">
        <v>14</v>
      </c>
      <c r="L209" s="35">
        <f>M209/(M206+M207+M208+M209)*100</f>
        <v>7.7720207253886011</v>
      </c>
      <c r="M209" s="64">
        <v>1.5</v>
      </c>
      <c r="N209" s="5">
        <v>0.71</v>
      </c>
      <c r="O209" s="5">
        <f t="shared" si="26"/>
        <v>10.65</v>
      </c>
      <c r="P209" s="5">
        <v>3.7</v>
      </c>
      <c r="Q209" s="5">
        <f t="shared" si="27"/>
        <v>55.500000000000007</v>
      </c>
      <c r="R209" s="25"/>
    </row>
    <row r="210" spans="2:18" x14ac:dyDescent="0.25">
      <c r="B210" s="56" t="s">
        <v>17</v>
      </c>
      <c r="C210" s="35">
        <f>D210/(D206+D207+D208+D209)*100</f>
        <v>47.222222222222221</v>
      </c>
      <c r="D210" s="125">
        <v>8.5</v>
      </c>
      <c r="E210" s="5">
        <v>3.15</v>
      </c>
      <c r="F210" s="5">
        <f t="shared" si="24"/>
        <v>267.75</v>
      </c>
      <c r="G210" s="5">
        <v>27.9</v>
      </c>
      <c r="H210" s="5">
        <f t="shared" si="25"/>
        <v>2371.4999999999995</v>
      </c>
      <c r="I210" s="25"/>
      <c r="K210" s="56" t="s">
        <v>17</v>
      </c>
      <c r="L210" s="35">
        <f>M210/(M206+M207+M208+M209)*100</f>
        <v>44.041450777202073</v>
      </c>
      <c r="M210" s="64">
        <v>8.5</v>
      </c>
      <c r="N210" s="5">
        <v>3.15</v>
      </c>
      <c r="O210" s="5">
        <f t="shared" si="26"/>
        <v>267.75</v>
      </c>
      <c r="P210" s="5">
        <v>27.9</v>
      </c>
      <c r="Q210" s="5">
        <f t="shared" si="27"/>
        <v>2371.4999999999995</v>
      </c>
      <c r="R210" s="25"/>
    </row>
    <row r="211" spans="2:18" x14ac:dyDescent="0.25">
      <c r="B211" s="57" t="s">
        <v>21</v>
      </c>
      <c r="C211" s="41">
        <f>D211/(D206+D207+D208+D209+D210)*100</f>
        <v>5.6603773584905666</v>
      </c>
      <c r="D211" s="126">
        <v>1.5</v>
      </c>
      <c r="E211" s="5">
        <v>0</v>
      </c>
      <c r="F211" s="5">
        <f t="shared" si="24"/>
        <v>0</v>
      </c>
      <c r="G211" s="5">
        <v>87.5</v>
      </c>
      <c r="H211" s="5">
        <f t="shared" si="25"/>
        <v>1312.5</v>
      </c>
      <c r="I211" s="25"/>
      <c r="K211" s="57" t="s">
        <v>21</v>
      </c>
      <c r="L211" s="41">
        <f>M211/(M206+M207+M208+M209+M210)*100</f>
        <v>5.3956834532374103</v>
      </c>
      <c r="M211" s="65">
        <v>1.5</v>
      </c>
      <c r="N211" s="5">
        <v>0</v>
      </c>
      <c r="O211" s="5">
        <f t="shared" si="26"/>
        <v>0</v>
      </c>
      <c r="P211" s="5">
        <v>87.5</v>
      </c>
      <c r="Q211" s="5">
        <f t="shared" si="27"/>
        <v>1312.5</v>
      </c>
      <c r="R211" s="25"/>
    </row>
    <row r="212" spans="2:18" x14ac:dyDescent="0.25">
      <c r="B212" s="57" t="s">
        <v>49</v>
      </c>
      <c r="C212" s="41"/>
      <c r="D212" s="129">
        <v>0</v>
      </c>
      <c r="E212" s="13">
        <v>0</v>
      </c>
      <c r="F212" s="5">
        <f t="shared" si="24"/>
        <v>0</v>
      </c>
      <c r="G212" s="5">
        <v>0</v>
      </c>
      <c r="H212" s="5">
        <f t="shared" si="25"/>
        <v>0</v>
      </c>
      <c r="I212" s="25"/>
      <c r="K212" s="57" t="s">
        <v>49</v>
      </c>
      <c r="L212" s="41"/>
      <c r="M212" s="67">
        <v>0</v>
      </c>
      <c r="N212" s="13">
        <v>0</v>
      </c>
      <c r="O212" s="5">
        <f t="shared" si="26"/>
        <v>0</v>
      </c>
      <c r="P212" s="5">
        <v>0</v>
      </c>
      <c r="Q212" s="5">
        <f t="shared" si="27"/>
        <v>0</v>
      </c>
      <c r="R212" s="25"/>
    </row>
    <row r="213" spans="2:18" x14ac:dyDescent="0.25">
      <c r="B213" s="57" t="s">
        <v>23</v>
      </c>
      <c r="C213" s="41"/>
      <c r="D213" s="126">
        <v>0</v>
      </c>
      <c r="E213" s="13">
        <v>0</v>
      </c>
      <c r="F213" s="5">
        <f t="shared" si="24"/>
        <v>0</v>
      </c>
      <c r="G213" s="5">
        <v>0</v>
      </c>
      <c r="H213" s="5">
        <f t="shared" si="25"/>
        <v>0</v>
      </c>
      <c r="I213" s="25"/>
      <c r="K213" s="57" t="s">
        <v>23</v>
      </c>
      <c r="L213" s="41"/>
      <c r="M213" s="65">
        <v>0.05</v>
      </c>
      <c r="N213" s="13">
        <v>20.5</v>
      </c>
      <c r="O213" s="5">
        <f t="shared" si="26"/>
        <v>10.25</v>
      </c>
      <c r="P213" s="5">
        <v>0</v>
      </c>
      <c r="Q213" s="5">
        <f t="shared" si="27"/>
        <v>0</v>
      </c>
      <c r="R213" s="25"/>
    </row>
    <row r="214" spans="2:18" x14ac:dyDescent="0.25">
      <c r="B214" s="58" t="s">
        <v>26</v>
      </c>
      <c r="C214" s="42"/>
      <c r="D214" s="127">
        <f>SUM(D206:D213)</f>
        <v>28</v>
      </c>
      <c r="E214" s="9"/>
      <c r="F214" s="11">
        <f>SUM(F206:F213)</f>
        <v>415.65</v>
      </c>
      <c r="G214" s="9"/>
      <c r="H214" s="11">
        <f>SUM(H206:H213)</f>
        <v>4943.5</v>
      </c>
      <c r="I214" s="24" t="s">
        <v>6</v>
      </c>
      <c r="K214" s="58" t="s">
        <v>26</v>
      </c>
      <c r="L214" s="42"/>
      <c r="M214" s="66">
        <f>SUM(M206:M213)</f>
        <v>29.35</v>
      </c>
      <c r="N214" s="9"/>
      <c r="O214" s="11">
        <f>SUM(O206:O213)</f>
        <v>437.87</v>
      </c>
      <c r="P214" s="9"/>
      <c r="Q214" s="11">
        <f>SUM(Q206:Q213)</f>
        <v>5112.5</v>
      </c>
      <c r="R214" s="24" t="s">
        <v>6</v>
      </c>
    </row>
    <row r="215" spans="2:18" x14ac:dyDescent="0.25">
      <c r="B215" s="59"/>
      <c r="C215" s="43"/>
      <c r="D215" s="130"/>
      <c r="E215" s="1"/>
      <c r="F215" s="8">
        <f>F214/D214/10</f>
        <v>1.4844642857142856</v>
      </c>
      <c r="G215" s="12"/>
      <c r="H215" s="8">
        <f>H214/D214/10</f>
        <v>17.655357142857142</v>
      </c>
      <c r="I215" s="11">
        <f>((100-H215)*0.5)/F215</f>
        <v>27.735474557921332</v>
      </c>
      <c r="K215" s="59"/>
      <c r="L215" s="43"/>
      <c r="M215" s="68"/>
      <c r="N215" s="1"/>
      <c r="O215" s="8">
        <f>O214/M214/10</f>
        <v>1.4918909710391823</v>
      </c>
      <c r="P215" s="12"/>
      <c r="Q215" s="8">
        <f>Q214/M214/10</f>
        <v>17.419080068143099</v>
      </c>
      <c r="R215" s="11">
        <f>((100-Q215)*0.5)/O215</f>
        <v>27.676593509489116</v>
      </c>
    </row>
    <row r="218" spans="2:18" x14ac:dyDescent="0.25">
      <c r="B218" s="268" t="s">
        <v>77</v>
      </c>
      <c r="C218" s="268"/>
      <c r="D218" s="268"/>
      <c r="E218" s="268"/>
      <c r="F218" s="268"/>
      <c r="G218" s="268"/>
      <c r="H218" s="268"/>
      <c r="I218" s="268"/>
      <c r="K218" s="268" t="s">
        <v>78</v>
      </c>
      <c r="L218" s="268"/>
      <c r="M218" s="268"/>
      <c r="N218" s="268"/>
      <c r="O218" s="268"/>
      <c r="P218" s="268"/>
      <c r="Q218" s="268"/>
      <c r="R218" s="268"/>
    </row>
    <row r="219" spans="2:18" x14ac:dyDescent="0.25">
      <c r="B219" s="269" t="s">
        <v>0</v>
      </c>
      <c r="C219" s="227" t="s">
        <v>1</v>
      </c>
      <c r="D219" s="269" t="s">
        <v>47</v>
      </c>
      <c r="E219" s="229" t="s">
        <v>46</v>
      </c>
      <c r="F219" s="229"/>
      <c r="G219" s="229"/>
      <c r="H219" s="229"/>
      <c r="I219" s="229" t="s">
        <v>102</v>
      </c>
      <c r="K219" s="269" t="s">
        <v>0</v>
      </c>
      <c r="L219" s="227" t="s">
        <v>1</v>
      </c>
      <c r="M219" s="269" t="s">
        <v>47</v>
      </c>
      <c r="N219" s="229" t="s">
        <v>46</v>
      </c>
      <c r="O219" s="229"/>
      <c r="P219" s="229"/>
      <c r="Q219" s="229"/>
      <c r="R219" s="229" t="s">
        <v>102</v>
      </c>
    </row>
    <row r="220" spans="2:18" x14ac:dyDescent="0.25">
      <c r="B220" s="269"/>
      <c r="C220" s="228"/>
      <c r="D220" s="269"/>
      <c r="E220" s="2" t="s">
        <v>42</v>
      </c>
      <c r="F220" s="2" t="s">
        <v>43</v>
      </c>
      <c r="G220" s="2" t="s">
        <v>44</v>
      </c>
      <c r="H220" s="2" t="s">
        <v>45</v>
      </c>
      <c r="I220" s="229"/>
      <c r="K220" s="269"/>
      <c r="L220" s="228"/>
      <c r="M220" s="269"/>
      <c r="N220" s="2" t="s">
        <v>42</v>
      </c>
      <c r="O220" s="2" t="s">
        <v>43</v>
      </c>
      <c r="P220" s="2" t="s">
        <v>44</v>
      </c>
      <c r="Q220" s="2" t="s">
        <v>45</v>
      </c>
      <c r="R220" s="229"/>
    </row>
    <row r="221" spans="2:18" x14ac:dyDescent="0.25">
      <c r="B221" s="56" t="s">
        <v>8</v>
      </c>
      <c r="C221" s="35">
        <f>D221/(D221+D222+D223+D224)*100</f>
        <v>32.642487046632127</v>
      </c>
      <c r="D221" s="125">
        <v>6.3</v>
      </c>
      <c r="E221" s="5">
        <v>1.26</v>
      </c>
      <c r="F221" s="5">
        <f t="shared" ref="F221:F228" si="28">(D221*E221%)*1000</f>
        <v>79.38</v>
      </c>
      <c r="G221" s="5">
        <v>13.8</v>
      </c>
      <c r="H221" s="5">
        <f t="shared" ref="H221:H228" si="29">(D221*G221%)*1000</f>
        <v>869.40000000000009</v>
      </c>
      <c r="I221" s="51">
        <f>D221+D222+D223+D224</f>
        <v>19.3</v>
      </c>
      <c r="K221" s="56" t="s">
        <v>8</v>
      </c>
      <c r="L221" s="35">
        <f>M221/(M221+M222+M223+M224)*100</f>
        <v>28.571428571428569</v>
      </c>
      <c r="M221" s="64">
        <v>5</v>
      </c>
      <c r="N221" s="5">
        <v>1.26</v>
      </c>
      <c r="O221" s="5">
        <f t="shared" ref="O221:O228" si="30">(M221*N221%)*1000</f>
        <v>63</v>
      </c>
      <c r="P221" s="5">
        <v>14.6</v>
      </c>
      <c r="Q221" s="5">
        <f t="shared" ref="Q221:Q228" si="31">(M221*P221%)*1000</f>
        <v>730</v>
      </c>
      <c r="R221" s="51">
        <f>M221+M222+M223+M224</f>
        <v>17.5</v>
      </c>
    </row>
    <row r="222" spans="2:18" x14ac:dyDescent="0.25">
      <c r="B222" s="57" t="s">
        <v>10</v>
      </c>
      <c r="C222" s="35">
        <f>D222/(D221+D222+D223+D224)*100</f>
        <v>18.134715025906736</v>
      </c>
      <c r="D222" s="125">
        <v>3.5</v>
      </c>
      <c r="E222" s="5">
        <v>1.07</v>
      </c>
      <c r="F222" s="5">
        <f t="shared" si="28"/>
        <v>37.450000000000003</v>
      </c>
      <c r="G222" s="5">
        <v>10.8</v>
      </c>
      <c r="H222" s="5">
        <f t="shared" si="29"/>
        <v>378.00000000000006</v>
      </c>
      <c r="I222" s="25"/>
      <c r="K222" s="57" t="s">
        <v>10</v>
      </c>
      <c r="L222" s="35">
        <f>M222/(M221+M222+M223+M224)*100</f>
        <v>20</v>
      </c>
      <c r="M222" s="64">
        <v>3.5</v>
      </c>
      <c r="N222" s="5">
        <v>1.07</v>
      </c>
      <c r="O222" s="5">
        <f t="shared" si="30"/>
        <v>37.450000000000003</v>
      </c>
      <c r="P222" s="5">
        <v>10.8</v>
      </c>
      <c r="Q222" s="5">
        <f t="shared" si="31"/>
        <v>378.00000000000006</v>
      </c>
      <c r="R222" s="25"/>
    </row>
    <row r="223" spans="2:18" x14ac:dyDescent="0.25">
      <c r="B223" s="56" t="s">
        <v>12</v>
      </c>
      <c r="C223" s="35">
        <f>D223/(D221+D222+D223+D224)*100</f>
        <v>41.450777202072537</v>
      </c>
      <c r="D223" s="125">
        <v>8</v>
      </c>
      <c r="E223" s="5">
        <v>0.36</v>
      </c>
      <c r="F223" s="5">
        <f t="shared" si="28"/>
        <v>28.8</v>
      </c>
      <c r="G223" s="5">
        <v>1.8</v>
      </c>
      <c r="H223" s="5">
        <f t="shared" si="29"/>
        <v>144.00000000000003</v>
      </c>
      <c r="I223" s="25"/>
      <c r="K223" s="56" t="s">
        <v>12</v>
      </c>
      <c r="L223" s="35">
        <f>M223/(M221+M222+M223+M224)*100</f>
        <v>45.714285714285715</v>
      </c>
      <c r="M223" s="64">
        <v>8</v>
      </c>
      <c r="N223" s="5">
        <v>0.4</v>
      </c>
      <c r="O223" s="5">
        <f t="shared" si="30"/>
        <v>32</v>
      </c>
      <c r="P223" s="5">
        <v>1.9</v>
      </c>
      <c r="Q223" s="5">
        <f t="shared" si="31"/>
        <v>152</v>
      </c>
      <c r="R223" s="25"/>
    </row>
    <row r="224" spans="2:18" x14ac:dyDescent="0.25">
      <c r="B224" s="56" t="s">
        <v>14</v>
      </c>
      <c r="C224" s="35">
        <f>D224/(D221+D222+D223+D224)*100</f>
        <v>7.7720207253886011</v>
      </c>
      <c r="D224" s="125">
        <v>1.5</v>
      </c>
      <c r="E224" s="5">
        <v>0.77</v>
      </c>
      <c r="F224" s="5">
        <f t="shared" si="28"/>
        <v>11.55</v>
      </c>
      <c r="G224" s="5">
        <v>3.7</v>
      </c>
      <c r="H224" s="5">
        <f t="shared" si="29"/>
        <v>55.500000000000007</v>
      </c>
      <c r="I224" s="25"/>
      <c r="K224" s="56" t="s">
        <v>14</v>
      </c>
      <c r="L224" s="35">
        <f>M224/(M221+M222+M223+M224)*100</f>
        <v>5.7142857142857144</v>
      </c>
      <c r="M224" s="64">
        <v>1</v>
      </c>
      <c r="N224" s="5">
        <v>0.71</v>
      </c>
      <c r="O224" s="5">
        <f t="shared" si="30"/>
        <v>7.1</v>
      </c>
      <c r="P224" s="5">
        <v>3.7</v>
      </c>
      <c r="Q224" s="5">
        <f t="shared" si="31"/>
        <v>37.000000000000007</v>
      </c>
      <c r="R224" s="25"/>
    </row>
    <row r="225" spans="2:18" x14ac:dyDescent="0.25">
      <c r="B225" s="56" t="s">
        <v>17</v>
      </c>
      <c r="C225" s="35">
        <f>D225/(D221+D222+D223+D224)*100</f>
        <v>44.041450777202073</v>
      </c>
      <c r="D225" s="125">
        <v>8.5</v>
      </c>
      <c r="E225" s="5">
        <v>3.22</v>
      </c>
      <c r="F225" s="5">
        <f t="shared" si="28"/>
        <v>273.7</v>
      </c>
      <c r="G225" s="5">
        <v>28</v>
      </c>
      <c r="H225" s="5">
        <f t="shared" si="29"/>
        <v>2380.0000000000005</v>
      </c>
      <c r="I225" s="25"/>
      <c r="K225" s="56" t="s">
        <v>17</v>
      </c>
      <c r="L225" s="35">
        <f>M225/(M221+M222+M223+M224)*100</f>
        <v>48.571428571428569</v>
      </c>
      <c r="M225" s="64">
        <v>8.5</v>
      </c>
      <c r="N225" s="5">
        <v>3.29</v>
      </c>
      <c r="O225" s="5">
        <f t="shared" si="30"/>
        <v>279.65000000000003</v>
      </c>
      <c r="P225" s="5">
        <v>28.4</v>
      </c>
      <c r="Q225" s="5">
        <f t="shared" si="31"/>
        <v>2413.9999999999995</v>
      </c>
      <c r="R225" s="25"/>
    </row>
    <row r="226" spans="2:18" x14ac:dyDescent="0.25">
      <c r="B226" s="57" t="s">
        <v>21</v>
      </c>
      <c r="C226" s="41">
        <f>D226/(D221+D222+D223+D224+D225)*100</f>
        <v>5.3956834532374103</v>
      </c>
      <c r="D226" s="126">
        <v>1.5</v>
      </c>
      <c r="E226" s="5">
        <v>0</v>
      </c>
      <c r="F226" s="5">
        <f t="shared" si="28"/>
        <v>0</v>
      </c>
      <c r="G226" s="5">
        <v>87.8</v>
      </c>
      <c r="H226" s="5">
        <f t="shared" si="29"/>
        <v>1317</v>
      </c>
      <c r="I226" s="25"/>
      <c r="K226" s="57" t="s">
        <v>21</v>
      </c>
      <c r="L226" s="41">
        <f>M226/(M221+M222+M223+M224+M225)*100</f>
        <v>5.7692307692307692</v>
      </c>
      <c r="M226" s="65">
        <v>1.5</v>
      </c>
      <c r="N226" s="5">
        <v>0</v>
      </c>
      <c r="O226" s="5">
        <f t="shared" si="30"/>
        <v>0</v>
      </c>
      <c r="P226" s="5">
        <v>87.5</v>
      </c>
      <c r="Q226" s="5">
        <f t="shared" si="31"/>
        <v>1312.5</v>
      </c>
      <c r="R226" s="25"/>
    </row>
    <row r="227" spans="2:18" x14ac:dyDescent="0.25">
      <c r="B227" s="57" t="s">
        <v>49</v>
      </c>
      <c r="C227" s="41"/>
      <c r="D227" s="129">
        <v>0</v>
      </c>
      <c r="E227" s="13">
        <v>0</v>
      </c>
      <c r="F227" s="5">
        <f t="shared" si="28"/>
        <v>0</v>
      </c>
      <c r="G227" s="5">
        <v>0</v>
      </c>
      <c r="H227" s="5">
        <f t="shared" si="29"/>
        <v>0</v>
      </c>
      <c r="I227" s="25"/>
      <c r="K227" s="57" t="s">
        <v>49</v>
      </c>
      <c r="L227" s="41"/>
      <c r="M227" s="67">
        <v>0</v>
      </c>
      <c r="N227" s="13">
        <v>0</v>
      </c>
      <c r="O227" s="5">
        <f t="shared" si="30"/>
        <v>0</v>
      </c>
      <c r="P227" s="5">
        <v>0</v>
      </c>
      <c r="Q227" s="5">
        <f t="shared" si="31"/>
        <v>0</v>
      </c>
      <c r="R227" s="25"/>
    </row>
    <row r="228" spans="2:18" x14ac:dyDescent="0.25">
      <c r="B228" s="57" t="s">
        <v>23</v>
      </c>
      <c r="C228" s="41"/>
      <c r="D228" s="126">
        <v>0.05</v>
      </c>
      <c r="E228" s="13">
        <v>20.6</v>
      </c>
      <c r="F228" s="5">
        <f t="shared" si="28"/>
        <v>10.300000000000002</v>
      </c>
      <c r="G228" s="5">
        <v>0</v>
      </c>
      <c r="H228" s="5">
        <f t="shared" si="29"/>
        <v>0</v>
      </c>
      <c r="I228" s="25"/>
      <c r="K228" s="57" t="s">
        <v>23</v>
      </c>
      <c r="L228" s="41"/>
      <c r="M228" s="65">
        <v>0</v>
      </c>
      <c r="N228" s="13">
        <v>20.6</v>
      </c>
      <c r="O228" s="5">
        <f t="shared" si="30"/>
        <v>0</v>
      </c>
      <c r="P228" s="5">
        <v>0</v>
      </c>
      <c r="Q228" s="5">
        <f t="shared" si="31"/>
        <v>0</v>
      </c>
      <c r="R228" s="25"/>
    </row>
    <row r="229" spans="2:18" x14ac:dyDescent="0.25">
      <c r="B229" s="58" t="s">
        <v>26</v>
      </c>
      <c r="C229" s="42"/>
      <c r="D229" s="127">
        <f>SUM(D221:D228)</f>
        <v>29.35</v>
      </c>
      <c r="E229" s="9"/>
      <c r="F229" s="11">
        <f>SUM(F221:F228)</f>
        <v>441.18</v>
      </c>
      <c r="G229" s="9"/>
      <c r="H229" s="11">
        <f>SUM(H221:H228)</f>
        <v>5143.9000000000005</v>
      </c>
      <c r="I229" s="24" t="s">
        <v>6</v>
      </c>
      <c r="K229" s="58" t="s">
        <v>26</v>
      </c>
      <c r="L229" s="42"/>
      <c r="M229" s="66">
        <f>SUM(M221:M228)</f>
        <v>27.5</v>
      </c>
      <c r="N229" s="9"/>
      <c r="O229" s="11">
        <f>SUM(O221:O228)</f>
        <v>419.20000000000005</v>
      </c>
      <c r="P229" s="9"/>
      <c r="Q229" s="11">
        <f>SUM(Q221:Q228)</f>
        <v>5023.5</v>
      </c>
      <c r="R229" s="24" t="s">
        <v>6</v>
      </c>
    </row>
    <row r="230" spans="2:18" x14ac:dyDescent="0.25">
      <c r="B230" s="59"/>
      <c r="C230" s="43"/>
      <c r="D230" s="130"/>
      <c r="E230" s="1"/>
      <c r="F230" s="8">
        <f>F229/D229/10</f>
        <v>1.503168654173765</v>
      </c>
      <c r="G230" s="12"/>
      <c r="H230" s="8">
        <f>H229/D229/10</f>
        <v>17.526064735945489</v>
      </c>
      <c r="I230" s="11">
        <f>((100-H230)*0.5)/F230</f>
        <v>27.433360533115735</v>
      </c>
      <c r="K230" s="59"/>
      <c r="L230" s="43"/>
      <c r="M230" s="68"/>
      <c r="N230" s="1"/>
      <c r="O230" s="8">
        <f>O229/M229/10</f>
        <v>1.5243636363636366</v>
      </c>
      <c r="P230" s="12"/>
      <c r="Q230" s="8">
        <f>Q229/M229/10</f>
        <v>18.267272727272729</v>
      </c>
      <c r="R230" s="11">
        <f>((100-Q230)*0.5)/O230</f>
        <v>26.808802480916029</v>
      </c>
    </row>
    <row r="232" spans="2:18" x14ac:dyDescent="0.25">
      <c r="B232" s="253" t="s">
        <v>74</v>
      </c>
      <c r="C232" s="254"/>
      <c r="D232" s="254"/>
      <c r="E232" s="254"/>
      <c r="F232" s="254"/>
      <c r="G232" s="254"/>
      <c r="H232" s="254"/>
      <c r="I232" s="255"/>
      <c r="K232" s="268" t="s">
        <v>79</v>
      </c>
      <c r="L232" s="268"/>
      <c r="M232" s="268"/>
      <c r="N232" s="268"/>
      <c r="O232" s="268"/>
      <c r="P232" s="268"/>
      <c r="Q232" s="268"/>
      <c r="R232" s="268"/>
    </row>
    <row r="233" spans="2:18" x14ac:dyDescent="0.25">
      <c r="B233" s="269" t="s">
        <v>0</v>
      </c>
      <c r="C233" s="227" t="s">
        <v>1</v>
      </c>
      <c r="D233" s="269" t="s">
        <v>47</v>
      </c>
      <c r="E233" s="229" t="s">
        <v>46</v>
      </c>
      <c r="F233" s="229"/>
      <c r="G233" s="229"/>
      <c r="H233" s="229"/>
      <c r="I233" s="229" t="s">
        <v>102</v>
      </c>
      <c r="K233" s="269" t="s">
        <v>0</v>
      </c>
      <c r="L233" s="227" t="s">
        <v>1</v>
      </c>
      <c r="M233" s="269" t="s">
        <v>47</v>
      </c>
      <c r="N233" s="229" t="s">
        <v>46</v>
      </c>
      <c r="O233" s="229"/>
      <c r="P233" s="229"/>
      <c r="Q233" s="229"/>
      <c r="R233" s="229" t="s">
        <v>102</v>
      </c>
    </row>
    <row r="234" spans="2:18" x14ac:dyDescent="0.25">
      <c r="B234" s="269"/>
      <c r="C234" s="228"/>
      <c r="D234" s="269"/>
      <c r="E234" s="2" t="s">
        <v>42</v>
      </c>
      <c r="F234" s="2" t="s">
        <v>43</v>
      </c>
      <c r="G234" s="2" t="s">
        <v>44</v>
      </c>
      <c r="H234" s="2" t="s">
        <v>45</v>
      </c>
      <c r="I234" s="229"/>
      <c r="K234" s="269"/>
      <c r="L234" s="228"/>
      <c r="M234" s="269"/>
      <c r="N234" s="2" t="s">
        <v>42</v>
      </c>
      <c r="O234" s="2" t="s">
        <v>43</v>
      </c>
      <c r="P234" s="2" t="s">
        <v>44</v>
      </c>
      <c r="Q234" s="2" t="s">
        <v>45</v>
      </c>
      <c r="R234" s="229"/>
    </row>
    <row r="235" spans="2:18" x14ac:dyDescent="0.25">
      <c r="B235" s="56" t="s">
        <v>76</v>
      </c>
      <c r="C235" s="35">
        <f>D235/(D235+D236+D237+D238)*100</f>
        <v>55.555555555555557</v>
      </c>
      <c r="D235" s="125">
        <v>10</v>
      </c>
      <c r="E235" s="5">
        <v>0.84</v>
      </c>
      <c r="F235" s="5">
        <f t="shared" ref="F235:F242" si="32">(D235*E235%)*1000</f>
        <v>83.999999999999986</v>
      </c>
      <c r="G235" s="5">
        <v>15.2</v>
      </c>
      <c r="H235" s="5">
        <f t="shared" ref="H235:H242" si="33">(D235*G235%)*1000</f>
        <v>1520</v>
      </c>
      <c r="I235" s="51">
        <f>D235+D236+D237+D238</f>
        <v>18</v>
      </c>
      <c r="K235" s="56" t="s">
        <v>76</v>
      </c>
      <c r="L235" s="35">
        <f>M235/(M235+M236+M237+M238)*100</f>
        <v>55.555555555555557</v>
      </c>
      <c r="M235" s="64">
        <v>10</v>
      </c>
      <c r="N235" s="5">
        <v>0.84</v>
      </c>
      <c r="O235" s="5">
        <f t="shared" ref="O235:O242" si="34">(M235*N235%)*1000</f>
        <v>83.999999999999986</v>
      </c>
      <c r="P235" s="5">
        <v>15.2</v>
      </c>
      <c r="Q235" s="5">
        <f t="shared" ref="Q235:Q242" si="35">(M235*P235%)*1000</f>
        <v>1520</v>
      </c>
      <c r="R235" s="51">
        <f>M235+M236+M237+M238</f>
        <v>18</v>
      </c>
    </row>
    <row r="236" spans="2:18" x14ac:dyDescent="0.25">
      <c r="B236" s="57" t="s">
        <v>10</v>
      </c>
      <c r="C236" s="35">
        <f>D236/(D235+D236+D237+D238)*100</f>
        <v>0</v>
      </c>
      <c r="D236" s="125">
        <v>0</v>
      </c>
      <c r="E236" s="5">
        <v>0</v>
      </c>
      <c r="F236" s="5">
        <f t="shared" si="32"/>
        <v>0</v>
      </c>
      <c r="G236" s="5">
        <v>0</v>
      </c>
      <c r="H236" s="5">
        <f t="shared" si="33"/>
        <v>0</v>
      </c>
      <c r="I236" s="25"/>
      <c r="K236" s="57" t="s">
        <v>10</v>
      </c>
      <c r="L236" s="35">
        <f>M236/(M235+M236+M237+M238)*100</f>
        <v>0</v>
      </c>
      <c r="M236" s="64">
        <v>0</v>
      </c>
      <c r="N236" s="5">
        <v>0</v>
      </c>
      <c r="O236" s="5">
        <f t="shared" si="34"/>
        <v>0</v>
      </c>
      <c r="P236" s="5">
        <v>0</v>
      </c>
      <c r="Q236" s="5">
        <f t="shared" si="35"/>
        <v>0</v>
      </c>
      <c r="R236" s="25"/>
    </row>
    <row r="237" spans="2:18" x14ac:dyDescent="0.25">
      <c r="B237" s="56" t="s">
        <v>12</v>
      </c>
      <c r="C237" s="35">
        <f>D237/(D235+D236+D237+D238)*100</f>
        <v>44.444444444444443</v>
      </c>
      <c r="D237" s="125">
        <v>8</v>
      </c>
      <c r="E237" s="5">
        <v>0.46</v>
      </c>
      <c r="F237" s="5">
        <f t="shared" si="32"/>
        <v>36.799999999999997</v>
      </c>
      <c r="G237" s="5">
        <v>2.2000000000000002</v>
      </c>
      <c r="H237" s="5">
        <f t="shared" si="33"/>
        <v>176.00000000000003</v>
      </c>
      <c r="I237" s="25"/>
      <c r="K237" s="56" t="s">
        <v>12</v>
      </c>
      <c r="L237" s="35">
        <f>M237/(M235+M236+M237+M238)*100</f>
        <v>44.444444444444443</v>
      </c>
      <c r="M237" s="64">
        <v>8</v>
      </c>
      <c r="N237" s="5">
        <v>0.32</v>
      </c>
      <c r="O237" s="5">
        <f t="shared" si="34"/>
        <v>25.6</v>
      </c>
      <c r="P237" s="5">
        <v>1.6</v>
      </c>
      <c r="Q237" s="5">
        <f t="shared" si="35"/>
        <v>128</v>
      </c>
      <c r="R237" s="25"/>
    </row>
    <row r="238" spans="2:18" x14ac:dyDescent="0.25">
      <c r="B238" s="56" t="s">
        <v>14</v>
      </c>
      <c r="C238" s="35">
        <f>D238/(D235+D236+D237+D238)*100</f>
        <v>0</v>
      </c>
      <c r="D238" s="125">
        <v>0</v>
      </c>
      <c r="E238" s="5">
        <v>0.71</v>
      </c>
      <c r="F238" s="5">
        <f t="shared" si="32"/>
        <v>0</v>
      </c>
      <c r="G238" s="5">
        <v>3.7</v>
      </c>
      <c r="H238" s="5">
        <f t="shared" si="33"/>
        <v>0</v>
      </c>
      <c r="I238" s="25"/>
      <c r="K238" s="56" t="s">
        <v>14</v>
      </c>
      <c r="L238" s="35">
        <f>M238/(M235+M236+M237+M238)*100</f>
        <v>0</v>
      </c>
      <c r="M238" s="64">
        <v>0</v>
      </c>
      <c r="N238" s="5">
        <v>0.71</v>
      </c>
      <c r="O238" s="5">
        <f t="shared" si="34"/>
        <v>0</v>
      </c>
      <c r="P238" s="5">
        <v>3.7</v>
      </c>
      <c r="Q238" s="5">
        <f t="shared" si="35"/>
        <v>0</v>
      </c>
      <c r="R238" s="25"/>
    </row>
    <row r="239" spans="2:18" x14ac:dyDescent="0.25">
      <c r="B239" s="56" t="s">
        <v>17</v>
      </c>
      <c r="C239" s="35">
        <f>D239/(D235+D236+D237+D238)*100</f>
        <v>38.888888888888893</v>
      </c>
      <c r="D239" s="125">
        <v>7</v>
      </c>
      <c r="E239" s="5">
        <v>3.29</v>
      </c>
      <c r="F239" s="5">
        <f t="shared" si="32"/>
        <v>230.3</v>
      </c>
      <c r="G239" s="5">
        <v>28.4</v>
      </c>
      <c r="H239" s="5">
        <f t="shared" si="33"/>
        <v>1987.9999999999998</v>
      </c>
      <c r="I239" s="25"/>
      <c r="K239" s="56" t="s">
        <v>17</v>
      </c>
      <c r="L239" s="35">
        <f>M239/(M235+M236+M237+M238)*100</f>
        <v>38.888888888888893</v>
      </c>
      <c r="M239" s="64">
        <v>7</v>
      </c>
      <c r="N239" s="5">
        <v>3.36</v>
      </c>
      <c r="O239" s="5">
        <f t="shared" si="34"/>
        <v>235.2</v>
      </c>
      <c r="P239" s="5">
        <v>27.9</v>
      </c>
      <c r="Q239" s="5">
        <f t="shared" si="35"/>
        <v>1952.9999999999998</v>
      </c>
      <c r="R239" s="25"/>
    </row>
    <row r="240" spans="2:18" x14ac:dyDescent="0.25">
      <c r="B240" s="57" t="s">
        <v>21</v>
      </c>
      <c r="C240" s="41">
        <f>D240/(D235+D236+D237+D238+D239)*100</f>
        <v>6</v>
      </c>
      <c r="D240" s="126">
        <v>1.5</v>
      </c>
      <c r="E240" s="5">
        <v>0</v>
      </c>
      <c r="F240" s="5">
        <f t="shared" si="32"/>
        <v>0</v>
      </c>
      <c r="G240" s="5">
        <v>87.5</v>
      </c>
      <c r="H240" s="5">
        <f t="shared" si="33"/>
        <v>1312.5</v>
      </c>
      <c r="I240" s="25"/>
      <c r="K240" s="57" t="s">
        <v>21</v>
      </c>
      <c r="L240" s="41">
        <f>M240/(M235+M236+M237+M238+M239)*100</f>
        <v>6</v>
      </c>
      <c r="M240" s="65">
        <v>1.5</v>
      </c>
      <c r="N240" s="5">
        <v>0</v>
      </c>
      <c r="O240" s="5">
        <f t="shared" si="34"/>
        <v>0</v>
      </c>
      <c r="P240" s="5">
        <v>87.5</v>
      </c>
      <c r="Q240" s="5">
        <f t="shared" si="35"/>
        <v>1312.5</v>
      </c>
      <c r="R240" s="25"/>
    </row>
    <row r="241" spans="2:18" x14ac:dyDescent="0.25">
      <c r="B241" s="57" t="s">
        <v>49</v>
      </c>
      <c r="C241" s="41"/>
      <c r="D241" s="129">
        <v>0</v>
      </c>
      <c r="E241" s="13">
        <v>0</v>
      </c>
      <c r="F241" s="5">
        <f t="shared" si="32"/>
        <v>0</v>
      </c>
      <c r="G241" s="5">
        <v>0</v>
      </c>
      <c r="H241" s="5">
        <f t="shared" si="33"/>
        <v>0</v>
      </c>
      <c r="I241" s="25"/>
      <c r="K241" s="57" t="s">
        <v>49</v>
      </c>
      <c r="L241" s="41"/>
      <c r="M241" s="67">
        <v>0</v>
      </c>
      <c r="N241" s="13">
        <v>0</v>
      </c>
      <c r="O241" s="5">
        <f t="shared" si="34"/>
        <v>0</v>
      </c>
      <c r="P241" s="5">
        <v>0</v>
      </c>
      <c r="Q241" s="5">
        <f t="shared" si="35"/>
        <v>0</v>
      </c>
      <c r="R241" s="25"/>
    </row>
    <row r="242" spans="2:18" x14ac:dyDescent="0.25">
      <c r="B242" s="57" t="s">
        <v>23</v>
      </c>
      <c r="C242" s="41"/>
      <c r="D242" s="126">
        <v>0.2</v>
      </c>
      <c r="E242" s="13">
        <v>20.6</v>
      </c>
      <c r="F242" s="5">
        <f t="shared" si="32"/>
        <v>41.20000000000001</v>
      </c>
      <c r="G242" s="5">
        <v>0</v>
      </c>
      <c r="H242" s="5">
        <f t="shared" si="33"/>
        <v>0</v>
      </c>
      <c r="I242" s="25"/>
      <c r="K242" s="57" t="s">
        <v>23</v>
      </c>
      <c r="L242" s="41"/>
      <c r="M242" s="65">
        <v>0.2</v>
      </c>
      <c r="N242" s="13">
        <v>20.6</v>
      </c>
      <c r="O242" s="5">
        <f t="shared" si="34"/>
        <v>41.20000000000001</v>
      </c>
      <c r="P242" s="5">
        <v>0</v>
      </c>
      <c r="Q242" s="5">
        <f t="shared" si="35"/>
        <v>0</v>
      </c>
      <c r="R242" s="25"/>
    </row>
    <row r="243" spans="2:18" x14ac:dyDescent="0.25">
      <c r="B243" s="58" t="s">
        <v>26</v>
      </c>
      <c r="C243" s="42"/>
      <c r="D243" s="127">
        <f>SUM(D235:D242)</f>
        <v>26.7</v>
      </c>
      <c r="E243" s="9"/>
      <c r="F243" s="11">
        <f>SUM(F235:F242)</f>
        <v>392.3</v>
      </c>
      <c r="G243" s="9"/>
      <c r="H243" s="11">
        <f>SUM(H235:H242)</f>
        <v>4996.5</v>
      </c>
      <c r="I243" s="24" t="s">
        <v>6</v>
      </c>
      <c r="K243" s="58" t="s">
        <v>26</v>
      </c>
      <c r="L243" s="42"/>
      <c r="M243" s="66">
        <f>SUM(M235:M242)</f>
        <v>26.7</v>
      </c>
      <c r="N243" s="9"/>
      <c r="O243" s="11">
        <f>SUM(O235:O242)</f>
        <v>385.99999999999994</v>
      </c>
      <c r="P243" s="9"/>
      <c r="Q243" s="11">
        <f>SUM(Q235:Q242)</f>
        <v>4913.5</v>
      </c>
      <c r="R243" s="24" t="s">
        <v>6</v>
      </c>
    </row>
    <row r="244" spans="2:18" x14ac:dyDescent="0.25">
      <c r="B244" s="59"/>
      <c r="C244" s="43"/>
      <c r="D244" s="130"/>
      <c r="E244" s="1"/>
      <c r="F244" s="8">
        <f>F243/D243/10</f>
        <v>1.4692883895131088</v>
      </c>
      <c r="G244" s="12"/>
      <c r="H244" s="8">
        <f>H243/D243/10</f>
        <v>18.713483146067414</v>
      </c>
      <c r="I244" s="11">
        <f>((100-H244)*0.5)/F244</f>
        <v>27.661865918939583</v>
      </c>
      <c r="K244" s="59"/>
      <c r="L244" s="43"/>
      <c r="M244" s="68"/>
      <c r="N244" s="1"/>
      <c r="O244" s="8">
        <f>O243/M243/10</f>
        <v>1.4456928838951311</v>
      </c>
      <c r="P244" s="12"/>
      <c r="Q244" s="8">
        <f>Q243/M243/10</f>
        <v>18.40262172284644</v>
      </c>
      <c r="R244" s="11">
        <f>((100-Q244)*0.5)/O244</f>
        <v>28.220854922279791</v>
      </c>
    </row>
    <row r="247" spans="2:18" x14ac:dyDescent="0.25">
      <c r="B247" s="268" t="s">
        <v>84</v>
      </c>
      <c r="C247" s="268"/>
      <c r="D247" s="268"/>
      <c r="E247" s="268"/>
      <c r="F247" s="268"/>
      <c r="G247" s="268"/>
      <c r="H247" s="268"/>
      <c r="I247" s="268"/>
      <c r="K247" s="268" t="s">
        <v>86</v>
      </c>
      <c r="L247" s="268"/>
      <c r="M247" s="268"/>
      <c r="N247" s="268"/>
      <c r="O247" s="268"/>
      <c r="P247" s="268"/>
      <c r="Q247" s="268"/>
      <c r="R247" s="268"/>
    </row>
    <row r="248" spans="2:18" x14ac:dyDescent="0.25">
      <c r="B248" s="269" t="s">
        <v>0</v>
      </c>
      <c r="C248" s="227" t="s">
        <v>1</v>
      </c>
      <c r="D248" s="269" t="s">
        <v>47</v>
      </c>
      <c r="E248" s="229" t="s">
        <v>46</v>
      </c>
      <c r="F248" s="229"/>
      <c r="G248" s="229"/>
      <c r="H248" s="229"/>
      <c r="I248" s="229" t="s">
        <v>102</v>
      </c>
      <c r="K248" s="269" t="s">
        <v>0</v>
      </c>
      <c r="L248" s="227" t="s">
        <v>1</v>
      </c>
      <c r="M248" s="269" t="s">
        <v>47</v>
      </c>
      <c r="N248" s="229" t="s">
        <v>46</v>
      </c>
      <c r="O248" s="229"/>
      <c r="P248" s="229"/>
      <c r="Q248" s="229"/>
      <c r="R248" s="229" t="s">
        <v>102</v>
      </c>
    </row>
    <row r="249" spans="2:18" x14ac:dyDescent="0.25">
      <c r="B249" s="269"/>
      <c r="C249" s="228"/>
      <c r="D249" s="269"/>
      <c r="E249" s="2" t="s">
        <v>42</v>
      </c>
      <c r="F249" s="2" t="s">
        <v>43</v>
      </c>
      <c r="G249" s="2" t="s">
        <v>44</v>
      </c>
      <c r="H249" s="2" t="s">
        <v>45</v>
      </c>
      <c r="I249" s="229"/>
      <c r="K249" s="269"/>
      <c r="L249" s="228"/>
      <c r="M249" s="269"/>
      <c r="N249" s="2" t="s">
        <v>42</v>
      </c>
      <c r="O249" s="2" t="s">
        <v>43</v>
      </c>
      <c r="P249" s="2" t="s">
        <v>44</v>
      </c>
      <c r="Q249" s="2" t="s">
        <v>45</v>
      </c>
      <c r="R249" s="229"/>
    </row>
    <row r="250" spans="2:18" x14ac:dyDescent="0.25">
      <c r="B250" s="56" t="s">
        <v>76</v>
      </c>
      <c r="C250" s="35">
        <f>D250/(D250+D251+D252+D253)*100</f>
        <v>43.243243243243242</v>
      </c>
      <c r="D250" s="125">
        <v>8</v>
      </c>
      <c r="E250" s="5">
        <v>0.84</v>
      </c>
      <c r="F250" s="5">
        <f t="shared" ref="F250:F257" si="36">(D250*E250%)*1000</f>
        <v>67.2</v>
      </c>
      <c r="G250" s="5">
        <v>15.2</v>
      </c>
      <c r="H250" s="5">
        <f t="shared" ref="H250:H257" si="37">(D250*G250%)*1000</f>
        <v>1216</v>
      </c>
      <c r="I250" s="51">
        <f>D250+D251+D252+D253</f>
        <v>18.5</v>
      </c>
      <c r="K250" s="56" t="s">
        <v>76</v>
      </c>
      <c r="L250" s="35">
        <f>M250/(M250+M251+M252+M253)*100</f>
        <v>43.243243243243242</v>
      </c>
      <c r="M250" s="64">
        <v>8</v>
      </c>
      <c r="N250" s="5">
        <v>0.84</v>
      </c>
      <c r="O250" s="5">
        <f t="shared" ref="O250:O257" si="38">(M250*N250%)*1000</f>
        <v>67.2</v>
      </c>
      <c r="P250" s="5">
        <v>15.2</v>
      </c>
      <c r="Q250" s="5">
        <f t="shared" ref="Q250:Q257" si="39">(M250*P250%)*1000</f>
        <v>1216</v>
      </c>
      <c r="R250" s="51">
        <f>M250+M251+M252+M253</f>
        <v>18.5</v>
      </c>
    </row>
    <row r="251" spans="2:18" x14ac:dyDescent="0.25">
      <c r="B251" s="57" t="s">
        <v>10</v>
      </c>
      <c r="C251" s="35">
        <f>D251/(D250+D251+D252+D253)*100</f>
        <v>13.513513513513514</v>
      </c>
      <c r="D251" s="125">
        <v>2.5</v>
      </c>
      <c r="E251" s="5">
        <v>1.07</v>
      </c>
      <c r="F251" s="5">
        <f t="shared" si="36"/>
        <v>26.750000000000004</v>
      </c>
      <c r="G251" s="5">
        <v>10.8</v>
      </c>
      <c r="H251" s="5">
        <f t="shared" si="37"/>
        <v>270</v>
      </c>
      <c r="I251" s="25"/>
      <c r="K251" s="57" t="s">
        <v>10</v>
      </c>
      <c r="L251" s="35">
        <f>M251/(M250+M251+M252+M253)*100</f>
        <v>13.513513513513514</v>
      </c>
      <c r="M251" s="64">
        <v>2.5</v>
      </c>
      <c r="N251" s="5">
        <v>1.07</v>
      </c>
      <c r="O251" s="5">
        <f t="shared" si="38"/>
        <v>26.750000000000004</v>
      </c>
      <c r="P251" s="5">
        <v>10.8</v>
      </c>
      <c r="Q251" s="5">
        <f t="shared" si="39"/>
        <v>270</v>
      </c>
      <c r="R251" s="25"/>
    </row>
    <row r="252" spans="2:18" x14ac:dyDescent="0.25">
      <c r="B252" s="56" t="s">
        <v>12</v>
      </c>
      <c r="C252" s="35">
        <f>D252/(D250+D251+D252+D253)*100</f>
        <v>43.243243243243242</v>
      </c>
      <c r="D252" s="125">
        <v>8</v>
      </c>
      <c r="E252" s="5">
        <v>0.46</v>
      </c>
      <c r="F252" s="5">
        <f t="shared" si="36"/>
        <v>36.799999999999997</v>
      </c>
      <c r="G252" s="5">
        <v>2.2000000000000002</v>
      </c>
      <c r="H252" s="5">
        <f t="shared" si="37"/>
        <v>176.00000000000003</v>
      </c>
      <c r="I252" s="25"/>
      <c r="K252" s="56" t="s">
        <v>12</v>
      </c>
      <c r="L252" s="35">
        <f>M252/(M250+M251+M252+M253)*100</f>
        <v>43.243243243243242</v>
      </c>
      <c r="M252" s="64">
        <v>8</v>
      </c>
      <c r="N252" s="5">
        <v>0.46</v>
      </c>
      <c r="O252" s="5">
        <f t="shared" si="38"/>
        <v>36.799999999999997</v>
      </c>
      <c r="P252" s="5">
        <v>2.2000000000000002</v>
      </c>
      <c r="Q252" s="5">
        <f t="shared" si="39"/>
        <v>176.00000000000003</v>
      </c>
      <c r="R252" s="25"/>
    </row>
    <row r="253" spans="2:18" x14ac:dyDescent="0.25">
      <c r="B253" s="56" t="s">
        <v>14</v>
      </c>
      <c r="C253" s="35">
        <f>D253/(D250+D251+D252+D253)*100</f>
        <v>0</v>
      </c>
      <c r="D253" s="125">
        <v>0</v>
      </c>
      <c r="E253" s="5">
        <v>0.71</v>
      </c>
      <c r="F253" s="5">
        <f t="shared" si="36"/>
        <v>0</v>
      </c>
      <c r="G253" s="5">
        <v>3.7</v>
      </c>
      <c r="H253" s="5">
        <f t="shared" si="37"/>
        <v>0</v>
      </c>
      <c r="I253" s="25"/>
      <c r="K253" s="56" t="s">
        <v>14</v>
      </c>
      <c r="L253" s="35">
        <f>M253/(M250+M251+M252+M253)*100</f>
        <v>0</v>
      </c>
      <c r="M253" s="64">
        <v>0</v>
      </c>
      <c r="N253" s="5">
        <v>0.71</v>
      </c>
      <c r="O253" s="5">
        <f t="shared" si="38"/>
        <v>0</v>
      </c>
      <c r="P253" s="5">
        <v>3.7</v>
      </c>
      <c r="Q253" s="5">
        <f t="shared" si="39"/>
        <v>0</v>
      </c>
      <c r="R253" s="25"/>
    </row>
    <row r="254" spans="2:18" x14ac:dyDescent="0.25">
      <c r="B254" s="56" t="s">
        <v>17</v>
      </c>
      <c r="C254" s="35">
        <f>D254/(D250+D251+D252+D253)*100</f>
        <v>40.54054054054054</v>
      </c>
      <c r="D254" s="125">
        <v>7.5</v>
      </c>
      <c r="E254" s="5">
        <v>3.34</v>
      </c>
      <c r="F254" s="5">
        <f t="shared" si="36"/>
        <v>250.5</v>
      </c>
      <c r="G254" s="5">
        <v>27.9</v>
      </c>
      <c r="H254" s="5">
        <f t="shared" si="37"/>
        <v>2092.5</v>
      </c>
      <c r="I254" s="25"/>
      <c r="K254" s="56" t="s">
        <v>17</v>
      </c>
      <c r="L254" s="35">
        <f>M254/(M250+M251+M252+M253)*100</f>
        <v>40.54054054054054</v>
      </c>
      <c r="M254" s="64">
        <v>7.5</v>
      </c>
      <c r="N254" s="5">
        <v>3.36</v>
      </c>
      <c r="O254" s="5">
        <f t="shared" si="38"/>
        <v>252</v>
      </c>
      <c r="P254" s="5">
        <v>27.2</v>
      </c>
      <c r="Q254" s="5">
        <f t="shared" si="39"/>
        <v>2040</v>
      </c>
      <c r="R254" s="25"/>
    </row>
    <row r="255" spans="2:18" x14ac:dyDescent="0.25">
      <c r="B255" s="57" t="s">
        <v>21</v>
      </c>
      <c r="C255" s="41"/>
      <c r="D255" s="126">
        <v>1.4</v>
      </c>
      <c r="E255" s="5">
        <v>0</v>
      </c>
      <c r="F255" s="5">
        <f t="shared" si="36"/>
        <v>0</v>
      </c>
      <c r="G255" s="5">
        <v>87.5</v>
      </c>
      <c r="H255" s="5">
        <f t="shared" si="37"/>
        <v>1224.9999999999998</v>
      </c>
      <c r="I255" s="25"/>
      <c r="K255" s="57" t="s">
        <v>21</v>
      </c>
      <c r="L255" s="41">
        <f>M255/(M250+M251+M252+M253+M254)*100</f>
        <v>5.3846153846153841</v>
      </c>
      <c r="M255" s="65">
        <v>1.4</v>
      </c>
      <c r="N255" s="5">
        <v>0</v>
      </c>
      <c r="O255" s="5">
        <f t="shared" si="38"/>
        <v>0</v>
      </c>
      <c r="P255" s="5">
        <v>87.5</v>
      </c>
      <c r="Q255" s="5">
        <f t="shared" si="39"/>
        <v>1224.9999999999998</v>
      </c>
      <c r="R255" s="25"/>
    </row>
    <row r="256" spans="2:18" x14ac:dyDescent="0.25">
      <c r="B256" s="57" t="s">
        <v>49</v>
      </c>
      <c r="C256" s="76"/>
      <c r="D256" s="129">
        <v>0</v>
      </c>
      <c r="E256" s="13">
        <v>0</v>
      </c>
      <c r="F256" s="5">
        <f t="shared" si="36"/>
        <v>0</v>
      </c>
      <c r="G256" s="5">
        <v>0</v>
      </c>
      <c r="H256" s="5">
        <f t="shared" si="37"/>
        <v>0</v>
      </c>
      <c r="I256" s="25"/>
      <c r="K256" s="57" t="s">
        <v>49</v>
      </c>
      <c r="L256" s="41"/>
      <c r="M256" s="67">
        <v>0</v>
      </c>
      <c r="N256" s="13">
        <v>0</v>
      </c>
      <c r="O256" s="5">
        <f t="shared" si="38"/>
        <v>0</v>
      </c>
      <c r="P256" s="5">
        <v>0</v>
      </c>
      <c r="Q256" s="5">
        <f t="shared" si="39"/>
        <v>0</v>
      </c>
      <c r="R256" s="25"/>
    </row>
    <row r="257" spans="2:18" ht="30" x14ac:dyDescent="0.25">
      <c r="B257" s="57" t="s">
        <v>59</v>
      </c>
      <c r="C257" s="41"/>
      <c r="D257" s="126">
        <v>0.18</v>
      </c>
      <c r="E257" s="13">
        <v>20.5</v>
      </c>
      <c r="F257" s="5">
        <f t="shared" si="36"/>
        <v>36.9</v>
      </c>
      <c r="G257" s="5">
        <v>0</v>
      </c>
      <c r="H257" s="5">
        <f t="shared" si="37"/>
        <v>0</v>
      </c>
      <c r="I257" s="25"/>
      <c r="K257" s="57" t="s">
        <v>23</v>
      </c>
      <c r="L257" s="41"/>
      <c r="M257" s="65">
        <v>0.18</v>
      </c>
      <c r="N257" s="13">
        <v>20.6</v>
      </c>
      <c r="O257" s="5">
        <f t="shared" si="38"/>
        <v>37.08</v>
      </c>
      <c r="P257" s="5">
        <v>0</v>
      </c>
      <c r="Q257" s="5">
        <f t="shared" si="39"/>
        <v>0</v>
      </c>
      <c r="R257" s="25"/>
    </row>
    <row r="258" spans="2:18" x14ac:dyDescent="0.25">
      <c r="B258" s="58" t="s">
        <v>26</v>
      </c>
      <c r="C258" s="42"/>
      <c r="D258" s="127">
        <f>SUM(D250:D257)</f>
        <v>27.58</v>
      </c>
      <c r="E258" s="9"/>
      <c r="F258" s="11">
        <f>SUM(F250:F257)</f>
        <v>418.15</v>
      </c>
      <c r="G258" s="9"/>
      <c r="H258" s="11">
        <f>SUM(H250:H257)</f>
        <v>4979.5</v>
      </c>
      <c r="I258" s="50" t="s">
        <v>6</v>
      </c>
      <c r="K258" s="58" t="s">
        <v>26</v>
      </c>
      <c r="L258" s="42"/>
      <c r="M258" s="66">
        <f>SUM(M250:M257)</f>
        <v>27.58</v>
      </c>
      <c r="N258" s="9"/>
      <c r="O258" s="11">
        <f>SUM(O250:O257)</f>
        <v>419.83</v>
      </c>
      <c r="P258" s="9"/>
      <c r="Q258" s="11">
        <f>SUM(Q250:Q257)</f>
        <v>4927</v>
      </c>
      <c r="R258" s="50" t="s">
        <v>6</v>
      </c>
    </row>
    <row r="259" spans="2:18" x14ac:dyDescent="0.25">
      <c r="B259" s="59"/>
      <c r="C259" s="43"/>
      <c r="D259" s="130"/>
      <c r="E259" s="1"/>
      <c r="F259" s="8">
        <f>F258/D258/10</f>
        <v>1.5161348803480783</v>
      </c>
      <c r="G259" s="12"/>
      <c r="H259" s="8">
        <f>H258/D258/10</f>
        <v>18.054749818709212</v>
      </c>
      <c r="I259" s="11">
        <f>((100-H259)*0.5)/F259</f>
        <v>27.024393160349156</v>
      </c>
      <c r="K259" s="59"/>
      <c r="L259" s="43"/>
      <c r="M259" s="68"/>
      <c r="N259" s="1"/>
      <c r="O259" s="8">
        <f>O258/M258/10</f>
        <v>1.5222262509064541</v>
      </c>
      <c r="P259" s="12"/>
      <c r="Q259" s="8">
        <f>Q258/M258/10</f>
        <v>17.864394488759974</v>
      </c>
      <c r="R259" s="11">
        <f>((100-Q259)*0.5)/O259</f>
        <v>26.978777124074028</v>
      </c>
    </row>
    <row r="262" spans="2:18" x14ac:dyDescent="0.25">
      <c r="B262" s="253" t="s">
        <v>85</v>
      </c>
      <c r="C262" s="254"/>
      <c r="D262" s="254"/>
      <c r="E262" s="254"/>
      <c r="F262" s="254"/>
      <c r="G262" s="254"/>
      <c r="H262" s="254"/>
      <c r="I262" s="255"/>
      <c r="K262" s="253" t="s">
        <v>87</v>
      </c>
      <c r="L262" s="254"/>
      <c r="M262" s="254"/>
      <c r="N262" s="254"/>
      <c r="O262" s="254"/>
      <c r="P262" s="254"/>
      <c r="Q262" s="254"/>
      <c r="R262" s="255"/>
    </row>
    <row r="263" spans="2:18" x14ac:dyDescent="0.25">
      <c r="B263" s="219" t="s">
        <v>0</v>
      </c>
      <c r="C263" s="227" t="s">
        <v>1</v>
      </c>
      <c r="D263" s="219" t="s">
        <v>47</v>
      </c>
      <c r="E263" s="221" t="s">
        <v>46</v>
      </c>
      <c r="F263" s="222"/>
      <c r="G263" s="222"/>
      <c r="H263" s="223"/>
      <c r="I263" s="26" t="s">
        <v>6</v>
      </c>
      <c r="K263" s="219" t="s">
        <v>0</v>
      </c>
      <c r="L263" s="227" t="s">
        <v>1</v>
      </c>
      <c r="M263" s="219" t="s">
        <v>47</v>
      </c>
      <c r="N263" s="253" t="s">
        <v>46</v>
      </c>
      <c r="O263" s="254"/>
      <c r="P263" s="254"/>
      <c r="Q263" s="255"/>
      <c r="R263" s="229" t="s">
        <v>102</v>
      </c>
    </row>
    <row r="264" spans="2:18" x14ac:dyDescent="0.25">
      <c r="B264" s="220"/>
      <c r="C264" s="228"/>
      <c r="D264" s="220"/>
      <c r="E264" s="2" t="s">
        <v>42</v>
      </c>
      <c r="F264" s="2" t="s">
        <v>43</v>
      </c>
      <c r="G264" s="2" t="s">
        <v>44</v>
      </c>
      <c r="H264" s="2" t="s">
        <v>45</v>
      </c>
      <c r="I264" s="24"/>
      <c r="K264" s="220"/>
      <c r="L264" s="228"/>
      <c r="M264" s="220"/>
      <c r="N264" s="30" t="s">
        <v>42</v>
      </c>
      <c r="O264" s="30" t="s">
        <v>43</v>
      </c>
      <c r="P264" s="30" t="s">
        <v>44</v>
      </c>
      <c r="Q264" s="30" t="s">
        <v>45</v>
      </c>
      <c r="R264" s="229"/>
    </row>
    <row r="265" spans="2:18" x14ac:dyDescent="0.25">
      <c r="B265" s="56" t="s">
        <v>76</v>
      </c>
      <c r="C265" s="35">
        <f>D265/(D265+D266+D267+D268)*100</f>
        <v>44.736842105263158</v>
      </c>
      <c r="D265" s="125">
        <v>8.5</v>
      </c>
      <c r="E265" s="5">
        <v>0.84</v>
      </c>
      <c r="F265" s="5">
        <f t="shared" ref="F265:F273" si="40">(D265*E265%)*1000</f>
        <v>71.399999999999991</v>
      </c>
      <c r="G265" s="5">
        <v>15.2</v>
      </c>
      <c r="H265" s="5">
        <f t="shared" ref="H265:H273" si="41">(D265*G265%)*1000</f>
        <v>1292</v>
      </c>
      <c r="I265" s="25"/>
      <c r="K265" s="33" t="s">
        <v>75</v>
      </c>
      <c r="L265" s="35">
        <f>M265/(M265+M266+M267+M268)*100</f>
        <v>48.648648648648653</v>
      </c>
      <c r="M265" s="73">
        <v>9</v>
      </c>
      <c r="N265" s="14">
        <v>1.33</v>
      </c>
      <c r="O265" s="14">
        <f t="shared" ref="O265:O272" si="42">(M265*N265%)*1000</f>
        <v>119.70000000000002</v>
      </c>
      <c r="P265" s="14">
        <v>14.7</v>
      </c>
      <c r="Q265" s="14">
        <f t="shared" ref="Q265:Q272" si="43">(M265*P265%)*1000</f>
        <v>1323</v>
      </c>
      <c r="R265" s="51">
        <f>M265+M266+M267+M268</f>
        <v>18.5</v>
      </c>
    </row>
    <row r="266" spans="2:18" x14ac:dyDescent="0.25">
      <c r="B266" s="56" t="s">
        <v>75</v>
      </c>
      <c r="C266" s="35">
        <f>D266/(D265+D266+D267+D268+D269)*100</f>
        <v>0</v>
      </c>
      <c r="D266" s="125">
        <v>0</v>
      </c>
      <c r="E266" s="5">
        <v>1.26</v>
      </c>
      <c r="F266" s="5">
        <f t="shared" si="40"/>
        <v>0</v>
      </c>
      <c r="G266" s="5">
        <v>14.6</v>
      </c>
      <c r="H266" s="5">
        <f t="shared" si="41"/>
        <v>0</v>
      </c>
      <c r="I266" s="25"/>
      <c r="K266" s="33" t="s">
        <v>10</v>
      </c>
      <c r="L266" s="35">
        <f>M266/(M265+M266+M267+M268)*100</f>
        <v>10.810810810810811</v>
      </c>
      <c r="M266" s="73">
        <v>2</v>
      </c>
      <c r="N266" s="14">
        <v>1.19</v>
      </c>
      <c r="O266" s="14">
        <f t="shared" si="42"/>
        <v>23.799999999999997</v>
      </c>
      <c r="P266" s="14">
        <v>11.6</v>
      </c>
      <c r="Q266" s="14">
        <f t="shared" si="43"/>
        <v>231.99999999999997</v>
      </c>
      <c r="R266" s="25"/>
    </row>
    <row r="267" spans="2:18" x14ac:dyDescent="0.25">
      <c r="B267" s="57" t="s">
        <v>10</v>
      </c>
      <c r="C267" s="35">
        <f>D267/(D265+D266+D267+D268+D269)*100</f>
        <v>18.421052631578945</v>
      </c>
      <c r="D267" s="125">
        <v>3.5</v>
      </c>
      <c r="E267" s="5">
        <v>1.07</v>
      </c>
      <c r="F267" s="5">
        <f t="shared" si="40"/>
        <v>37.450000000000003</v>
      </c>
      <c r="G267" s="5">
        <v>10.8</v>
      </c>
      <c r="H267" s="5">
        <f t="shared" si="41"/>
        <v>378.00000000000006</v>
      </c>
      <c r="I267" s="25"/>
      <c r="K267" s="33" t="s">
        <v>12</v>
      </c>
      <c r="L267" s="35">
        <f>M267/(M265+M266+M267+M268)*100</f>
        <v>40.54054054054054</v>
      </c>
      <c r="M267" s="73">
        <v>7.5</v>
      </c>
      <c r="N267" s="14">
        <v>0.46</v>
      </c>
      <c r="O267" s="14">
        <f t="shared" si="42"/>
        <v>34.5</v>
      </c>
      <c r="P267" s="14">
        <v>2.2000000000000002</v>
      </c>
      <c r="Q267" s="14">
        <f t="shared" si="43"/>
        <v>165</v>
      </c>
      <c r="R267" s="25"/>
    </row>
    <row r="268" spans="2:18" x14ac:dyDescent="0.25">
      <c r="B268" s="56" t="s">
        <v>12</v>
      </c>
      <c r="C268" s="35">
        <f>D268/(D265+D266+D267+D268+D269)*100</f>
        <v>36.84210526315789</v>
      </c>
      <c r="D268" s="125">
        <v>7</v>
      </c>
      <c r="E268" s="5">
        <v>0.46</v>
      </c>
      <c r="F268" s="5">
        <f t="shared" si="40"/>
        <v>32.200000000000003</v>
      </c>
      <c r="G268" s="5">
        <v>2.2000000000000002</v>
      </c>
      <c r="H268" s="5">
        <f t="shared" si="41"/>
        <v>154.00000000000003</v>
      </c>
      <c r="I268" s="25"/>
      <c r="K268" s="33" t="s">
        <v>14</v>
      </c>
      <c r="L268" s="35">
        <f>M268/(M265+M266+M267+M268)*100</f>
        <v>0</v>
      </c>
      <c r="M268" s="73">
        <v>0</v>
      </c>
      <c r="N268" s="5">
        <v>0.71</v>
      </c>
      <c r="O268" s="5">
        <f t="shared" si="42"/>
        <v>0</v>
      </c>
      <c r="P268" s="5">
        <v>3.7</v>
      </c>
      <c r="Q268" s="14">
        <f t="shared" si="43"/>
        <v>0</v>
      </c>
      <c r="R268" s="25"/>
    </row>
    <row r="269" spans="2:18" x14ac:dyDescent="0.25">
      <c r="B269" s="56" t="s">
        <v>14</v>
      </c>
      <c r="C269" s="35">
        <f>D269/(D265+D266+D267+D268+D269)*100</f>
        <v>0</v>
      </c>
      <c r="D269" s="125">
        <v>0</v>
      </c>
      <c r="E269" s="5">
        <v>0.71</v>
      </c>
      <c r="F269" s="5">
        <f t="shared" si="40"/>
        <v>0</v>
      </c>
      <c r="G269" s="5">
        <v>0</v>
      </c>
      <c r="H269" s="5">
        <f t="shared" si="41"/>
        <v>0</v>
      </c>
      <c r="I269" s="25"/>
      <c r="K269" s="33" t="s">
        <v>17</v>
      </c>
      <c r="L269" s="35">
        <f>M269/(M265+M266+M267+M268)*100</f>
        <v>35.135135135135137</v>
      </c>
      <c r="M269" s="73">
        <v>6.5</v>
      </c>
      <c r="N269" s="14">
        <v>3.43</v>
      </c>
      <c r="O269" s="14">
        <f t="shared" si="42"/>
        <v>222.95000000000005</v>
      </c>
      <c r="P269" s="14">
        <v>28.7</v>
      </c>
      <c r="Q269" s="14">
        <f t="shared" si="43"/>
        <v>1865.5</v>
      </c>
      <c r="R269" s="25"/>
    </row>
    <row r="270" spans="2:18" x14ac:dyDescent="0.25">
      <c r="B270" s="56" t="s">
        <v>17</v>
      </c>
      <c r="C270" s="35">
        <f>D270/(D265+D266+D267+D268+D269)*100</f>
        <v>36.84210526315789</v>
      </c>
      <c r="D270" s="125">
        <v>7</v>
      </c>
      <c r="E270" s="5">
        <v>3.4</v>
      </c>
      <c r="F270" s="5">
        <f t="shared" si="40"/>
        <v>238.00000000000003</v>
      </c>
      <c r="G270" s="5">
        <v>27.9</v>
      </c>
      <c r="H270" s="5">
        <f t="shared" si="41"/>
        <v>1952.9999999999998</v>
      </c>
      <c r="I270" s="25"/>
      <c r="K270" s="33" t="s">
        <v>21</v>
      </c>
      <c r="L270" s="41">
        <f>M270/(M265+M266+M267+M268+M269)*100</f>
        <v>5.2</v>
      </c>
      <c r="M270" s="73">
        <v>1.3</v>
      </c>
      <c r="N270" s="14">
        <v>0</v>
      </c>
      <c r="O270" s="14">
        <f t="shared" si="42"/>
        <v>0</v>
      </c>
      <c r="P270" s="14">
        <v>87.5</v>
      </c>
      <c r="Q270" s="14">
        <f t="shared" si="43"/>
        <v>1137.5</v>
      </c>
      <c r="R270" s="25"/>
    </row>
    <row r="271" spans="2:18" x14ac:dyDescent="0.25">
      <c r="B271" s="57" t="s">
        <v>21</v>
      </c>
      <c r="C271" s="41">
        <f>D271/(D265+D266+D267+D268+D269+D270)*100</f>
        <v>5.3846153846153841</v>
      </c>
      <c r="D271" s="126">
        <v>1.4</v>
      </c>
      <c r="E271" s="5">
        <v>0</v>
      </c>
      <c r="F271" s="5">
        <f t="shared" si="40"/>
        <v>0</v>
      </c>
      <c r="G271" s="5">
        <v>87.5</v>
      </c>
      <c r="H271" s="5">
        <f t="shared" si="41"/>
        <v>1224.9999999999998</v>
      </c>
      <c r="I271" s="25"/>
      <c r="K271" s="33" t="s">
        <v>49</v>
      </c>
      <c r="L271" s="48"/>
      <c r="M271" s="74">
        <v>0</v>
      </c>
      <c r="N271" s="14">
        <v>0</v>
      </c>
      <c r="O271" s="14">
        <f t="shared" si="42"/>
        <v>0</v>
      </c>
      <c r="P271" s="14">
        <v>0</v>
      </c>
      <c r="Q271" s="14">
        <f t="shared" si="43"/>
        <v>0</v>
      </c>
      <c r="R271" s="25"/>
    </row>
    <row r="272" spans="2:18" ht="30" x14ac:dyDescent="0.25">
      <c r="B272" s="57" t="s">
        <v>49</v>
      </c>
      <c r="C272" s="41"/>
      <c r="D272" s="129">
        <v>0</v>
      </c>
      <c r="E272" s="13">
        <v>0</v>
      </c>
      <c r="F272" s="5">
        <f t="shared" si="40"/>
        <v>0</v>
      </c>
      <c r="G272" s="5">
        <v>0</v>
      </c>
      <c r="H272" s="5">
        <f t="shared" si="41"/>
        <v>0</v>
      </c>
      <c r="I272" s="25"/>
      <c r="K272" s="33" t="s">
        <v>93</v>
      </c>
      <c r="L272" s="49"/>
      <c r="M272" s="73">
        <v>0</v>
      </c>
      <c r="N272" s="14">
        <v>20.5</v>
      </c>
      <c r="O272" s="14">
        <f t="shared" si="42"/>
        <v>0</v>
      </c>
      <c r="P272" s="14">
        <v>0</v>
      </c>
      <c r="Q272" s="14">
        <f t="shared" si="43"/>
        <v>0</v>
      </c>
      <c r="R272" s="25"/>
    </row>
    <row r="273" spans="2:18" x14ac:dyDescent="0.25">
      <c r="B273" s="57" t="s">
        <v>23</v>
      </c>
      <c r="C273" s="41"/>
      <c r="D273" s="126">
        <v>0.16</v>
      </c>
      <c r="E273" s="13">
        <v>20.5</v>
      </c>
      <c r="F273" s="5">
        <f t="shared" si="40"/>
        <v>32.799999999999997</v>
      </c>
      <c r="G273" s="5">
        <v>0</v>
      </c>
      <c r="H273" s="5">
        <f t="shared" si="41"/>
        <v>0</v>
      </c>
      <c r="I273" s="25" t="s">
        <v>92</v>
      </c>
      <c r="K273" s="33" t="s">
        <v>26</v>
      </c>
      <c r="L273" s="49"/>
      <c r="M273" s="75">
        <f>SUM(M265:M272)</f>
        <v>26.3</v>
      </c>
      <c r="N273" s="30"/>
      <c r="O273" s="31">
        <f>SUM(O265:O272)</f>
        <v>400.95000000000005</v>
      </c>
      <c r="P273" s="30"/>
      <c r="Q273" s="31">
        <f>SUM(Q265:Q272)</f>
        <v>4723</v>
      </c>
      <c r="R273" s="50" t="s">
        <v>6</v>
      </c>
    </row>
    <row r="274" spans="2:18" x14ac:dyDescent="0.25">
      <c r="B274" s="58" t="s">
        <v>26</v>
      </c>
      <c r="C274" s="42"/>
      <c r="D274" s="127">
        <f>SUM(D265:D273)</f>
        <v>27.56</v>
      </c>
      <c r="E274" s="9"/>
      <c r="F274" s="11">
        <f>SUM(F265:F273)</f>
        <v>411.85000000000008</v>
      </c>
      <c r="G274" s="9"/>
      <c r="H274" s="11">
        <f>SUM(H265:H273)</f>
        <v>5002</v>
      </c>
      <c r="I274" s="28"/>
      <c r="K274" s="230" t="s">
        <v>88</v>
      </c>
      <c r="L274" s="231"/>
      <c r="M274" s="231"/>
      <c r="N274" s="232"/>
      <c r="O274" s="14">
        <f>O273/M273/10</f>
        <v>1.5245247148288974</v>
      </c>
      <c r="P274" s="32"/>
      <c r="Q274" s="14">
        <f>Q273/M273/10</f>
        <v>17.958174904942965</v>
      </c>
      <c r="R274" s="11">
        <f>((100-Q274)*0.5)/O274</f>
        <v>26.907345055493202</v>
      </c>
    </row>
    <row r="275" spans="2:18" x14ac:dyDescent="0.25">
      <c r="B275" s="63"/>
      <c r="C275" s="47"/>
      <c r="D275" s="133"/>
      <c r="E275" s="27"/>
      <c r="F275" s="8">
        <f>F274/D274/10</f>
        <v>1.4943759071117566</v>
      </c>
      <c r="G275" s="12"/>
      <c r="H275" s="8">
        <f>H274/D274/10</f>
        <v>18.149492017416545</v>
      </c>
      <c r="I275" s="11">
        <f>((100-H275)*0.5)/F275</f>
        <v>27.386184290396979</v>
      </c>
    </row>
    <row r="276" spans="2:18" x14ac:dyDescent="0.25">
      <c r="B276" s="60"/>
      <c r="C276" s="44"/>
      <c r="D276" s="134"/>
      <c r="E276" s="16"/>
    </row>
    <row r="277" spans="2:18" x14ac:dyDescent="0.25">
      <c r="B277" s="253" t="s">
        <v>91</v>
      </c>
      <c r="C277" s="254"/>
      <c r="D277" s="254"/>
      <c r="E277" s="254"/>
      <c r="F277" s="254"/>
      <c r="G277" s="254"/>
      <c r="H277" s="254"/>
      <c r="I277" s="255"/>
      <c r="K277" s="253" t="s">
        <v>95</v>
      </c>
      <c r="L277" s="254"/>
      <c r="M277" s="254"/>
      <c r="N277" s="254"/>
      <c r="O277" s="254"/>
      <c r="P277" s="254"/>
      <c r="Q277" s="254"/>
      <c r="R277" s="255"/>
    </row>
    <row r="278" spans="2:18" x14ac:dyDescent="0.25">
      <c r="B278" s="219" t="s">
        <v>0</v>
      </c>
      <c r="C278" s="227" t="s">
        <v>1</v>
      </c>
      <c r="D278" s="219" t="s">
        <v>47</v>
      </c>
      <c r="E278" s="221" t="s">
        <v>46</v>
      </c>
      <c r="F278" s="222"/>
      <c r="G278" s="222"/>
      <c r="H278" s="223"/>
      <c r="I278" s="229" t="s">
        <v>102</v>
      </c>
      <c r="K278" s="219" t="s">
        <v>0</v>
      </c>
      <c r="L278" s="227" t="s">
        <v>1</v>
      </c>
      <c r="M278" s="219" t="s">
        <v>47</v>
      </c>
      <c r="N278" s="221" t="s">
        <v>46</v>
      </c>
      <c r="O278" s="222"/>
      <c r="P278" s="222"/>
      <c r="Q278" s="223"/>
      <c r="R278" s="229" t="s">
        <v>102</v>
      </c>
    </row>
    <row r="279" spans="2:18" x14ac:dyDescent="0.25">
      <c r="B279" s="220"/>
      <c r="C279" s="228"/>
      <c r="D279" s="220"/>
      <c r="E279" s="2" t="s">
        <v>42</v>
      </c>
      <c r="F279" s="2" t="s">
        <v>43</v>
      </c>
      <c r="G279" s="2" t="s">
        <v>44</v>
      </c>
      <c r="H279" s="2" t="s">
        <v>45</v>
      </c>
      <c r="I279" s="229"/>
      <c r="K279" s="220"/>
      <c r="L279" s="228"/>
      <c r="M279" s="220"/>
      <c r="N279" s="2" t="s">
        <v>42</v>
      </c>
      <c r="O279" s="2" t="s">
        <v>43</v>
      </c>
      <c r="P279" s="2" t="s">
        <v>44</v>
      </c>
      <c r="Q279" s="2" t="s">
        <v>45</v>
      </c>
      <c r="R279" s="229"/>
    </row>
    <row r="280" spans="2:18" x14ac:dyDescent="0.25">
      <c r="B280" s="56" t="s">
        <v>75</v>
      </c>
      <c r="C280" s="35">
        <f>D280/(D280+D281+D282+D283)*100</f>
        <v>53.846153846153847</v>
      </c>
      <c r="D280" s="125">
        <v>10.5</v>
      </c>
      <c r="E280" s="5">
        <v>1.33</v>
      </c>
      <c r="F280" s="5">
        <f t="shared" ref="F280:F287" si="44">(D280*E280%)*1000</f>
        <v>139.65000000000003</v>
      </c>
      <c r="G280" s="5">
        <v>14.7</v>
      </c>
      <c r="H280" s="5">
        <f t="shared" ref="H280:H287" si="45">(D280*G280%)*1000</f>
        <v>1543.4999999999998</v>
      </c>
      <c r="I280" s="51">
        <f>D280+D281+D282+D283</f>
        <v>19.5</v>
      </c>
      <c r="K280" s="56" t="s">
        <v>75</v>
      </c>
      <c r="L280" s="35">
        <f>M280/(M280+M281+M282+M283)*100</f>
        <v>52.083333333333336</v>
      </c>
      <c r="M280" s="64">
        <v>10</v>
      </c>
      <c r="N280" s="5">
        <v>1.33</v>
      </c>
      <c r="O280" s="5">
        <f t="shared" ref="O280:O287" si="46">(M280*N280%)*1000</f>
        <v>133</v>
      </c>
      <c r="P280" s="5">
        <v>14.7</v>
      </c>
      <c r="Q280" s="5">
        <f t="shared" ref="Q280:Q287" si="47">(M280*P280%)*1000</f>
        <v>1470</v>
      </c>
      <c r="R280" s="51">
        <f>M280+M281+M282+M283</f>
        <v>19.2</v>
      </c>
    </row>
    <row r="281" spans="2:18" x14ac:dyDescent="0.25">
      <c r="B281" s="57" t="s">
        <v>10</v>
      </c>
      <c r="C281" s="35">
        <f>D281/(D280+D281+D282+D283)*100</f>
        <v>5.1282051282051277</v>
      </c>
      <c r="D281" s="125">
        <v>1</v>
      </c>
      <c r="E281" s="5">
        <v>1.07</v>
      </c>
      <c r="F281" s="5">
        <f t="shared" si="44"/>
        <v>10.700000000000001</v>
      </c>
      <c r="G281" s="5">
        <v>10.8</v>
      </c>
      <c r="H281" s="5">
        <f t="shared" si="45"/>
        <v>108.00000000000001</v>
      </c>
      <c r="I281" s="25"/>
      <c r="K281" s="57" t="s">
        <v>10</v>
      </c>
      <c r="L281" s="35">
        <f>M281/(M280+M281+M282+M283)*100</f>
        <v>5.2083333333333339</v>
      </c>
      <c r="M281" s="64">
        <v>1</v>
      </c>
      <c r="N281" s="5">
        <v>1.07</v>
      </c>
      <c r="O281" s="5">
        <f t="shared" si="46"/>
        <v>10.700000000000001</v>
      </c>
      <c r="P281" s="5">
        <v>10.8</v>
      </c>
      <c r="Q281" s="5">
        <f t="shared" si="47"/>
        <v>108.00000000000001</v>
      </c>
      <c r="R281" s="25"/>
    </row>
    <row r="282" spans="2:18" x14ac:dyDescent="0.25">
      <c r="B282" s="56" t="s">
        <v>12</v>
      </c>
      <c r="C282" s="35">
        <f>D282/(D280+D281+D282+D283)*100</f>
        <v>41.025641025641022</v>
      </c>
      <c r="D282" s="125">
        <v>8</v>
      </c>
      <c r="E282" s="5">
        <v>0.46</v>
      </c>
      <c r="F282" s="5">
        <f t="shared" si="44"/>
        <v>36.799999999999997</v>
      </c>
      <c r="G282" s="5">
        <v>2.2000000000000002</v>
      </c>
      <c r="H282" s="5">
        <f t="shared" si="45"/>
        <v>176.00000000000003</v>
      </c>
      <c r="I282" s="25"/>
      <c r="K282" s="56" t="s">
        <v>12</v>
      </c>
      <c r="L282" s="35">
        <f>M282/(M280+M281+M282+M283)*100</f>
        <v>37.5</v>
      </c>
      <c r="M282" s="64">
        <v>7.2</v>
      </c>
      <c r="N282" s="5">
        <v>0.46</v>
      </c>
      <c r="O282" s="5">
        <f t="shared" si="46"/>
        <v>33.120000000000005</v>
      </c>
      <c r="P282" s="5">
        <v>2.2000000000000002</v>
      </c>
      <c r="Q282" s="5">
        <f t="shared" si="47"/>
        <v>158.4</v>
      </c>
      <c r="R282" s="25"/>
    </row>
    <row r="283" spans="2:18" x14ac:dyDescent="0.25">
      <c r="B283" s="56" t="s">
        <v>14</v>
      </c>
      <c r="C283" s="35">
        <f>D283/(D280+D281+D282+D283)*100</f>
        <v>0</v>
      </c>
      <c r="D283" s="125">
        <v>0</v>
      </c>
      <c r="E283" s="5">
        <v>0.71</v>
      </c>
      <c r="F283" s="5">
        <f t="shared" si="44"/>
        <v>0</v>
      </c>
      <c r="G283" s="5">
        <v>3.7</v>
      </c>
      <c r="H283" s="5">
        <f t="shared" si="45"/>
        <v>0</v>
      </c>
      <c r="I283" s="25"/>
      <c r="K283" s="56" t="s">
        <v>14</v>
      </c>
      <c r="L283" s="35">
        <f>M283/(M280+M281+M282+M283)*100</f>
        <v>5.2083333333333339</v>
      </c>
      <c r="M283" s="64">
        <v>1</v>
      </c>
      <c r="N283" s="5">
        <v>0.77</v>
      </c>
      <c r="O283" s="5">
        <f t="shared" si="46"/>
        <v>7.7</v>
      </c>
      <c r="P283" s="5">
        <v>3.7</v>
      </c>
      <c r="Q283" s="5">
        <f t="shared" si="47"/>
        <v>37.000000000000007</v>
      </c>
      <c r="R283" s="25"/>
    </row>
    <row r="284" spans="2:18" x14ac:dyDescent="0.25">
      <c r="B284" s="56" t="s">
        <v>17</v>
      </c>
      <c r="C284" s="35">
        <f>D284/(D280+D281+D282+D283)*100</f>
        <v>30.76923076923077</v>
      </c>
      <c r="D284" s="125">
        <v>6</v>
      </c>
      <c r="E284" s="5">
        <v>3.22</v>
      </c>
      <c r="F284" s="5">
        <f t="shared" si="44"/>
        <v>193.2</v>
      </c>
      <c r="G284" s="5">
        <v>26.7</v>
      </c>
      <c r="H284" s="5">
        <f t="shared" si="45"/>
        <v>1602</v>
      </c>
      <c r="I284" s="25"/>
      <c r="K284" s="56" t="s">
        <v>17</v>
      </c>
      <c r="L284" s="35"/>
      <c r="M284" s="64">
        <v>6</v>
      </c>
      <c r="N284" s="5">
        <v>3.29</v>
      </c>
      <c r="O284" s="5">
        <f t="shared" si="46"/>
        <v>197.4</v>
      </c>
      <c r="P284" s="5">
        <v>28.6</v>
      </c>
      <c r="Q284" s="5">
        <f t="shared" si="47"/>
        <v>1716.0000000000002</v>
      </c>
      <c r="R284" s="25"/>
    </row>
    <row r="285" spans="2:18" x14ac:dyDescent="0.25">
      <c r="B285" s="57" t="s">
        <v>21</v>
      </c>
      <c r="C285" s="41">
        <f>D285/(D280+D281+D282+D283+D284)*100</f>
        <v>6.4705882352941169</v>
      </c>
      <c r="D285" s="126">
        <v>1.65</v>
      </c>
      <c r="E285" s="5">
        <v>0</v>
      </c>
      <c r="F285" s="5">
        <f t="shared" si="44"/>
        <v>0</v>
      </c>
      <c r="G285" s="5">
        <v>87.5</v>
      </c>
      <c r="H285" s="5">
        <f t="shared" si="45"/>
        <v>1443.7499999999998</v>
      </c>
      <c r="I285" s="25"/>
      <c r="K285" s="57" t="s">
        <v>21</v>
      </c>
      <c r="L285" s="41"/>
      <c r="M285" s="65">
        <v>1.55</v>
      </c>
      <c r="N285" s="5">
        <v>0</v>
      </c>
      <c r="O285" s="5">
        <f t="shared" si="46"/>
        <v>0</v>
      </c>
      <c r="P285" s="5">
        <v>87.5</v>
      </c>
      <c r="Q285" s="5">
        <f t="shared" si="47"/>
        <v>1356.25</v>
      </c>
      <c r="R285" s="25"/>
    </row>
    <row r="286" spans="2:18" x14ac:dyDescent="0.25">
      <c r="B286" s="57" t="s">
        <v>49</v>
      </c>
      <c r="C286" s="41"/>
      <c r="D286" s="129">
        <v>0</v>
      </c>
      <c r="E286" s="13">
        <v>0</v>
      </c>
      <c r="F286" s="5">
        <f t="shared" si="44"/>
        <v>0</v>
      </c>
      <c r="G286" s="5">
        <v>0</v>
      </c>
      <c r="H286" s="5">
        <f t="shared" si="45"/>
        <v>0</v>
      </c>
      <c r="I286" s="25"/>
      <c r="K286" s="57" t="s">
        <v>49</v>
      </c>
      <c r="L286" s="41"/>
      <c r="M286" s="67">
        <v>0</v>
      </c>
      <c r="N286" s="13">
        <v>0</v>
      </c>
      <c r="O286" s="5">
        <f t="shared" si="46"/>
        <v>0</v>
      </c>
      <c r="P286" s="5">
        <v>0</v>
      </c>
      <c r="Q286" s="5">
        <f t="shared" si="47"/>
        <v>0</v>
      </c>
      <c r="R286" s="25"/>
    </row>
    <row r="287" spans="2:18" x14ac:dyDescent="0.25">
      <c r="B287" s="57" t="s">
        <v>23</v>
      </c>
      <c r="C287" s="41"/>
      <c r="D287" s="126">
        <v>0.125</v>
      </c>
      <c r="E287" s="13">
        <v>20.5</v>
      </c>
      <c r="F287" s="5">
        <f t="shared" si="44"/>
        <v>25.625</v>
      </c>
      <c r="G287" s="5">
        <v>0</v>
      </c>
      <c r="H287" s="5">
        <f t="shared" si="45"/>
        <v>0</v>
      </c>
      <c r="I287" s="25"/>
      <c r="K287" s="57" t="s">
        <v>23</v>
      </c>
      <c r="L287" s="41"/>
      <c r="M287" s="65">
        <v>0.1</v>
      </c>
      <c r="N287" s="13">
        <v>20.5</v>
      </c>
      <c r="O287" s="5">
        <f t="shared" si="46"/>
        <v>20.5</v>
      </c>
      <c r="P287" s="5">
        <v>0</v>
      </c>
      <c r="Q287" s="5">
        <f t="shared" si="47"/>
        <v>0</v>
      </c>
      <c r="R287" s="25"/>
    </row>
    <row r="288" spans="2:18" x14ac:dyDescent="0.25">
      <c r="B288" s="58" t="s">
        <v>26</v>
      </c>
      <c r="C288" s="42"/>
      <c r="D288" s="127">
        <f>SUM(D280:D287)</f>
        <v>27.274999999999999</v>
      </c>
      <c r="E288" s="9"/>
      <c r="F288" s="11">
        <f>SUM(F280:F287)</f>
        <v>405.97500000000002</v>
      </c>
      <c r="G288" s="9"/>
      <c r="H288" s="11">
        <f>SUM(H280:H287)</f>
        <v>4873.25</v>
      </c>
      <c r="I288" s="50" t="s">
        <v>6</v>
      </c>
      <c r="K288" s="58" t="s">
        <v>26</v>
      </c>
      <c r="L288" s="42"/>
      <c r="M288" s="66">
        <f>SUM(M280:M287)</f>
        <v>26.85</v>
      </c>
      <c r="N288" s="9"/>
      <c r="O288" s="11">
        <f>SUM(O280:O287)</f>
        <v>402.41999999999996</v>
      </c>
      <c r="P288" s="9"/>
      <c r="Q288" s="11">
        <f>SUM(Q280:Q287)</f>
        <v>4845.6500000000005</v>
      </c>
      <c r="R288" s="50" t="s">
        <v>6</v>
      </c>
    </row>
    <row r="289" spans="2:18" x14ac:dyDescent="0.25">
      <c r="B289" s="230"/>
      <c r="C289" s="231"/>
      <c r="D289" s="231"/>
      <c r="E289" s="232"/>
      <c r="F289" s="8">
        <f>F288/D288/10</f>
        <v>1.4884509624197986</v>
      </c>
      <c r="G289" s="12"/>
      <c r="H289" s="8">
        <f>H288/D288/10</f>
        <v>17.867094408799268</v>
      </c>
      <c r="I289" s="11">
        <f>((100-H289)*0.5)/F289</f>
        <v>27.590060964345092</v>
      </c>
      <c r="K289" s="230"/>
      <c r="L289" s="231"/>
      <c r="M289" s="231"/>
      <c r="N289" s="232"/>
      <c r="O289" s="8">
        <f>O288/M288/10</f>
        <v>1.49877094972067</v>
      </c>
      <c r="P289" s="12"/>
      <c r="Q289" s="8">
        <f>Q288/M288/10</f>
        <v>18.047113594040969</v>
      </c>
      <c r="R289" s="11">
        <f>((100-Q289)*0.5)/O289</f>
        <v>27.34003031658467</v>
      </c>
    </row>
    <row r="291" spans="2:18" ht="15.75" x14ac:dyDescent="0.25">
      <c r="B291" s="273" t="s">
        <v>94</v>
      </c>
      <c r="C291" s="274"/>
      <c r="D291" s="274"/>
      <c r="E291" s="274"/>
      <c r="F291" s="274"/>
      <c r="G291" s="274"/>
      <c r="H291" s="274"/>
      <c r="I291" s="275"/>
      <c r="K291" s="253" t="s">
        <v>103</v>
      </c>
      <c r="L291" s="254"/>
      <c r="M291" s="254"/>
      <c r="N291" s="254"/>
      <c r="O291" s="254"/>
      <c r="P291" s="254"/>
      <c r="Q291" s="254"/>
      <c r="R291" s="255"/>
    </row>
    <row r="292" spans="2:18" ht="15.75" x14ac:dyDescent="0.25">
      <c r="B292" s="266" t="s">
        <v>0</v>
      </c>
      <c r="C292" s="271" t="s">
        <v>1</v>
      </c>
      <c r="D292" s="266" t="s">
        <v>47</v>
      </c>
      <c r="E292" s="262" t="s">
        <v>46</v>
      </c>
      <c r="F292" s="263"/>
      <c r="G292" s="263"/>
      <c r="H292" s="264"/>
      <c r="I292" s="265" t="s">
        <v>102</v>
      </c>
      <c r="K292" s="219" t="s">
        <v>0</v>
      </c>
      <c r="L292" s="227" t="s">
        <v>1</v>
      </c>
      <c r="M292" s="219" t="s">
        <v>47</v>
      </c>
      <c r="N292" s="221" t="s">
        <v>46</v>
      </c>
      <c r="O292" s="222"/>
      <c r="P292" s="222"/>
      <c r="Q292" s="223"/>
      <c r="R292" s="229" t="s">
        <v>102</v>
      </c>
    </row>
    <row r="293" spans="2:18" ht="15.75" x14ac:dyDescent="0.25">
      <c r="B293" s="267"/>
      <c r="C293" s="272"/>
      <c r="D293" s="267"/>
      <c r="E293" s="95" t="s">
        <v>42</v>
      </c>
      <c r="F293" s="95" t="s">
        <v>43</v>
      </c>
      <c r="G293" s="95" t="s">
        <v>44</v>
      </c>
      <c r="H293" s="95" t="s">
        <v>45</v>
      </c>
      <c r="I293" s="265"/>
      <c r="K293" s="220"/>
      <c r="L293" s="228"/>
      <c r="M293" s="220"/>
      <c r="N293" s="2" t="s">
        <v>42</v>
      </c>
      <c r="O293" s="2" t="s">
        <v>43</v>
      </c>
      <c r="P293" s="2" t="s">
        <v>44</v>
      </c>
      <c r="Q293" s="2" t="s">
        <v>45</v>
      </c>
      <c r="R293" s="229"/>
    </row>
    <row r="294" spans="2:18" ht="15.75" x14ac:dyDescent="0.25">
      <c r="B294" s="96" t="s">
        <v>75</v>
      </c>
      <c r="C294" s="97">
        <f>D294/(D294+D295+D296+D297)*100</f>
        <v>54.123711340206192</v>
      </c>
      <c r="D294" s="135">
        <v>10.5</v>
      </c>
      <c r="E294" s="98">
        <v>1.33</v>
      </c>
      <c r="F294" s="98">
        <f t="shared" ref="F294:F301" si="48">(D294*E294%)*1000</f>
        <v>139.65000000000003</v>
      </c>
      <c r="G294" s="98">
        <v>14.7</v>
      </c>
      <c r="H294" s="98">
        <f t="shared" ref="H294:H301" si="49">(D294*G294%)*1000</f>
        <v>1543.4999999999998</v>
      </c>
      <c r="I294" s="99">
        <f>D294+D295+D296+D297</f>
        <v>19.399999999999999</v>
      </c>
      <c r="K294" s="56" t="s">
        <v>97</v>
      </c>
      <c r="L294" s="35">
        <f>M294/(M294+M295+M296+M297)*100</f>
        <v>51.282051282051277</v>
      </c>
      <c r="M294" s="64">
        <v>10</v>
      </c>
      <c r="N294" s="5">
        <v>1.33</v>
      </c>
      <c r="O294" s="5">
        <f t="shared" ref="O294:O301" si="50">(M294*N294%)*1000</f>
        <v>133</v>
      </c>
      <c r="P294" s="5">
        <v>14.7</v>
      </c>
      <c r="Q294" s="5">
        <f t="shared" ref="Q294:Q301" si="51">(M294*P294%)*1000</f>
        <v>1470</v>
      </c>
      <c r="R294" s="51">
        <f>M294+M295+M296+M297</f>
        <v>19.5</v>
      </c>
    </row>
    <row r="295" spans="2:18" ht="15.75" x14ac:dyDescent="0.25">
      <c r="B295" s="100" t="s">
        <v>10</v>
      </c>
      <c r="C295" s="97">
        <f>D295/(D294+D295+D296+D297)*100</f>
        <v>8.7628865979381452</v>
      </c>
      <c r="D295" s="135">
        <v>1.7</v>
      </c>
      <c r="E295" s="98">
        <v>1.19</v>
      </c>
      <c r="F295" s="98">
        <f t="shared" si="48"/>
        <v>20.229999999999997</v>
      </c>
      <c r="G295" s="98">
        <v>11.6</v>
      </c>
      <c r="H295" s="98">
        <f t="shared" si="49"/>
        <v>197.2</v>
      </c>
      <c r="I295" s="101"/>
      <c r="K295" s="57" t="s">
        <v>10</v>
      </c>
      <c r="L295" s="35">
        <f>M295/(M294+M295+M296+M297)*100</f>
        <v>0</v>
      </c>
      <c r="M295" s="64">
        <v>0</v>
      </c>
      <c r="N295" s="5">
        <v>1.19</v>
      </c>
      <c r="O295" s="5">
        <f t="shared" si="50"/>
        <v>0</v>
      </c>
      <c r="P295" s="5">
        <v>11.6</v>
      </c>
      <c r="Q295" s="5">
        <f t="shared" si="51"/>
        <v>0</v>
      </c>
      <c r="R295" s="25"/>
    </row>
    <row r="296" spans="2:18" ht="15.75" x14ac:dyDescent="0.25">
      <c r="B296" s="96" t="s">
        <v>12</v>
      </c>
      <c r="C296" s="97">
        <f>D296/(D294+D295+D296+D297)*100</f>
        <v>37.113402061855673</v>
      </c>
      <c r="D296" s="135">
        <v>7.2</v>
      </c>
      <c r="E296" s="98">
        <v>0.46</v>
      </c>
      <c r="F296" s="98">
        <f t="shared" si="48"/>
        <v>33.120000000000005</v>
      </c>
      <c r="G296" s="98">
        <v>2.2000000000000002</v>
      </c>
      <c r="H296" s="98">
        <f t="shared" si="49"/>
        <v>158.4</v>
      </c>
      <c r="I296" s="101"/>
      <c r="K296" s="56" t="s">
        <v>96</v>
      </c>
      <c r="L296" s="35">
        <f>M296/(M294+M295+M296+M297)*100</f>
        <v>48.717948717948715</v>
      </c>
      <c r="M296" s="64">
        <v>9.5</v>
      </c>
      <c r="N296" s="5">
        <v>0.46</v>
      </c>
      <c r="O296" s="5">
        <f t="shared" si="50"/>
        <v>43.7</v>
      </c>
      <c r="P296" s="5">
        <v>2.2000000000000002</v>
      </c>
      <c r="Q296" s="5">
        <f t="shared" si="51"/>
        <v>209.00000000000003</v>
      </c>
      <c r="R296" s="25"/>
    </row>
    <row r="297" spans="2:18" ht="15.75" x14ac:dyDescent="0.25">
      <c r="B297" s="96" t="s">
        <v>14</v>
      </c>
      <c r="C297" s="97">
        <f>D297/(D294+D295+D296+D297)*100</f>
        <v>0</v>
      </c>
      <c r="D297" s="135">
        <v>0</v>
      </c>
      <c r="E297" s="5">
        <v>0.71</v>
      </c>
      <c r="F297" s="5">
        <f t="shared" si="48"/>
        <v>0</v>
      </c>
      <c r="G297" s="5">
        <v>3.7</v>
      </c>
      <c r="H297" s="98">
        <f t="shared" si="49"/>
        <v>0</v>
      </c>
      <c r="I297" s="101"/>
      <c r="K297" s="56" t="s">
        <v>14</v>
      </c>
      <c r="L297" s="35">
        <f>M297/(M294+M295+M296+M297)*100</f>
        <v>0</v>
      </c>
      <c r="M297" s="64">
        <v>0</v>
      </c>
      <c r="N297" s="5">
        <v>0.71</v>
      </c>
      <c r="O297" s="5">
        <f t="shared" si="50"/>
        <v>0</v>
      </c>
      <c r="P297" s="5">
        <v>3.7</v>
      </c>
      <c r="Q297" s="5">
        <f t="shared" si="51"/>
        <v>0</v>
      </c>
      <c r="R297" s="25"/>
    </row>
    <row r="298" spans="2:18" ht="15.75" x14ac:dyDescent="0.25">
      <c r="B298" s="96" t="s">
        <v>17</v>
      </c>
      <c r="C298" s="97"/>
      <c r="D298" s="135">
        <v>6</v>
      </c>
      <c r="E298" s="98">
        <v>3.29</v>
      </c>
      <c r="F298" s="98">
        <f t="shared" si="48"/>
        <v>197.4</v>
      </c>
      <c r="G298" s="98">
        <v>28.7</v>
      </c>
      <c r="H298" s="98">
        <f t="shared" si="49"/>
        <v>1722</v>
      </c>
      <c r="I298" s="101"/>
      <c r="K298" s="56" t="s">
        <v>17</v>
      </c>
      <c r="L298" s="35"/>
      <c r="M298" s="64">
        <v>6</v>
      </c>
      <c r="N298" s="5">
        <v>3.5</v>
      </c>
      <c r="O298" s="5">
        <f t="shared" si="50"/>
        <v>210.00000000000003</v>
      </c>
      <c r="P298" s="5">
        <v>27.7</v>
      </c>
      <c r="Q298" s="5">
        <f t="shared" si="51"/>
        <v>1662</v>
      </c>
      <c r="R298" s="25"/>
    </row>
    <row r="299" spans="2:18" ht="15.75" x14ac:dyDescent="0.25">
      <c r="B299" s="100" t="s">
        <v>21</v>
      </c>
      <c r="C299" s="102"/>
      <c r="D299" s="136">
        <v>1.4</v>
      </c>
      <c r="E299" s="98">
        <v>0</v>
      </c>
      <c r="F299" s="98">
        <f t="shared" si="48"/>
        <v>0</v>
      </c>
      <c r="G299" s="98">
        <v>87.5</v>
      </c>
      <c r="H299" s="98">
        <f t="shared" si="49"/>
        <v>1224.9999999999998</v>
      </c>
      <c r="I299" s="101"/>
      <c r="K299" s="57" t="s">
        <v>21</v>
      </c>
      <c r="L299" s="41"/>
      <c r="M299" s="65">
        <v>1.7</v>
      </c>
      <c r="N299" s="5">
        <v>0</v>
      </c>
      <c r="O299" s="5">
        <f t="shared" si="50"/>
        <v>0</v>
      </c>
      <c r="P299" s="5">
        <v>87.5</v>
      </c>
      <c r="Q299" s="5">
        <f t="shared" si="51"/>
        <v>1487.5</v>
      </c>
      <c r="R299" s="25"/>
    </row>
    <row r="300" spans="2:18" ht="15.75" x14ac:dyDescent="0.25">
      <c r="B300" s="100" t="s">
        <v>49</v>
      </c>
      <c r="C300" s="102"/>
      <c r="D300" s="137">
        <v>0</v>
      </c>
      <c r="E300" s="103">
        <v>0</v>
      </c>
      <c r="F300" s="98">
        <f t="shared" si="48"/>
        <v>0</v>
      </c>
      <c r="G300" s="98">
        <v>0</v>
      </c>
      <c r="H300" s="98">
        <f t="shared" si="49"/>
        <v>0</v>
      </c>
      <c r="I300" s="101"/>
      <c r="K300" s="57" t="s">
        <v>49</v>
      </c>
      <c r="L300" s="41"/>
      <c r="M300" s="67">
        <v>0</v>
      </c>
      <c r="N300" s="13">
        <v>0</v>
      </c>
      <c r="O300" s="5">
        <f t="shared" si="50"/>
        <v>0</v>
      </c>
      <c r="P300" s="5">
        <v>0</v>
      </c>
      <c r="Q300" s="5">
        <f t="shared" si="51"/>
        <v>0</v>
      </c>
      <c r="R300" s="25"/>
    </row>
    <row r="301" spans="2:18" ht="15.75" x14ac:dyDescent="0.25">
      <c r="B301" s="100" t="s">
        <v>23</v>
      </c>
      <c r="C301" s="102"/>
      <c r="D301" s="136"/>
      <c r="E301" s="103">
        <v>20.5</v>
      </c>
      <c r="F301" s="98">
        <f t="shared" si="48"/>
        <v>0</v>
      </c>
      <c r="G301" s="98">
        <v>0</v>
      </c>
      <c r="H301" s="98">
        <f t="shared" si="49"/>
        <v>0</v>
      </c>
      <c r="I301" s="101"/>
      <c r="K301" s="57" t="s">
        <v>23</v>
      </c>
      <c r="L301" s="41"/>
      <c r="M301" s="65">
        <v>0.1</v>
      </c>
      <c r="N301" s="13">
        <v>20.5</v>
      </c>
      <c r="O301" s="5">
        <f t="shared" si="50"/>
        <v>20.5</v>
      </c>
      <c r="P301" s="5">
        <v>0</v>
      </c>
      <c r="Q301" s="5">
        <f t="shared" si="51"/>
        <v>0</v>
      </c>
      <c r="R301" s="25"/>
    </row>
    <row r="302" spans="2:18" ht="15.75" x14ac:dyDescent="0.25">
      <c r="B302" s="104" t="s">
        <v>26</v>
      </c>
      <c r="C302" s="105"/>
      <c r="D302" s="138">
        <f>SUM(D294:D301)</f>
        <v>26.799999999999997</v>
      </c>
      <c r="E302" s="106"/>
      <c r="F302" s="107">
        <f>SUM(F294:F301)</f>
        <v>390.40000000000003</v>
      </c>
      <c r="G302" s="106"/>
      <c r="H302" s="107">
        <f>SUM(H294:H301)</f>
        <v>4846.0999999999995</v>
      </c>
      <c r="I302" s="108" t="s">
        <v>6</v>
      </c>
      <c r="K302" s="58" t="s">
        <v>26</v>
      </c>
      <c r="L302" s="42"/>
      <c r="M302" s="66">
        <f>SUM(M294:M301)</f>
        <v>27.3</v>
      </c>
      <c r="N302" s="9"/>
      <c r="O302" s="11">
        <f>SUM(O294:O301)</f>
        <v>407.20000000000005</v>
      </c>
      <c r="P302" s="9"/>
      <c r="Q302" s="11">
        <f>SUM(Q294:Q301)</f>
        <v>4828.5</v>
      </c>
      <c r="R302" s="55" t="s">
        <v>6</v>
      </c>
    </row>
    <row r="303" spans="2:18" ht="15.75" x14ac:dyDescent="0.25">
      <c r="B303" s="259"/>
      <c r="C303" s="260"/>
      <c r="D303" s="260"/>
      <c r="E303" s="261"/>
      <c r="F303" s="109">
        <f>F302/D302/10</f>
        <v>1.4567164179104481</v>
      </c>
      <c r="G303" s="110"/>
      <c r="H303" s="109">
        <f>H302/D302/10</f>
        <v>18.082462686567162</v>
      </c>
      <c r="I303" s="107">
        <f>((100-H303)*0.5)/F303</f>
        <v>28.117187499999989</v>
      </c>
      <c r="K303" s="230" t="s">
        <v>88</v>
      </c>
      <c r="L303" s="231"/>
      <c r="M303" s="231"/>
      <c r="N303" s="232"/>
      <c r="O303" s="8">
        <f>O302/M302/10</f>
        <v>1.4915750915750918</v>
      </c>
      <c r="P303" s="12"/>
      <c r="Q303" s="8">
        <f>Q302/M302/10</f>
        <v>17.686813186813186</v>
      </c>
      <c r="R303" s="11">
        <f>((100-Q303)*0.5)/O303</f>
        <v>27.592706286836933</v>
      </c>
    </row>
    <row r="304" spans="2:18" ht="15.75" x14ac:dyDescent="0.25">
      <c r="B304" s="111"/>
      <c r="C304" s="112"/>
      <c r="D304" s="139"/>
      <c r="E304" s="113"/>
      <c r="F304" s="113"/>
      <c r="G304" s="113"/>
      <c r="H304" s="113"/>
      <c r="I304" s="113"/>
    </row>
    <row r="306" spans="2:18" x14ac:dyDescent="0.25">
      <c r="B306" s="253" t="s">
        <v>106</v>
      </c>
      <c r="C306" s="254"/>
      <c r="D306" s="254"/>
      <c r="E306" s="254"/>
      <c r="F306" s="254"/>
      <c r="G306" s="254"/>
      <c r="H306" s="254"/>
      <c r="I306" s="255"/>
      <c r="K306" s="253" t="s">
        <v>128</v>
      </c>
      <c r="L306" s="254"/>
      <c r="M306" s="254"/>
      <c r="N306" s="254"/>
      <c r="O306" s="254"/>
      <c r="P306" s="254"/>
      <c r="Q306" s="254"/>
      <c r="R306" s="255"/>
    </row>
    <row r="307" spans="2:18" x14ac:dyDescent="0.25">
      <c r="B307" s="219" t="s">
        <v>0</v>
      </c>
      <c r="C307" s="227" t="s">
        <v>1</v>
      </c>
      <c r="D307" s="219" t="s">
        <v>47</v>
      </c>
      <c r="E307" s="221" t="s">
        <v>46</v>
      </c>
      <c r="F307" s="222"/>
      <c r="G307" s="222"/>
      <c r="H307" s="223"/>
      <c r="I307" s="229" t="s">
        <v>102</v>
      </c>
      <c r="K307" s="219" t="s">
        <v>0</v>
      </c>
      <c r="L307" s="227" t="s">
        <v>1</v>
      </c>
      <c r="M307" s="219" t="s">
        <v>47</v>
      </c>
      <c r="N307" s="221" t="s">
        <v>46</v>
      </c>
      <c r="O307" s="222"/>
      <c r="P307" s="222"/>
      <c r="Q307" s="223"/>
      <c r="R307" s="229" t="s">
        <v>102</v>
      </c>
    </row>
    <row r="308" spans="2:18" x14ac:dyDescent="0.25">
      <c r="B308" s="220"/>
      <c r="C308" s="228"/>
      <c r="D308" s="220"/>
      <c r="E308" s="2" t="s">
        <v>42</v>
      </c>
      <c r="F308" s="2" t="s">
        <v>43</v>
      </c>
      <c r="G308" s="2" t="s">
        <v>44</v>
      </c>
      <c r="H308" s="2" t="s">
        <v>45</v>
      </c>
      <c r="I308" s="229"/>
      <c r="K308" s="220"/>
      <c r="L308" s="228"/>
      <c r="M308" s="220"/>
      <c r="N308" s="2" t="s">
        <v>42</v>
      </c>
      <c r="O308" s="2" t="s">
        <v>43</v>
      </c>
      <c r="P308" s="2" t="s">
        <v>44</v>
      </c>
      <c r="Q308" s="2" t="s">
        <v>45</v>
      </c>
      <c r="R308" s="229"/>
    </row>
    <row r="309" spans="2:18" x14ac:dyDescent="0.25">
      <c r="B309" s="56" t="s">
        <v>76</v>
      </c>
      <c r="C309" s="35">
        <f>D309/(D309+D310+D311+D312)*100</f>
        <v>51.282051282051277</v>
      </c>
      <c r="D309" s="125">
        <v>10</v>
      </c>
      <c r="E309" s="5">
        <v>0.89</v>
      </c>
      <c r="F309" s="5">
        <f t="shared" ref="F309:F316" si="52">(D309*E309%)*1000</f>
        <v>89</v>
      </c>
      <c r="G309" s="5">
        <v>14.9</v>
      </c>
      <c r="H309" s="5">
        <f t="shared" ref="H309:H316" si="53">(D309*G309%)*1000</f>
        <v>1490</v>
      </c>
      <c r="I309" s="51">
        <f>D309+D310+D311+D312</f>
        <v>19.5</v>
      </c>
      <c r="K309" s="2" t="s">
        <v>122</v>
      </c>
      <c r="L309" s="35">
        <f>M309/(M309+M310+M311+M312)*100</f>
        <v>51.282051282051277</v>
      </c>
      <c r="M309" s="64">
        <v>10</v>
      </c>
      <c r="N309" s="5">
        <v>0.77</v>
      </c>
      <c r="O309" s="5">
        <f t="shared" ref="O309:O316" si="54">(M309*N309%)*1000</f>
        <v>77</v>
      </c>
      <c r="P309" s="5">
        <v>12.3</v>
      </c>
      <c r="Q309" s="5">
        <f t="shared" ref="Q309:Q316" si="55">(M309*P309%)*1000</f>
        <v>1230.0000000000002</v>
      </c>
      <c r="R309" s="51">
        <f>M309+M310+M311+M312</f>
        <v>19.5</v>
      </c>
    </row>
    <row r="310" spans="2:18" x14ac:dyDescent="0.25">
      <c r="B310" s="57" t="s">
        <v>10</v>
      </c>
      <c r="C310" s="35">
        <f>D310/(D309+D310+D311+D312)*100</f>
        <v>0</v>
      </c>
      <c r="D310" s="125">
        <v>0</v>
      </c>
      <c r="E310" s="5">
        <v>1.19</v>
      </c>
      <c r="F310" s="5">
        <f t="shared" si="52"/>
        <v>0</v>
      </c>
      <c r="G310" s="5">
        <v>11.6</v>
      </c>
      <c r="H310" s="5">
        <f t="shared" si="53"/>
        <v>0</v>
      </c>
      <c r="I310" s="25"/>
      <c r="K310" s="57" t="s">
        <v>10</v>
      </c>
      <c r="L310" s="35">
        <f>M310/(M309+M310+M311+M312)*100</f>
        <v>0</v>
      </c>
      <c r="M310" s="64">
        <v>0</v>
      </c>
      <c r="N310" s="5">
        <v>1.19</v>
      </c>
      <c r="O310" s="5">
        <f t="shared" si="54"/>
        <v>0</v>
      </c>
      <c r="P310" s="5">
        <v>11.6</v>
      </c>
      <c r="Q310" s="5">
        <f t="shared" si="55"/>
        <v>0</v>
      </c>
      <c r="R310" s="25"/>
    </row>
    <row r="311" spans="2:18" x14ac:dyDescent="0.25">
      <c r="B311" s="56" t="s">
        <v>12</v>
      </c>
      <c r="C311" s="35">
        <f>D311/(D309+D310+D311+D312)*100</f>
        <v>48.717948717948715</v>
      </c>
      <c r="D311" s="125">
        <v>9.5</v>
      </c>
      <c r="E311" s="5">
        <v>0.46</v>
      </c>
      <c r="F311" s="5">
        <f t="shared" si="52"/>
        <v>43.7</v>
      </c>
      <c r="G311" s="5">
        <v>2.2000000000000002</v>
      </c>
      <c r="H311" s="5">
        <f t="shared" si="53"/>
        <v>209.00000000000003</v>
      </c>
      <c r="I311" s="25"/>
      <c r="K311" s="56" t="s">
        <v>12</v>
      </c>
      <c r="L311" s="35">
        <f>M311/(M309+M310+M311+M312)*100</f>
        <v>48.717948717948715</v>
      </c>
      <c r="M311" s="64">
        <v>9.5</v>
      </c>
      <c r="N311" s="5">
        <v>0.46</v>
      </c>
      <c r="O311" s="5">
        <f t="shared" si="54"/>
        <v>43.7</v>
      </c>
      <c r="P311" s="5">
        <v>2.2000000000000002</v>
      </c>
      <c r="Q311" s="5">
        <f t="shared" si="55"/>
        <v>209.00000000000003</v>
      </c>
      <c r="R311" s="25"/>
    </row>
    <row r="312" spans="2:18" x14ac:dyDescent="0.25">
      <c r="B312" s="56" t="s">
        <v>14</v>
      </c>
      <c r="C312" s="35">
        <f>D312/(D309+D310+D311+D312)*100</f>
        <v>0</v>
      </c>
      <c r="D312" s="125">
        <v>0</v>
      </c>
      <c r="E312" s="5">
        <v>0.71</v>
      </c>
      <c r="F312" s="5">
        <f t="shared" si="52"/>
        <v>0</v>
      </c>
      <c r="G312" s="5">
        <v>3.7</v>
      </c>
      <c r="H312" s="5">
        <f t="shared" si="53"/>
        <v>0</v>
      </c>
      <c r="I312" s="25"/>
      <c r="K312" s="56" t="s">
        <v>14</v>
      </c>
      <c r="L312" s="35">
        <f>M312/(M309+M310+M311+M312)*100</f>
        <v>0</v>
      </c>
      <c r="M312" s="64">
        <v>0</v>
      </c>
      <c r="N312" s="5">
        <v>0.71</v>
      </c>
      <c r="O312" s="5">
        <f t="shared" si="54"/>
        <v>0</v>
      </c>
      <c r="P312" s="5">
        <v>3.7</v>
      </c>
      <c r="Q312" s="5">
        <f t="shared" si="55"/>
        <v>0</v>
      </c>
      <c r="R312" s="25"/>
    </row>
    <row r="313" spans="2:18" x14ac:dyDescent="0.25">
      <c r="B313" s="56" t="s">
        <v>17</v>
      </c>
      <c r="C313" s="35"/>
      <c r="D313" s="125">
        <v>6.8</v>
      </c>
      <c r="E313" s="5">
        <v>3.42</v>
      </c>
      <c r="F313" s="5">
        <f t="shared" si="52"/>
        <v>232.56</v>
      </c>
      <c r="G313" s="5">
        <v>27.5</v>
      </c>
      <c r="H313" s="5">
        <f t="shared" si="53"/>
        <v>1870</v>
      </c>
      <c r="I313" s="25"/>
      <c r="K313" s="56" t="s">
        <v>17</v>
      </c>
      <c r="L313" s="35"/>
      <c r="M313" s="64">
        <v>7.5</v>
      </c>
      <c r="N313" s="5">
        <v>3.42</v>
      </c>
      <c r="O313" s="5">
        <f t="shared" si="54"/>
        <v>256.5</v>
      </c>
      <c r="P313" s="5">
        <v>27.7</v>
      </c>
      <c r="Q313" s="5">
        <f t="shared" si="55"/>
        <v>2077.4999999999995</v>
      </c>
      <c r="R313" s="25"/>
    </row>
    <row r="314" spans="2:18" x14ac:dyDescent="0.25">
      <c r="B314" s="57" t="s">
        <v>21</v>
      </c>
      <c r="C314" s="41"/>
      <c r="D314" s="126">
        <v>1.7</v>
      </c>
      <c r="E314" s="5">
        <v>0</v>
      </c>
      <c r="F314" s="5">
        <f t="shared" si="52"/>
        <v>0</v>
      </c>
      <c r="G314" s="5">
        <v>84.8</v>
      </c>
      <c r="H314" s="5">
        <f t="shared" si="53"/>
        <v>1441.6</v>
      </c>
      <c r="I314" s="25"/>
      <c r="K314" s="57" t="s">
        <v>21</v>
      </c>
      <c r="L314" s="41"/>
      <c r="M314" s="65">
        <v>1.7</v>
      </c>
      <c r="N314" s="5">
        <v>0</v>
      </c>
      <c r="O314" s="5">
        <f t="shared" si="54"/>
        <v>0</v>
      </c>
      <c r="P314" s="5">
        <v>84.8</v>
      </c>
      <c r="Q314" s="5">
        <f t="shared" si="55"/>
        <v>1441.6</v>
      </c>
      <c r="R314" s="25"/>
    </row>
    <row r="315" spans="2:18" x14ac:dyDescent="0.25">
      <c r="B315" s="57" t="s">
        <v>49</v>
      </c>
      <c r="C315" s="41"/>
      <c r="D315" s="129">
        <v>0</v>
      </c>
      <c r="E315" s="13">
        <v>0</v>
      </c>
      <c r="F315" s="5">
        <f t="shared" si="52"/>
        <v>0</v>
      </c>
      <c r="G315" s="5">
        <v>0</v>
      </c>
      <c r="H315" s="5">
        <f t="shared" si="53"/>
        <v>0</v>
      </c>
      <c r="I315" s="25"/>
      <c r="K315" s="57" t="s">
        <v>49</v>
      </c>
      <c r="L315" s="41"/>
      <c r="M315" s="67">
        <v>0</v>
      </c>
      <c r="N315" s="13">
        <v>0</v>
      </c>
      <c r="O315" s="5">
        <f t="shared" si="54"/>
        <v>0</v>
      </c>
      <c r="P315" s="5">
        <v>0</v>
      </c>
      <c r="Q315" s="5">
        <f t="shared" si="55"/>
        <v>0</v>
      </c>
      <c r="R315" s="25"/>
    </row>
    <row r="316" spans="2:18" x14ac:dyDescent="0.25">
      <c r="B316" s="57" t="s">
        <v>23</v>
      </c>
      <c r="C316" s="41"/>
      <c r="D316" s="126">
        <v>0.25</v>
      </c>
      <c r="E316" s="13">
        <v>20.5</v>
      </c>
      <c r="F316" s="5">
        <f t="shared" si="52"/>
        <v>51.25</v>
      </c>
      <c r="G316" s="5">
        <v>0</v>
      </c>
      <c r="H316" s="5">
        <f t="shared" si="53"/>
        <v>0</v>
      </c>
      <c r="I316" s="25"/>
      <c r="K316" s="57" t="s">
        <v>23</v>
      </c>
      <c r="L316" s="41"/>
      <c r="M316" s="65">
        <v>0.25</v>
      </c>
      <c r="N316" s="13">
        <v>20.5</v>
      </c>
      <c r="O316" s="5">
        <f t="shared" si="54"/>
        <v>51.25</v>
      </c>
      <c r="P316" s="5">
        <v>0</v>
      </c>
      <c r="Q316" s="5">
        <f t="shared" si="55"/>
        <v>0</v>
      </c>
      <c r="R316" s="25"/>
    </row>
    <row r="317" spans="2:18" x14ac:dyDescent="0.25">
      <c r="B317" s="58" t="s">
        <v>26</v>
      </c>
      <c r="C317" s="42"/>
      <c r="D317" s="127">
        <f>SUM(D309:D316)</f>
        <v>28.25</v>
      </c>
      <c r="E317" s="9"/>
      <c r="F317" s="11">
        <f>SUM(F309:F316)</f>
        <v>416.51</v>
      </c>
      <c r="G317" s="9"/>
      <c r="H317" s="11">
        <f>SUM(H309:H316)</f>
        <v>5010.6000000000004</v>
      </c>
      <c r="I317" s="52" t="s">
        <v>6</v>
      </c>
      <c r="K317" s="58" t="s">
        <v>26</v>
      </c>
      <c r="L317" s="42"/>
      <c r="M317" s="66">
        <f>SUM(M309:M316)</f>
        <v>28.95</v>
      </c>
      <c r="N317" s="9"/>
      <c r="O317" s="11">
        <f>SUM(O309:O316)</f>
        <v>428.45</v>
      </c>
      <c r="P317" s="9"/>
      <c r="Q317" s="11">
        <f>SUM(Q309:Q316)</f>
        <v>4958.1000000000004</v>
      </c>
      <c r="R317" s="77" t="s">
        <v>6</v>
      </c>
    </row>
    <row r="318" spans="2:18" x14ac:dyDescent="0.25">
      <c r="B318" s="230" t="s">
        <v>88</v>
      </c>
      <c r="C318" s="231"/>
      <c r="D318" s="231"/>
      <c r="E318" s="232"/>
      <c r="F318" s="8">
        <f>F317/D317/10</f>
        <v>1.4743716814159291</v>
      </c>
      <c r="G318" s="12"/>
      <c r="H318" s="8">
        <f>H317/D317/10</f>
        <v>17.736637168141595</v>
      </c>
      <c r="I318" s="11">
        <f>((100-H318)*0.5)/F318</f>
        <v>27.897769561355069</v>
      </c>
      <c r="K318" s="230"/>
      <c r="L318" s="231"/>
      <c r="M318" s="231"/>
      <c r="N318" s="232"/>
      <c r="O318" s="8">
        <f>O317/M317/10</f>
        <v>1.4799654576856649</v>
      </c>
      <c r="P318" s="12"/>
      <c r="Q318" s="8">
        <f>Q317/M317/10</f>
        <v>17.126424870466323</v>
      </c>
      <c r="R318" s="11">
        <f>((100-Q318)*0.5)/O318</f>
        <v>27.998482903489322</v>
      </c>
    </row>
    <row r="321" spans="2:18" x14ac:dyDescent="0.25">
      <c r="B321" s="253" t="s">
        <v>130</v>
      </c>
      <c r="C321" s="254"/>
      <c r="D321" s="254"/>
      <c r="E321" s="254"/>
      <c r="F321" s="254"/>
      <c r="G321" s="254"/>
      <c r="H321" s="254"/>
      <c r="I321" s="255"/>
      <c r="K321" s="253" t="s">
        <v>129</v>
      </c>
      <c r="L321" s="254"/>
      <c r="M321" s="254"/>
      <c r="N321" s="254"/>
      <c r="O321" s="254"/>
      <c r="P321" s="254"/>
      <c r="Q321" s="254"/>
      <c r="R321" s="255"/>
    </row>
    <row r="322" spans="2:18" x14ac:dyDescent="0.25">
      <c r="B322" s="219" t="s">
        <v>0</v>
      </c>
      <c r="C322" s="227" t="s">
        <v>1</v>
      </c>
      <c r="D322" s="219" t="s">
        <v>47</v>
      </c>
      <c r="E322" s="221" t="s">
        <v>46</v>
      </c>
      <c r="F322" s="222"/>
      <c r="G322" s="222"/>
      <c r="H322" s="223"/>
      <c r="I322" s="229" t="s">
        <v>102</v>
      </c>
      <c r="K322" s="217" t="s">
        <v>0</v>
      </c>
      <c r="L322" s="227" t="s">
        <v>1</v>
      </c>
      <c r="M322" s="217" t="s">
        <v>47</v>
      </c>
      <c r="N322" s="221" t="s">
        <v>46</v>
      </c>
      <c r="O322" s="222"/>
      <c r="P322" s="222"/>
      <c r="Q322" s="223"/>
      <c r="R322" s="233" t="s">
        <v>102</v>
      </c>
    </row>
    <row r="323" spans="2:18" x14ac:dyDescent="0.25">
      <c r="B323" s="220"/>
      <c r="C323" s="228"/>
      <c r="D323" s="220"/>
      <c r="E323" s="2" t="s">
        <v>42</v>
      </c>
      <c r="F323" s="2" t="s">
        <v>43</v>
      </c>
      <c r="G323" s="2" t="s">
        <v>44</v>
      </c>
      <c r="H323" s="2" t="s">
        <v>45</v>
      </c>
      <c r="I323" s="229"/>
      <c r="K323" s="218"/>
      <c r="L323" s="228"/>
      <c r="M323" s="218"/>
      <c r="N323" s="2" t="s">
        <v>42</v>
      </c>
      <c r="O323" s="2" t="s">
        <v>43</v>
      </c>
      <c r="P323" s="2" t="s">
        <v>44</v>
      </c>
      <c r="Q323" s="2" t="s">
        <v>45</v>
      </c>
      <c r="R323" s="234"/>
    </row>
    <row r="324" spans="2:18" x14ac:dyDescent="0.25">
      <c r="B324" s="2" t="s">
        <v>122</v>
      </c>
      <c r="C324" s="35">
        <f>D324/(D324+D325+D326+D327)*100</f>
        <v>51.282051282051277</v>
      </c>
      <c r="D324" s="125">
        <v>10</v>
      </c>
      <c r="E324" s="5">
        <v>0.77</v>
      </c>
      <c r="F324" s="5">
        <f t="shared" ref="F324:F331" si="56">(D324*E324%)*1000</f>
        <v>77</v>
      </c>
      <c r="G324" s="5">
        <v>12.3</v>
      </c>
      <c r="H324" s="5">
        <f t="shared" ref="H324:H331" si="57">(D324*G324%)*1000</f>
        <v>1230.0000000000002</v>
      </c>
      <c r="I324" s="51">
        <f>D324+D325+D326+D327</f>
        <v>19.5</v>
      </c>
      <c r="K324" s="2" t="s">
        <v>122</v>
      </c>
      <c r="L324" s="35">
        <f>M324/(M324+M325+M326+M327)*100</f>
        <v>52.777777777777779</v>
      </c>
      <c r="M324" s="5">
        <v>9.5</v>
      </c>
      <c r="N324" s="5">
        <v>0.77</v>
      </c>
      <c r="O324" s="5">
        <f t="shared" ref="O324:O331" si="58">(M324*N324%)*1000</f>
        <v>73.150000000000006</v>
      </c>
      <c r="P324" s="5">
        <v>12.3</v>
      </c>
      <c r="Q324" s="5">
        <f t="shared" ref="Q324:Q331" si="59">(M324*P324%)*1000</f>
        <v>1168.5</v>
      </c>
      <c r="R324" s="51">
        <f>M324+M325+M326+M327</f>
        <v>18</v>
      </c>
    </row>
    <row r="325" spans="2:18" x14ac:dyDescent="0.25">
      <c r="B325" s="57" t="s">
        <v>10</v>
      </c>
      <c r="C325" s="35">
        <f>D325/(D324+D325+D326+D327)*100</f>
        <v>0</v>
      </c>
      <c r="D325" s="125">
        <v>0</v>
      </c>
      <c r="E325" s="5">
        <v>1.19</v>
      </c>
      <c r="F325" s="5">
        <f t="shared" si="56"/>
        <v>0</v>
      </c>
      <c r="G325" s="5">
        <v>11.6</v>
      </c>
      <c r="H325" s="5">
        <f t="shared" si="57"/>
        <v>0</v>
      </c>
      <c r="I325" s="25"/>
      <c r="K325" s="4" t="s">
        <v>10</v>
      </c>
      <c r="L325" s="35">
        <f>M325/(M324+M325+M326+M327)*100</f>
        <v>0</v>
      </c>
      <c r="M325" s="5">
        <v>0</v>
      </c>
      <c r="N325" s="5">
        <v>1.19</v>
      </c>
      <c r="O325" s="5">
        <f t="shared" si="58"/>
        <v>0</v>
      </c>
      <c r="P325" s="5">
        <v>11.6</v>
      </c>
      <c r="Q325" s="5">
        <f t="shared" si="59"/>
        <v>0</v>
      </c>
      <c r="R325" s="25"/>
    </row>
    <row r="326" spans="2:18" x14ac:dyDescent="0.25">
      <c r="B326" s="56" t="s">
        <v>12</v>
      </c>
      <c r="C326" s="35">
        <f>D326/(D324+D325+D326+D327)*100</f>
        <v>48.717948717948715</v>
      </c>
      <c r="D326" s="125">
        <v>9.5</v>
      </c>
      <c r="E326" s="5">
        <v>0.46</v>
      </c>
      <c r="F326" s="5">
        <f t="shared" si="56"/>
        <v>43.7</v>
      </c>
      <c r="G326" s="5">
        <v>2.2000000000000002</v>
      </c>
      <c r="H326" s="5">
        <f t="shared" si="57"/>
        <v>209.00000000000003</v>
      </c>
      <c r="I326" s="25"/>
      <c r="K326" s="2" t="s">
        <v>12</v>
      </c>
      <c r="L326" s="35">
        <f>M326/(M324+M325+M326+M327)*100</f>
        <v>47.222222222222221</v>
      </c>
      <c r="M326" s="5">
        <v>8.5</v>
      </c>
      <c r="N326" s="5">
        <v>0.46</v>
      </c>
      <c r="O326" s="5">
        <f t="shared" si="58"/>
        <v>39.099999999999994</v>
      </c>
      <c r="P326" s="5">
        <v>2.2000000000000002</v>
      </c>
      <c r="Q326" s="5">
        <f t="shared" si="59"/>
        <v>187.00000000000003</v>
      </c>
      <c r="R326" s="25"/>
    </row>
    <row r="327" spans="2:18" x14ac:dyDescent="0.25">
      <c r="B327" s="56" t="s">
        <v>14</v>
      </c>
      <c r="C327" s="35">
        <f>D327/(D324+D325+D326+D327)*100</f>
        <v>0</v>
      </c>
      <c r="D327" s="125">
        <v>0</v>
      </c>
      <c r="E327" s="5">
        <v>0.71</v>
      </c>
      <c r="F327" s="5">
        <f t="shared" si="56"/>
        <v>0</v>
      </c>
      <c r="G327" s="5">
        <v>3.7</v>
      </c>
      <c r="H327" s="5">
        <f t="shared" si="57"/>
        <v>0</v>
      </c>
      <c r="I327" s="25"/>
      <c r="K327" s="2" t="s">
        <v>14</v>
      </c>
      <c r="L327" s="35">
        <f>M327/(M324+M325+M326+M327)*100</f>
        <v>0</v>
      </c>
      <c r="M327" s="5">
        <v>0</v>
      </c>
      <c r="N327" s="5">
        <v>0.71</v>
      </c>
      <c r="O327" s="5">
        <f t="shared" si="58"/>
        <v>0</v>
      </c>
      <c r="P327" s="5">
        <v>3.7</v>
      </c>
      <c r="Q327" s="5">
        <f t="shared" si="59"/>
        <v>0</v>
      </c>
      <c r="R327" s="25"/>
    </row>
    <row r="328" spans="2:18" x14ac:dyDescent="0.25">
      <c r="B328" s="56" t="s">
        <v>17</v>
      </c>
      <c r="C328" s="35"/>
      <c r="D328" s="125">
        <v>7.5</v>
      </c>
      <c r="E328" s="5">
        <v>3.49</v>
      </c>
      <c r="F328" s="5">
        <f t="shared" si="56"/>
        <v>261.75</v>
      </c>
      <c r="G328" s="5">
        <v>28.2</v>
      </c>
      <c r="H328" s="5">
        <f t="shared" si="57"/>
        <v>2114.9999999999995</v>
      </c>
      <c r="I328" s="25"/>
      <c r="K328" s="2" t="s">
        <v>17</v>
      </c>
      <c r="L328" s="35"/>
      <c r="M328" s="5">
        <v>7.5</v>
      </c>
      <c r="N328" s="5">
        <v>3.54</v>
      </c>
      <c r="O328" s="5">
        <f t="shared" si="58"/>
        <v>265.5</v>
      </c>
      <c r="P328" s="5">
        <v>27.8</v>
      </c>
      <c r="Q328" s="5">
        <f t="shared" si="59"/>
        <v>2085</v>
      </c>
      <c r="R328" s="25"/>
    </row>
    <row r="329" spans="2:18" x14ac:dyDescent="0.25">
      <c r="B329" s="57" t="s">
        <v>21</v>
      </c>
      <c r="C329" s="41"/>
      <c r="D329" s="126">
        <v>1.7</v>
      </c>
      <c r="E329" s="5">
        <v>0</v>
      </c>
      <c r="F329" s="5">
        <f t="shared" si="56"/>
        <v>0</v>
      </c>
      <c r="G329" s="5">
        <v>84.8</v>
      </c>
      <c r="H329" s="5">
        <f t="shared" si="57"/>
        <v>1441.6</v>
      </c>
      <c r="I329" s="25"/>
      <c r="K329" s="4" t="s">
        <v>21</v>
      </c>
      <c r="L329" s="41"/>
      <c r="M329" s="13">
        <v>1.7</v>
      </c>
      <c r="N329" s="5">
        <v>0</v>
      </c>
      <c r="O329" s="5">
        <f t="shared" si="58"/>
        <v>0</v>
      </c>
      <c r="P329" s="5">
        <v>85.1</v>
      </c>
      <c r="Q329" s="5">
        <f t="shared" si="59"/>
        <v>1446.6999999999998</v>
      </c>
      <c r="R329" s="25"/>
    </row>
    <row r="330" spans="2:18" x14ac:dyDescent="0.25">
      <c r="B330" s="57" t="s">
        <v>49</v>
      </c>
      <c r="C330" s="41"/>
      <c r="D330" s="129">
        <v>0</v>
      </c>
      <c r="E330" s="13">
        <v>0</v>
      </c>
      <c r="F330" s="5">
        <f t="shared" si="56"/>
        <v>0</v>
      </c>
      <c r="G330" s="5">
        <v>0</v>
      </c>
      <c r="H330" s="5">
        <f t="shared" si="57"/>
        <v>0</v>
      </c>
      <c r="I330" s="25"/>
      <c r="K330" s="4" t="s">
        <v>49</v>
      </c>
      <c r="L330" s="41"/>
      <c r="M330" s="15">
        <v>0</v>
      </c>
      <c r="N330" s="13">
        <v>0</v>
      </c>
      <c r="O330" s="5">
        <f t="shared" si="58"/>
        <v>0</v>
      </c>
      <c r="P330" s="5">
        <v>0</v>
      </c>
      <c r="Q330" s="5">
        <f t="shared" si="59"/>
        <v>0</v>
      </c>
      <c r="R330" s="25"/>
    </row>
    <row r="331" spans="2:18" x14ac:dyDescent="0.25">
      <c r="B331" s="57" t="s">
        <v>23</v>
      </c>
      <c r="C331" s="41"/>
      <c r="D331" s="126">
        <v>0.2</v>
      </c>
      <c r="E331" s="13">
        <v>20.5</v>
      </c>
      <c r="F331" s="5">
        <f t="shared" si="56"/>
        <v>41</v>
      </c>
      <c r="G331" s="5">
        <v>0</v>
      </c>
      <c r="H331" s="5">
        <f t="shared" si="57"/>
        <v>0</v>
      </c>
      <c r="I331" s="25"/>
      <c r="K331" s="4" t="s">
        <v>23</v>
      </c>
      <c r="L331" s="41"/>
      <c r="M331" s="13">
        <v>0.11600000000000001</v>
      </c>
      <c r="N331" s="13">
        <v>20.5</v>
      </c>
      <c r="O331" s="5">
        <f t="shared" si="58"/>
        <v>23.779999999999998</v>
      </c>
      <c r="P331" s="5">
        <v>0</v>
      </c>
      <c r="Q331" s="5">
        <f t="shared" si="59"/>
        <v>0</v>
      </c>
      <c r="R331" s="25"/>
    </row>
    <row r="332" spans="2:18" x14ac:dyDescent="0.25">
      <c r="B332" s="58" t="s">
        <v>26</v>
      </c>
      <c r="C332" s="42"/>
      <c r="D332" s="127">
        <f>SUM(D324:D331)</f>
        <v>28.9</v>
      </c>
      <c r="E332" s="9"/>
      <c r="F332" s="11">
        <f>SUM(F324:F331)</f>
        <v>423.45</v>
      </c>
      <c r="G332" s="9"/>
      <c r="H332" s="11">
        <f>SUM(H324:H331)</f>
        <v>4995.6000000000004</v>
      </c>
      <c r="I332" s="77" t="s">
        <v>6</v>
      </c>
      <c r="K332" s="9" t="s">
        <v>26</v>
      </c>
      <c r="L332" s="42"/>
      <c r="M332" s="11">
        <f>SUM(M324:M331)</f>
        <v>27.315999999999999</v>
      </c>
      <c r="N332" s="9"/>
      <c r="O332" s="11">
        <f>SUM(O324:O331)</f>
        <v>401.53</v>
      </c>
      <c r="P332" s="9"/>
      <c r="Q332" s="11">
        <f>SUM(Q324:Q331)</f>
        <v>4887.2</v>
      </c>
      <c r="R332" s="119" t="s">
        <v>6</v>
      </c>
    </row>
    <row r="333" spans="2:18" x14ac:dyDescent="0.25">
      <c r="B333" s="230"/>
      <c r="C333" s="231"/>
      <c r="D333" s="231"/>
      <c r="E333" s="232"/>
      <c r="F333" s="8">
        <f>F332/D332/10</f>
        <v>1.4652249134948097</v>
      </c>
      <c r="G333" s="12"/>
      <c r="H333" s="8">
        <f>H332/D332/10</f>
        <v>17.285813148788929</v>
      </c>
      <c r="I333" s="11">
        <f>((100-H333)*0.5)/F333</f>
        <v>28.225764553075923</v>
      </c>
      <c r="K333" s="230"/>
      <c r="L333" s="231"/>
      <c r="M333" s="231"/>
      <c r="N333" s="232"/>
      <c r="O333" s="8">
        <f>O332/M332/10</f>
        <v>1.4699443549568019</v>
      </c>
      <c r="P333" s="12"/>
      <c r="Q333" s="8">
        <f>Q332/M332/10</f>
        <v>17.891345731439451</v>
      </c>
      <c r="R333" s="11">
        <f>((100-Q333)*0.5)/O333</f>
        <v>27.929170921226305</v>
      </c>
    </row>
    <row r="336" spans="2:18" x14ac:dyDescent="0.25">
      <c r="B336" s="253" t="s">
        <v>131</v>
      </c>
      <c r="C336" s="254"/>
      <c r="D336" s="254"/>
      <c r="E336" s="254"/>
      <c r="F336" s="254"/>
      <c r="G336" s="254"/>
      <c r="H336" s="254"/>
      <c r="I336" s="255"/>
      <c r="K336" s="253" t="s">
        <v>137</v>
      </c>
      <c r="L336" s="254"/>
      <c r="M336" s="254"/>
      <c r="N336" s="254"/>
      <c r="O336" s="254"/>
      <c r="P336" s="254"/>
      <c r="Q336" s="254"/>
      <c r="R336" s="255"/>
    </row>
    <row r="337" spans="2:18" x14ac:dyDescent="0.25">
      <c r="B337" s="217" t="s">
        <v>0</v>
      </c>
      <c r="C337" s="227" t="s">
        <v>1</v>
      </c>
      <c r="D337" s="217" t="s">
        <v>47</v>
      </c>
      <c r="E337" s="221" t="s">
        <v>46</v>
      </c>
      <c r="F337" s="222"/>
      <c r="G337" s="222"/>
      <c r="H337" s="223"/>
      <c r="I337" s="229" t="s">
        <v>102</v>
      </c>
      <c r="K337" s="217" t="s">
        <v>0</v>
      </c>
      <c r="L337" s="227" t="s">
        <v>1</v>
      </c>
      <c r="M337" s="217" t="s">
        <v>47</v>
      </c>
      <c r="N337" s="221" t="s">
        <v>46</v>
      </c>
      <c r="O337" s="222"/>
      <c r="P337" s="222"/>
      <c r="Q337" s="223"/>
      <c r="R337" s="229" t="s">
        <v>102</v>
      </c>
    </row>
    <row r="338" spans="2:18" x14ac:dyDescent="0.25">
      <c r="B338" s="218"/>
      <c r="C338" s="228"/>
      <c r="D338" s="218"/>
      <c r="E338" s="2" t="s">
        <v>42</v>
      </c>
      <c r="F338" s="2" t="s">
        <v>43</v>
      </c>
      <c r="G338" s="2" t="s">
        <v>44</v>
      </c>
      <c r="H338" s="2" t="s">
        <v>45</v>
      </c>
      <c r="I338" s="229"/>
      <c r="K338" s="218"/>
      <c r="L338" s="228"/>
      <c r="M338" s="218"/>
      <c r="N338" s="2" t="s">
        <v>42</v>
      </c>
      <c r="O338" s="2" t="s">
        <v>43</v>
      </c>
      <c r="P338" s="2" t="s">
        <v>44</v>
      </c>
      <c r="Q338" s="2" t="s">
        <v>45</v>
      </c>
      <c r="R338" s="229"/>
    </row>
    <row r="339" spans="2:18" x14ac:dyDescent="0.25">
      <c r="B339" s="2" t="s">
        <v>122</v>
      </c>
      <c r="C339" s="35">
        <f>D339/(D339+D340+D341+D342)*100</f>
        <v>52.777777777777779</v>
      </c>
      <c r="D339" s="140">
        <v>9.5</v>
      </c>
      <c r="E339" s="5">
        <v>0.77</v>
      </c>
      <c r="F339" s="5">
        <f t="shared" ref="F339:F346" si="60">(D339*E339%)*1000</f>
        <v>73.150000000000006</v>
      </c>
      <c r="G339" s="5">
        <v>12.3</v>
      </c>
      <c r="H339" s="5">
        <f t="shared" ref="H339:H346" si="61">(D339*G339%)*1000</f>
        <v>1168.5</v>
      </c>
      <c r="I339" s="51">
        <f>D339+D340+D341+D342</f>
        <v>18</v>
      </c>
      <c r="K339" s="2" t="s">
        <v>122</v>
      </c>
      <c r="L339" s="35">
        <f>M339/(M339+M340+M341+M342)*100</f>
        <v>52.972972972972975</v>
      </c>
      <c r="M339" s="5">
        <v>9.8000000000000007</v>
      </c>
      <c r="N339" s="5">
        <v>0.77</v>
      </c>
      <c r="O339" s="5">
        <f t="shared" ref="O339:O346" si="62">(M339*N339%)*1000</f>
        <v>75.460000000000008</v>
      </c>
      <c r="P339" s="5">
        <v>12.7</v>
      </c>
      <c r="Q339" s="5">
        <f t="shared" ref="Q339:Q346" si="63">(M339*P339%)*1000</f>
        <v>1244.6000000000001</v>
      </c>
      <c r="R339" s="51">
        <f>M339+M340+M341+M342</f>
        <v>18.5</v>
      </c>
    </row>
    <row r="340" spans="2:18" x14ac:dyDescent="0.25">
      <c r="B340" s="4" t="s">
        <v>10</v>
      </c>
      <c r="C340" s="35">
        <f>D340/(D339+D340+D341+D342)*100</f>
        <v>0</v>
      </c>
      <c r="D340" s="140">
        <v>0</v>
      </c>
      <c r="E340" s="5">
        <v>0.94</v>
      </c>
      <c r="F340" s="5">
        <f t="shared" si="60"/>
        <v>0</v>
      </c>
      <c r="G340" s="5">
        <v>11.6</v>
      </c>
      <c r="H340" s="5">
        <f t="shared" si="61"/>
        <v>0</v>
      </c>
      <c r="I340" s="25"/>
      <c r="K340" s="4" t="s">
        <v>110</v>
      </c>
      <c r="L340" s="35">
        <f>M340/(M339+M340+M341+M342)*100</f>
        <v>10.810810810810811</v>
      </c>
      <c r="M340" s="5">
        <v>2</v>
      </c>
      <c r="N340" s="5">
        <v>0.7</v>
      </c>
      <c r="O340" s="5">
        <f t="shared" si="62"/>
        <v>13.999999999999998</v>
      </c>
      <c r="P340" s="5">
        <v>10.3</v>
      </c>
      <c r="Q340" s="5">
        <f t="shared" si="63"/>
        <v>206.00000000000003</v>
      </c>
      <c r="R340" s="25"/>
    </row>
    <row r="341" spans="2:18" x14ac:dyDescent="0.25">
      <c r="B341" s="2" t="s">
        <v>12</v>
      </c>
      <c r="C341" s="35">
        <f>D341/(D339+D340+D341+D342)*100</f>
        <v>47.222222222222221</v>
      </c>
      <c r="D341" s="140">
        <v>8.5</v>
      </c>
      <c r="E341" s="5">
        <v>0.35</v>
      </c>
      <c r="F341" s="5">
        <f t="shared" si="60"/>
        <v>29.75</v>
      </c>
      <c r="G341" s="5">
        <v>1.6</v>
      </c>
      <c r="H341" s="5">
        <f t="shared" si="61"/>
        <v>136</v>
      </c>
      <c r="I341" s="25"/>
      <c r="K341" s="2" t="s">
        <v>12</v>
      </c>
      <c r="L341" s="35">
        <f>M341/(M339+M340+M341+M342)*100</f>
        <v>36.216216216216218</v>
      </c>
      <c r="M341" s="5">
        <v>6.7</v>
      </c>
      <c r="N341" s="5">
        <v>0.46</v>
      </c>
      <c r="O341" s="5">
        <f t="shared" si="62"/>
        <v>30.82</v>
      </c>
      <c r="P341" s="5">
        <v>2.2000000000000002</v>
      </c>
      <c r="Q341" s="5">
        <f t="shared" si="63"/>
        <v>147.40000000000003</v>
      </c>
      <c r="R341" s="25"/>
    </row>
    <row r="342" spans="2:18" x14ac:dyDescent="0.25">
      <c r="B342" s="2" t="s">
        <v>14</v>
      </c>
      <c r="C342" s="35">
        <f>D342/(D339+D340+D341+D342)*100</f>
        <v>0</v>
      </c>
      <c r="D342" s="140">
        <v>0</v>
      </c>
      <c r="E342" s="5">
        <v>0.71</v>
      </c>
      <c r="F342" s="5">
        <f t="shared" si="60"/>
        <v>0</v>
      </c>
      <c r="G342" s="5">
        <v>3.7</v>
      </c>
      <c r="H342" s="5">
        <f t="shared" si="61"/>
        <v>0</v>
      </c>
      <c r="I342" s="25"/>
      <c r="K342" s="2" t="s">
        <v>14</v>
      </c>
      <c r="L342" s="35">
        <f>M342/(M339+M340+M341+M342)*100</f>
        <v>0</v>
      </c>
      <c r="M342" s="5">
        <v>0</v>
      </c>
      <c r="N342" s="5">
        <v>0.71</v>
      </c>
      <c r="O342" s="5">
        <f t="shared" si="62"/>
        <v>0</v>
      </c>
      <c r="P342" s="5">
        <v>3.7</v>
      </c>
      <c r="Q342" s="5">
        <f t="shared" si="63"/>
        <v>0</v>
      </c>
      <c r="R342" s="25"/>
    </row>
    <row r="343" spans="2:18" x14ac:dyDescent="0.25">
      <c r="B343" s="2" t="s">
        <v>17</v>
      </c>
      <c r="C343" s="122"/>
      <c r="D343" s="140">
        <v>7.5</v>
      </c>
      <c r="E343" s="5">
        <v>3.54</v>
      </c>
      <c r="F343" s="5">
        <f t="shared" si="60"/>
        <v>265.5</v>
      </c>
      <c r="G343" s="5">
        <v>27.8</v>
      </c>
      <c r="H343" s="5">
        <f t="shared" si="61"/>
        <v>2085</v>
      </c>
      <c r="I343" s="25"/>
      <c r="K343" s="2" t="s">
        <v>17</v>
      </c>
      <c r="L343" s="35"/>
      <c r="M343" s="5">
        <v>6.8</v>
      </c>
      <c r="N343" s="5">
        <v>3.54</v>
      </c>
      <c r="O343" s="5">
        <f t="shared" si="62"/>
        <v>240.72</v>
      </c>
      <c r="P343" s="5">
        <v>28.2</v>
      </c>
      <c r="Q343" s="5">
        <f t="shared" si="63"/>
        <v>1917.5999999999997</v>
      </c>
      <c r="R343" s="25"/>
    </row>
    <row r="344" spans="2:18" x14ac:dyDescent="0.25">
      <c r="B344" s="4" t="s">
        <v>21</v>
      </c>
      <c r="C344" s="41"/>
      <c r="D344" s="141">
        <v>1.5</v>
      </c>
      <c r="E344" s="5">
        <v>0</v>
      </c>
      <c r="F344" s="5">
        <f t="shared" si="60"/>
        <v>0</v>
      </c>
      <c r="G344" s="5">
        <v>85.1</v>
      </c>
      <c r="H344" s="5">
        <f t="shared" si="61"/>
        <v>1276.5</v>
      </c>
      <c r="I344" s="25"/>
      <c r="K344" s="4" t="s">
        <v>21</v>
      </c>
      <c r="L344" s="41"/>
      <c r="M344" s="13">
        <v>1.5</v>
      </c>
      <c r="N344" s="5">
        <v>0</v>
      </c>
      <c r="O344" s="5">
        <f t="shared" si="62"/>
        <v>0</v>
      </c>
      <c r="P344" s="5">
        <v>84.4</v>
      </c>
      <c r="Q344" s="5">
        <f t="shared" si="63"/>
        <v>1266</v>
      </c>
      <c r="R344" s="25"/>
    </row>
    <row r="345" spans="2:18" x14ac:dyDescent="0.25">
      <c r="B345" s="4" t="s">
        <v>49</v>
      </c>
      <c r="C345" s="41"/>
      <c r="D345" s="142">
        <v>0</v>
      </c>
      <c r="E345" s="13">
        <v>0</v>
      </c>
      <c r="F345" s="5">
        <f t="shared" si="60"/>
        <v>0</v>
      </c>
      <c r="G345" s="5">
        <v>0</v>
      </c>
      <c r="H345" s="5">
        <f t="shared" si="61"/>
        <v>0</v>
      </c>
      <c r="I345" s="25"/>
      <c r="K345" s="4" t="s">
        <v>49</v>
      </c>
      <c r="L345" s="41"/>
      <c r="M345" s="15">
        <v>0</v>
      </c>
      <c r="N345" s="13">
        <v>0</v>
      </c>
      <c r="O345" s="5">
        <f t="shared" si="62"/>
        <v>0</v>
      </c>
      <c r="P345" s="5">
        <v>0</v>
      </c>
      <c r="Q345" s="5">
        <f t="shared" si="63"/>
        <v>0</v>
      </c>
      <c r="R345" s="25"/>
    </row>
    <row r="346" spans="2:18" x14ac:dyDescent="0.25">
      <c r="B346" s="4" t="s">
        <v>23</v>
      </c>
      <c r="C346" s="41"/>
      <c r="D346" s="141">
        <v>0.13</v>
      </c>
      <c r="E346" s="13">
        <v>20.5</v>
      </c>
      <c r="F346" s="5">
        <f t="shared" si="60"/>
        <v>26.65</v>
      </c>
      <c r="G346" s="5">
        <v>0</v>
      </c>
      <c r="H346" s="5">
        <f t="shared" si="61"/>
        <v>0</v>
      </c>
      <c r="I346" s="25"/>
      <c r="K346" s="4" t="s">
        <v>23</v>
      </c>
      <c r="L346" s="41"/>
      <c r="M346" s="13">
        <v>0.2</v>
      </c>
      <c r="N346" s="13">
        <v>20.5</v>
      </c>
      <c r="O346" s="5">
        <f t="shared" si="62"/>
        <v>41</v>
      </c>
      <c r="P346" s="5">
        <v>0</v>
      </c>
      <c r="Q346" s="5">
        <f t="shared" si="63"/>
        <v>0</v>
      </c>
      <c r="R346" s="25"/>
    </row>
    <row r="347" spans="2:18" x14ac:dyDescent="0.25">
      <c r="B347" s="9" t="s">
        <v>26</v>
      </c>
      <c r="C347" s="42"/>
      <c r="D347" s="143">
        <f>SUM(D339:D346)</f>
        <v>27.13</v>
      </c>
      <c r="E347" s="9"/>
      <c r="F347" s="11">
        <f>SUM(F339:F346)</f>
        <v>395.04999999999995</v>
      </c>
      <c r="G347" s="9"/>
      <c r="H347" s="11">
        <f>SUM(H339:H346)</f>
        <v>4666</v>
      </c>
      <c r="I347" s="114" t="s">
        <v>6</v>
      </c>
      <c r="K347" s="9" t="s">
        <v>26</v>
      </c>
      <c r="L347" s="42"/>
      <c r="M347" s="11">
        <f>SUM(M339:M346)</f>
        <v>27</v>
      </c>
      <c r="N347" s="9"/>
      <c r="O347" s="11">
        <f>SUM(O339:O346)</f>
        <v>402</v>
      </c>
      <c r="P347" s="9"/>
      <c r="Q347" s="11">
        <f>SUM(Q339:Q346)</f>
        <v>4781.6000000000004</v>
      </c>
      <c r="R347" s="114" t="s">
        <v>6</v>
      </c>
    </row>
    <row r="348" spans="2:18" x14ac:dyDescent="0.25">
      <c r="B348" s="230"/>
      <c r="C348" s="231"/>
      <c r="D348" s="231"/>
      <c r="E348" s="232"/>
      <c r="F348" s="8">
        <f>F347/D347/10</f>
        <v>1.4561371175820124</v>
      </c>
      <c r="G348" s="12"/>
      <c r="H348" s="8">
        <f>H347/D347/10</f>
        <v>17.198673055657942</v>
      </c>
      <c r="I348" s="11">
        <f>((100-H348)*0.5)/F348</f>
        <v>28.431844070370847</v>
      </c>
      <c r="K348" s="230"/>
      <c r="L348" s="231"/>
      <c r="M348" s="231"/>
      <c r="N348" s="232"/>
      <c r="O348" s="8">
        <f>O347/M347/10</f>
        <v>1.4888888888888889</v>
      </c>
      <c r="P348" s="12"/>
      <c r="Q348" s="8">
        <f>Q347/M347/10</f>
        <v>17.709629629629632</v>
      </c>
      <c r="R348" s="11">
        <f>((100-Q348)*0.5)/O348</f>
        <v>27.634825870646765</v>
      </c>
    </row>
    <row r="351" spans="2:18" x14ac:dyDescent="0.25">
      <c r="B351" s="253" t="s">
        <v>132</v>
      </c>
      <c r="C351" s="254"/>
      <c r="D351" s="254"/>
      <c r="E351" s="254"/>
      <c r="F351" s="254"/>
      <c r="G351" s="254"/>
      <c r="H351" s="254"/>
      <c r="I351" s="255"/>
      <c r="K351" s="256" t="s">
        <v>133</v>
      </c>
      <c r="L351" s="257"/>
      <c r="M351" s="257"/>
      <c r="N351" s="257"/>
      <c r="O351" s="257"/>
      <c r="P351" s="257"/>
      <c r="Q351" s="257"/>
      <c r="R351" s="258"/>
    </row>
    <row r="352" spans="2:18" x14ac:dyDescent="0.25">
      <c r="B352" s="217" t="s">
        <v>0</v>
      </c>
      <c r="C352" s="227" t="s">
        <v>1</v>
      </c>
      <c r="D352" s="217" t="s">
        <v>47</v>
      </c>
      <c r="E352" s="221" t="s">
        <v>46</v>
      </c>
      <c r="F352" s="222"/>
      <c r="G352" s="222"/>
      <c r="H352" s="223"/>
      <c r="I352" s="229" t="s">
        <v>102</v>
      </c>
      <c r="K352" s="217" t="s">
        <v>0</v>
      </c>
      <c r="L352" s="227" t="s">
        <v>1</v>
      </c>
      <c r="M352" s="217" t="s">
        <v>47</v>
      </c>
      <c r="N352" s="221" t="s">
        <v>46</v>
      </c>
      <c r="O352" s="222"/>
      <c r="P352" s="222"/>
      <c r="Q352" s="223"/>
      <c r="R352" s="229" t="s">
        <v>102</v>
      </c>
    </row>
    <row r="353" spans="2:18" x14ac:dyDescent="0.25">
      <c r="B353" s="218"/>
      <c r="C353" s="228"/>
      <c r="D353" s="218"/>
      <c r="E353" s="2" t="s">
        <v>42</v>
      </c>
      <c r="F353" s="2" t="s">
        <v>43</v>
      </c>
      <c r="G353" s="2" t="s">
        <v>44</v>
      </c>
      <c r="H353" s="2" t="s">
        <v>45</v>
      </c>
      <c r="I353" s="229"/>
      <c r="K353" s="218"/>
      <c r="L353" s="228"/>
      <c r="M353" s="218"/>
      <c r="N353" s="2" t="s">
        <v>42</v>
      </c>
      <c r="O353" s="2" t="s">
        <v>43</v>
      </c>
      <c r="P353" s="2" t="s">
        <v>44</v>
      </c>
      <c r="Q353" s="2" t="s">
        <v>45</v>
      </c>
      <c r="R353" s="229"/>
    </row>
    <row r="354" spans="2:18" x14ac:dyDescent="0.25">
      <c r="B354" s="2" t="s">
        <v>122</v>
      </c>
      <c r="C354" s="35">
        <f>D354/(D354+D355+D356+D357)*100</f>
        <v>52.972972972972975</v>
      </c>
      <c r="D354" s="140">
        <v>9.8000000000000007</v>
      </c>
      <c r="E354" s="5">
        <v>0.77</v>
      </c>
      <c r="F354" s="5">
        <f>(D354*E354%)*1000</f>
        <v>75.460000000000008</v>
      </c>
      <c r="G354" s="5">
        <v>12.7</v>
      </c>
      <c r="H354" s="5">
        <f>(D354*G354%)*1000</f>
        <v>1244.6000000000001</v>
      </c>
      <c r="I354" s="51">
        <f>D354+D355+D356+D357</f>
        <v>18.5</v>
      </c>
      <c r="K354" s="2" t="s">
        <v>122</v>
      </c>
      <c r="L354" s="120">
        <f>M354/R354</f>
        <v>0.47619047619047622</v>
      </c>
      <c r="M354" s="5">
        <v>9</v>
      </c>
      <c r="N354" s="5">
        <v>0.77</v>
      </c>
      <c r="O354" s="5">
        <f t="shared" ref="O354:O360" si="64">(M354*N354%)*1000</f>
        <v>69.3</v>
      </c>
      <c r="P354" s="5">
        <v>12.7</v>
      </c>
      <c r="Q354" s="5">
        <f t="shared" ref="Q354:Q360" si="65">(M354*P354%)*1000</f>
        <v>1143</v>
      </c>
      <c r="R354" s="51">
        <f>M354+M355+M356</f>
        <v>18.899999999999999</v>
      </c>
    </row>
    <row r="355" spans="2:18" x14ac:dyDescent="0.25">
      <c r="B355" s="4" t="s">
        <v>110</v>
      </c>
      <c r="C355" s="35">
        <f>D355/(D354+D355+D356+D357)*100</f>
        <v>10.810810810810811</v>
      </c>
      <c r="D355" s="140">
        <v>2</v>
      </c>
      <c r="E355" s="5">
        <v>0.7</v>
      </c>
      <c r="F355" s="5">
        <f t="shared" ref="F355:F361" si="66">(D355*E355%)*1000</f>
        <v>13.999999999999998</v>
      </c>
      <c r="G355" s="5">
        <v>10.3</v>
      </c>
      <c r="H355" s="5">
        <f t="shared" ref="H355:H361" si="67">(D355*G355%)*1000</f>
        <v>206.00000000000003</v>
      </c>
      <c r="I355" s="25"/>
      <c r="K355" s="4" t="s">
        <v>110</v>
      </c>
      <c r="L355" s="120">
        <f>M355/R354</f>
        <v>0.10582010582010583</v>
      </c>
      <c r="M355" s="5">
        <v>2</v>
      </c>
      <c r="N355" s="5">
        <v>0.7</v>
      </c>
      <c r="O355" s="5">
        <f t="shared" si="64"/>
        <v>13.999999999999998</v>
      </c>
      <c r="P355" s="5">
        <v>10.3</v>
      </c>
      <c r="Q355" s="5">
        <f t="shared" si="65"/>
        <v>206.00000000000003</v>
      </c>
      <c r="R355" s="25"/>
    </row>
    <row r="356" spans="2:18" x14ac:dyDescent="0.25">
      <c r="B356" s="2" t="s">
        <v>12</v>
      </c>
      <c r="C356" s="35">
        <f>D356/(D354+D355+D356+D357)*100</f>
        <v>36.216216216216218</v>
      </c>
      <c r="D356" s="140">
        <v>6.7</v>
      </c>
      <c r="E356" s="5">
        <v>0.35</v>
      </c>
      <c r="F356" s="5">
        <f t="shared" si="66"/>
        <v>23.45</v>
      </c>
      <c r="G356" s="5">
        <v>2.2000000000000002</v>
      </c>
      <c r="H356" s="5">
        <f t="shared" si="67"/>
        <v>147.40000000000003</v>
      </c>
      <c r="I356" s="25"/>
      <c r="K356" s="2" t="s">
        <v>111</v>
      </c>
      <c r="L356" s="120">
        <f>M356/R354</f>
        <v>0.41798941798941802</v>
      </c>
      <c r="M356" s="5">
        <v>7.9</v>
      </c>
      <c r="N356" s="5">
        <v>0.7</v>
      </c>
      <c r="O356" s="5">
        <f t="shared" si="64"/>
        <v>55.3</v>
      </c>
      <c r="P356" s="5">
        <v>7.2</v>
      </c>
      <c r="Q356" s="5">
        <f t="shared" si="65"/>
        <v>568.80000000000007</v>
      </c>
      <c r="R356" s="25"/>
    </row>
    <row r="357" spans="2:18" x14ac:dyDescent="0.25">
      <c r="B357" s="2" t="s">
        <v>14</v>
      </c>
      <c r="C357" s="35">
        <f>D357/(D354+D355+D356+D357)*100</f>
        <v>0</v>
      </c>
      <c r="D357" s="140">
        <v>0</v>
      </c>
      <c r="E357" s="5">
        <v>0.71</v>
      </c>
      <c r="F357" s="5">
        <f t="shared" si="66"/>
        <v>0</v>
      </c>
      <c r="G357" s="5">
        <v>3.7</v>
      </c>
      <c r="H357" s="5">
        <f t="shared" si="67"/>
        <v>0</v>
      </c>
      <c r="I357" s="25"/>
      <c r="K357" s="2" t="s">
        <v>17</v>
      </c>
      <c r="L357" s="35"/>
      <c r="M357" s="5">
        <v>5.7</v>
      </c>
      <c r="N357" s="5">
        <v>3.36</v>
      </c>
      <c r="O357" s="5">
        <f t="shared" si="64"/>
        <v>191.51999999999998</v>
      </c>
      <c r="P357" s="5">
        <v>30.1</v>
      </c>
      <c r="Q357" s="5">
        <f t="shared" si="65"/>
        <v>1715.7</v>
      </c>
      <c r="R357" s="25"/>
    </row>
    <row r="358" spans="2:18" x14ac:dyDescent="0.25">
      <c r="B358" s="2" t="s">
        <v>17</v>
      </c>
      <c r="C358" s="35"/>
      <c r="D358" s="140">
        <v>7</v>
      </c>
      <c r="E358" s="5">
        <v>3.36</v>
      </c>
      <c r="F358" s="5">
        <f t="shared" si="66"/>
        <v>235.2</v>
      </c>
      <c r="G358" s="5">
        <v>29.2</v>
      </c>
      <c r="H358" s="5">
        <f t="shared" si="67"/>
        <v>2044</v>
      </c>
      <c r="I358" s="25"/>
      <c r="K358" s="4" t="s">
        <v>21</v>
      </c>
      <c r="L358" s="41"/>
      <c r="M358" s="13">
        <v>1.3</v>
      </c>
      <c r="N358" s="5">
        <v>0</v>
      </c>
      <c r="O358" s="5">
        <f t="shared" si="64"/>
        <v>0</v>
      </c>
      <c r="P358" s="5">
        <v>84.4</v>
      </c>
      <c r="Q358" s="5">
        <f t="shared" si="65"/>
        <v>1097.2000000000003</v>
      </c>
      <c r="R358" s="25"/>
    </row>
    <row r="359" spans="2:18" x14ac:dyDescent="0.25">
      <c r="B359" s="4" t="s">
        <v>21</v>
      </c>
      <c r="C359" s="41"/>
      <c r="D359" s="141">
        <v>1.45</v>
      </c>
      <c r="E359" s="5">
        <v>0</v>
      </c>
      <c r="F359" s="5">
        <f t="shared" si="66"/>
        <v>0</v>
      </c>
      <c r="G359" s="5">
        <v>84.4</v>
      </c>
      <c r="H359" s="5">
        <f t="shared" si="67"/>
        <v>1223.8</v>
      </c>
      <c r="I359" s="25"/>
      <c r="K359" s="4" t="s">
        <v>49</v>
      </c>
      <c r="L359" s="41"/>
      <c r="M359" s="15">
        <v>0</v>
      </c>
      <c r="N359" s="13">
        <v>46</v>
      </c>
      <c r="O359" s="5">
        <f t="shared" si="64"/>
        <v>0</v>
      </c>
      <c r="P359" s="5">
        <v>0</v>
      </c>
      <c r="Q359" s="5">
        <f t="shared" si="65"/>
        <v>0</v>
      </c>
      <c r="R359" s="25"/>
    </row>
    <row r="360" spans="2:18" x14ac:dyDescent="0.25">
      <c r="B360" s="4" t="s">
        <v>49</v>
      </c>
      <c r="C360" s="41"/>
      <c r="D360" s="142">
        <v>0</v>
      </c>
      <c r="E360" s="13">
        <v>0</v>
      </c>
      <c r="F360" s="5">
        <f t="shared" si="66"/>
        <v>0</v>
      </c>
      <c r="G360" s="5">
        <v>0</v>
      </c>
      <c r="H360" s="5">
        <f t="shared" si="67"/>
        <v>0</v>
      </c>
      <c r="I360" s="25"/>
      <c r="K360" s="4" t="s">
        <v>23</v>
      </c>
      <c r="L360" s="41"/>
      <c r="M360" s="13">
        <v>0.25</v>
      </c>
      <c r="N360" s="13">
        <v>20.5</v>
      </c>
      <c r="O360" s="5">
        <f t="shared" si="64"/>
        <v>51.25</v>
      </c>
      <c r="P360" s="5">
        <v>0</v>
      </c>
      <c r="Q360" s="5">
        <f t="shared" si="65"/>
        <v>0</v>
      </c>
      <c r="R360" s="25"/>
    </row>
    <row r="361" spans="2:18" x14ac:dyDescent="0.25">
      <c r="B361" s="4" t="s">
        <v>23</v>
      </c>
      <c r="C361" s="41"/>
      <c r="D361" s="141">
        <v>0.27</v>
      </c>
      <c r="E361" s="13">
        <v>20.5</v>
      </c>
      <c r="F361" s="5">
        <f t="shared" si="66"/>
        <v>55.35</v>
      </c>
      <c r="G361" s="5">
        <v>0</v>
      </c>
      <c r="H361" s="5">
        <f t="shared" si="67"/>
        <v>0</v>
      </c>
      <c r="I361" s="25"/>
      <c r="K361" s="9" t="s">
        <v>26</v>
      </c>
      <c r="L361" s="42"/>
      <c r="M361" s="11">
        <f>SUM(M354:M360)</f>
        <v>26.15</v>
      </c>
      <c r="N361" s="9"/>
      <c r="O361" s="11">
        <f>SUM(O354:O360)</f>
        <v>381.37</v>
      </c>
      <c r="P361" s="9"/>
      <c r="Q361" s="11">
        <f>SUM(Q354:Q360)</f>
        <v>4730.7000000000007</v>
      </c>
      <c r="R361" s="123" t="s">
        <v>6</v>
      </c>
    </row>
    <row r="362" spans="2:18" x14ac:dyDescent="0.25">
      <c r="B362" s="9" t="s">
        <v>26</v>
      </c>
      <c r="C362" s="42"/>
      <c r="D362" s="143">
        <f>SUM(D354:D361)</f>
        <v>27.22</v>
      </c>
      <c r="E362" s="9"/>
      <c r="F362" s="11">
        <f>SUM(F354:F361)</f>
        <v>403.46000000000004</v>
      </c>
      <c r="G362" s="9"/>
      <c r="H362" s="11">
        <f>SUM(H354:H361)</f>
        <v>4865.8</v>
      </c>
      <c r="I362" s="119" t="s">
        <v>6</v>
      </c>
      <c r="K362" s="230"/>
      <c r="L362" s="231"/>
      <c r="M362" s="231"/>
      <c r="N362" s="232"/>
      <c r="O362" s="8">
        <f>O361/M361/10</f>
        <v>1.458393881453155</v>
      </c>
      <c r="P362" s="12"/>
      <c r="Q362" s="8">
        <f>Q361/M361/10</f>
        <v>18.090630975143405</v>
      </c>
      <c r="R362" s="11">
        <f>((100-Q362)*0.5)/O362</f>
        <v>28.082046306736242</v>
      </c>
    </row>
    <row r="363" spans="2:18" x14ac:dyDescent="0.25">
      <c r="B363" s="230"/>
      <c r="C363" s="231"/>
      <c r="D363" s="231"/>
      <c r="E363" s="232"/>
      <c r="F363" s="8">
        <f>F362/D362/10</f>
        <v>1.4822189566495225</v>
      </c>
      <c r="G363" s="12"/>
      <c r="H363" s="8">
        <f>H362/D362/10</f>
        <v>17.875826598089642</v>
      </c>
      <c r="I363" s="11">
        <f>((100-H363)*0.5)/F363</f>
        <v>27.703118029048724</v>
      </c>
    </row>
    <row r="366" spans="2:18" x14ac:dyDescent="0.25">
      <c r="B366" s="253" t="s">
        <v>134</v>
      </c>
      <c r="C366" s="254"/>
      <c r="D366" s="254"/>
      <c r="E366" s="254"/>
      <c r="F366" s="254"/>
      <c r="G366" s="254"/>
      <c r="H366" s="254"/>
      <c r="I366" s="255"/>
      <c r="K366" s="253" t="s">
        <v>135</v>
      </c>
      <c r="L366" s="254"/>
      <c r="M366" s="254"/>
      <c r="N366" s="254"/>
      <c r="O366" s="254"/>
      <c r="P366" s="254"/>
      <c r="Q366" s="254"/>
      <c r="R366" s="255"/>
    </row>
    <row r="367" spans="2:18" x14ac:dyDescent="0.25">
      <c r="B367" s="217" t="s">
        <v>0</v>
      </c>
      <c r="C367" s="227" t="s">
        <v>1</v>
      </c>
      <c r="D367" s="217" t="s">
        <v>47</v>
      </c>
      <c r="E367" s="221" t="s">
        <v>46</v>
      </c>
      <c r="F367" s="222"/>
      <c r="G367" s="222"/>
      <c r="H367" s="223"/>
      <c r="I367" s="229" t="s">
        <v>102</v>
      </c>
      <c r="K367" s="217" t="s">
        <v>0</v>
      </c>
      <c r="L367" s="227" t="s">
        <v>1</v>
      </c>
      <c r="M367" s="217" t="s">
        <v>47</v>
      </c>
      <c r="N367" s="221" t="s">
        <v>46</v>
      </c>
      <c r="O367" s="222"/>
      <c r="P367" s="222"/>
      <c r="Q367" s="223"/>
      <c r="R367" s="229" t="s">
        <v>102</v>
      </c>
    </row>
    <row r="368" spans="2:18" x14ac:dyDescent="0.25">
      <c r="B368" s="218"/>
      <c r="C368" s="228"/>
      <c r="D368" s="218"/>
      <c r="E368" s="2" t="s">
        <v>42</v>
      </c>
      <c r="F368" s="2" t="s">
        <v>43</v>
      </c>
      <c r="G368" s="2" t="s">
        <v>44</v>
      </c>
      <c r="H368" s="2" t="s">
        <v>45</v>
      </c>
      <c r="I368" s="229"/>
      <c r="K368" s="218"/>
      <c r="L368" s="228"/>
      <c r="M368" s="218"/>
      <c r="N368" s="2" t="s">
        <v>42</v>
      </c>
      <c r="O368" s="2" t="s">
        <v>43</v>
      </c>
      <c r="P368" s="2" t="s">
        <v>44</v>
      </c>
      <c r="Q368" s="2" t="s">
        <v>45</v>
      </c>
      <c r="R368" s="229"/>
    </row>
    <row r="369" spans="2:18" x14ac:dyDescent="0.25">
      <c r="B369" s="2" t="s">
        <v>122</v>
      </c>
      <c r="C369" s="35">
        <f>D369/(D369+D370+D371+D372)*100</f>
        <v>25.510204081632654</v>
      </c>
      <c r="D369" s="140">
        <v>5</v>
      </c>
      <c r="E369" s="5">
        <v>0.84</v>
      </c>
      <c r="F369" s="5">
        <f>(D369*E369%)*1000</f>
        <v>41.999999999999993</v>
      </c>
      <c r="G369" s="5">
        <v>13.1</v>
      </c>
      <c r="H369" s="5">
        <f>(D369*G369%)*1000</f>
        <v>655</v>
      </c>
      <c r="I369" s="51">
        <f>D369+D370+D371+D372</f>
        <v>19.600000000000001</v>
      </c>
      <c r="K369" s="2" t="s">
        <v>122</v>
      </c>
      <c r="L369" s="35">
        <f>M369/(M369+M370+M371+M372)*100</f>
        <v>52.972972972972975</v>
      </c>
      <c r="M369" s="5">
        <v>9.8000000000000007</v>
      </c>
      <c r="N369" s="5">
        <v>0.77</v>
      </c>
      <c r="O369" s="5">
        <f>(M369*N369%)*1000</f>
        <v>75.460000000000008</v>
      </c>
      <c r="P369" s="5">
        <v>12.7</v>
      </c>
      <c r="Q369" s="5">
        <f>(M369*P369%)*1000</f>
        <v>1244.6000000000001</v>
      </c>
      <c r="R369" s="51">
        <f>M369+M370+M371+M372</f>
        <v>18.5</v>
      </c>
    </row>
    <row r="370" spans="2:18" x14ac:dyDescent="0.25">
      <c r="B370" s="4" t="s">
        <v>110</v>
      </c>
      <c r="C370" s="35">
        <f>D370/(D369+D370+D371+D372)*100</f>
        <v>10.204081632653059</v>
      </c>
      <c r="D370" s="140">
        <v>2</v>
      </c>
      <c r="E370" s="5">
        <v>0.7</v>
      </c>
      <c r="F370" s="5">
        <f t="shared" ref="F370:F376" si="68">(D370*E370%)*1000</f>
        <v>13.999999999999998</v>
      </c>
      <c r="G370" s="5">
        <v>10.3</v>
      </c>
      <c r="H370" s="5">
        <f t="shared" ref="H370:H376" si="69">(D370*G370%)*1000</f>
        <v>206.00000000000003</v>
      </c>
      <c r="I370" s="25"/>
      <c r="K370" s="4" t="s">
        <v>110</v>
      </c>
      <c r="L370" s="35">
        <f>M370/(M369+M370+M371+M372)*100</f>
        <v>10.810810810810811</v>
      </c>
      <c r="M370" s="5">
        <v>2</v>
      </c>
      <c r="N370" s="5">
        <v>0.7</v>
      </c>
      <c r="O370" s="5">
        <f t="shared" ref="O370:O376" si="70">(M370*N370%)*1000</f>
        <v>13.999999999999998</v>
      </c>
      <c r="P370" s="5">
        <v>10.3</v>
      </c>
      <c r="Q370" s="5">
        <f t="shared" ref="Q370:Q376" si="71">(M370*P370%)*1000</f>
        <v>206.00000000000003</v>
      </c>
      <c r="R370" s="25"/>
    </row>
    <row r="371" spans="2:18" x14ac:dyDescent="0.25">
      <c r="B371" s="2" t="s">
        <v>12</v>
      </c>
      <c r="C371" s="35">
        <f>D371/(D369+D370+D371+D372)*100</f>
        <v>34.183673469387756</v>
      </c>
      <c r="D371" s="140">
        <v>6.7</v>
      </c>
      <c r="E371" s="5">
        <v>0.46</v>
      </c>
      <c r="F371" s="5">
        <f t="shared" si="68"/>
        <v>30.82</v>
      </c>
      <c r="G371" s="5">
        <v>2.2000000000000002</v>
      </c>
      <c r="H371" s="5">
        <f t="shared" si="69"/>
        <v>147.40000000000003</v>
      </c>
      <c r="I371" s="25"/>
      <c r="K371" s="2" t="s">
        <v>12</v>
      </c>
      <c r="L371" s="35">
        <f>M371/(M369+M370+M371+M372)*100</f>
        <v>36.216216216216218</v>
      </c>
      <c r="M371" s="5">
        <v>6.7</v>
      </c>
      <c r="N371" s="5">
        <v>0.46</v>
      </c>
      <c r="O371" s="5">
        <f t="shared" si="70"/>
        <v>30.82</v>
      </c>
      <c r="P371" s="5">
        <v>2.2000000000000002</v>
      </c>
      <c r="Q371" s="5">
        <f t="shared" si="71"/>
        <v>147.40000000000003</v>
      </c>
      <c r="R371" s="25"/>
    </row>
    <row r="372" spans="2:18" ht="15.75" x14ac:dyDescent="0.25">
      <c r="B372" s="2" t="s">
        <v>75</v>
      </c>
      <c r="C372" s="35">
        <f>D372/(D369+D370+D371+D372)*100</f>
        <v>30.102040816326532</v>
      </c>
      <c r="D372" s="140">
        <v>5.9</v>
      </c>
      <c r="E372" s="5">
        <v>1.33</v>
      </c>
      <c r="F372" s="5">
        <f t="shared" si="68"/>
        <v>78.470000000000013</v>
      </c>
      <c r="G372" s="98">
        <v>14.7</v>
      </c>
      <c r="H372" s="5">
        <f t="shared" si="69"/>
        <v>867.3</v>
      </c>
      <c r="I372" s="25"/>
      <c r="K372" s="2" t="s">
        <v>14</v>
      </c>
      <c r="L372" s="35">
        <f>M372/(M369+M370+M371+M372)*100</f>
        <v>0</v>
      </c>
      <c r="M372" s="5">
        <v>0</v>
      </c>
      <c r="N372" s="5">
        <v>0.71</v>
      </c>
      <c r="O372" s="5">
        <f t="shared" si="70"/>
        <v>0</v>
      </c>
      <c r="P372" s="5">
        <v>0</v>
      </c>
      <c r="Q372" s="5">
        <f t="shared" si="71"/>
        <v>0</v>
      </c>
      <c r="R372" s="25"/>
    </row>
    <row r="373" spans="2:18" x14ac:dyDescent="0.25">
      <c r="B373" s="2" t="s">
        <v>17</v>
      </c>
      <c r="C373" s="35"/>
      <c r="D373" s="140">
        <v>6</v>
      </c>
      <c r="E373" s="5">
        <v>3.5</v>
      </c>
      <c r="F373" s="5">
        <f t="shared" si="68"/>
        <v>210.00000000000003</v>
      </c>
      <c r="G373" s="5">
        <v>29.3</v>
      </c>
      <c r="H373" s="5">
        <f t="shared" si="69"/>
        <v>1758</v>
      </c>
      <c r="I373" s="25"/>
      <c r="K373" s="2" t="s">
        <v>17</v>
      </c>
      <c r="L373" s="35"/>
      <c r="M373" s="5">
        <v>6.7</v>
      </c>
      <c r="N373" s="5">
        <v>3.42</v>
      </c>
      <c r="O373" s="5">
        <f t="shared" si="70"/>
        <v>229.14000000000001</v>
      </c>
      <c r="P373" s="5">
        <v>30.6</v>
      </c>
      <c r="Q373" s="5">
        <f t="shared" si="71"/>
        <v>2050.1999999999998</v>
      </c>
      <c r="R373" s="25"/>
    </row>
    <row r="374" spans="2:18" x14ac:dyDescent="0.25">
      <c r="B374" s="4" t="s">
        <v>21</v>
      </c>
      <c r="C374" s="41"/>
      <c r="D374" s="141">
        <v>1.5</v>
      </c>
      <c r="E374" s="5">
        <v>0</v>
      </c>
      <c r="F374" s="5">
        <f t="shared" si="68"/>
        <v>0</v>
      </c>
      <c r="G374" s="5">
        <v>84.1</v>
      </c>
      <c r="H374" s="5">
        <f t="shared" si="69"/>
        <v>1261.4999999999998</v>
      </c>
      <c r="I374" s="25"/>
      <c r="K374" s="4" t="s">
        <v>21</v>
      </c>
      <c r="L374" s="41"/>
      <c r="M374" s="13">
        <v>1.4</v>
      </c>
      <c r="N374" s="5">
        <v>0</v>
      </c>
      <c r="O374" s="5">
        <f t="shared" si="70"/>
        <v>0</v>
      </c>
      <c r="P374" s="5">
        <v>84.5</v>
      </c>
      <c r="Q374" s="5">
        <f t="shared" si="71"/>
        <v>1182.9999999999998</v>
      </c>
      <c r="R374" s="25"/>
    </row>
    <row r="375" spans="2:18" x14ac:dyDescent="0.25">
      <c r="B375" s="4" t="s">
        <v>49</v>
      </c>
      <c r="C375" s="41"/>
      <c r="D375" s="142">
        <v>0</v>
      </c>
      <c r="E375" s="13">
        <v>0</v>
      </c>
      <c r="F375" s="5">
        <f t="shared" si="68"/>
        <v>0</v>
      </c>
      <c r="G375" s="5">
        <v>0</v>
      </c>
      <c r="H375" s="5">
        <f t="shared" si="69"/>
        <v>0</v>
      </c>
      <c r="I375" s="25"/>
      <c r="K375" s="4" t="s">
        <v>49</v>
      </c>
      <c r="L375" s="41"/>
      <c r="M375" s="15">
        <v>0</v>
      </c>
      <c r="N375" s="13">
        <v>0</v>
      </c>
      <c r="O375" s="5">
        <f t="shared" si="70"/>
        <v>0</v>
      </c>
      <c r="P375" s="5">
        <v>0</v>
      </c>
      <c r="Q375" s="5">
        <f t="shared" si="71"/>
        <v>0</v>
      </c>
      <c r="R375" s="25"/>
    </row>
    <row r="376" spans="2:18" x14ac:dyDescent="0.25">
      <c r="B376" s="4" t="s">
        <v>23</v>
      </c>
      <c r="C376" s="41"/>
      <c r="D376" s="141">
        <v>0.12</v>
      </c>
      <c r="E376" s="13">
        <v>20.5</v>
      </c>
      <c r="F376" s="5">
        <f t="shared" si="68"/>
        <v>24.599999999999998</v>
      </c>
      <c r="G376" s="5">
        <v>0</v>
      </c>
      <c r="H376" s="5">
        <f t="shared" si="69"/>
        <v>0</v>
      </c>
      <c r="I376" s="25"/>
      <c r="K376" s="4" t="s">
        <v>23</v>
      </c>
      <c r="L376" s="41"/>
      <c r="M376" s="13">
        <v>0.2</v>
      </c>
      <c r="N376" s="13">
        <v>20.5</v>
      </c>
      <c r="O376" s="5">
        <f t="shared" si="70"/>
        <v>41</v>
      </c>
      <c r="P376" s="5">
        <v>0</v>
      </c>
      <c r="Q376" s="5">
        <f t="shared" si="71"/>
        <v>0</v>
      </c>
      <c r="R376" s="25"/>
    </row>
    <row r="377" spans="2:18" x14ac:dyDescent="0.25">
      <c r="B377" s="9" t="s">
        <v>26</v>
      </c>
      <c r="C377" s="42"/>
      <c r="D377" s="143">
        <f>SUM(D369:D376)</f>
        <v>27.220000000000002</v>
      </c>
      <c r="E377" s="9"/>
      <c r="F377" s="11">
        <f>SUM(F369:F376)</f>
        <v>399.8900000000001</v>
      </c>
      <c r="G377" s="9"/>
      <c r="H377" s="11">
        <f>SUM(H369:H376)</f>
        <v>4895.2</v>
      </c>
      <c r="I377" s="123" t="s">
        <v>6</v>
      </c>
      <c r="K377" s="9" t="s">
        <v>26</v>
      </c>
      <c r="L377" s="42"/>
      <c r="M377" s="11">
        <f>SUM(M369:M376)</f>
        <v>26.799999999999997</v>
      </c>
      <c r="N377" s="9"/>
      <c r="O377" s="11">
        <f>SUM(O369:O376)</f>
        <v>390.42</v>
      </c>
      <c r="P377" s="9"/>
      <c r="Q377" s="11">
        <f>SUM(Q369:Q376)</f>
        <v>4831.2</v>
      </c>
      <c r="R377" s="121" t="s">
        <v>6</v>
      </c>
    </row>
    <row r="378" spans="2:18" x14ac:dyDescent="0.25">
      <c r="B378" s="230"/>
      <c r="C378" s="231"/>
      <c r="D378" s="231"/>
      <c r="E378" s="232"/>
      <c r="F378" s="8">
        <f>F377/D377/10</f>
        <v>1.4691036002939017</v>
      </c>
      <c r="G378" s="12"/>
      <c r="H378" s="8">
        <f>H377/D377/10</f>
        <v>17.983835415135928</v>
      </c>
      <c r="I378" s="11">
        <f>((100-H378)*0.5)/F378</f>
        <v>27.913676260971762</v>
      </c>
      <c r="K378" s="230"/>
      <c r="L378" s="231"/>
      <c r="M378" s="231"/>
      <c r="N378" s="232"/>
      <c r="O378" s="8">
        <f>O377/M377/10</f>
        <v>1.4567910447761196</v>
      </c>
      <c r="P378" s="12"/>
      <c r="Q378" s="8">
        <f>Q377/M377/10</f>
        <v>18.026865671641794</v>
      </c>
      <c r="R378" s="11">
        <f>((100-Q378)*0.5)/O378</f>
        <v>28.134829158342296</v>
      </c>
    </row>
    <row r="381" spans="2:18" x14ac:dyDescent="0.25">
      <c r="B381" s="253" t="s">
        <v>136</v>
      </c>
      <c r="C381" s="254"/>
      <c r="D381" s="254"/>
      <c r="E381" s="254"/>
      <c r="F381" s="254"/>
      <c r="G381" s="254"/>
      <c r="H381" s="254"/>
      <c r="I381" s="255"/>
      <c r="L381" s="61"/>
      <c r="N381" s="61"/>
      <c r="O381" s="61"/>
      <c r="P381" s="61"/>
      <c r="Q381" s="61"/>
      <c r="R381" s="61"/>
    </row>
    <row r="382" spans="2:18" x14ac:dyDescent="0.25">
      <c r="B382" s="217" t="s">
        <v>0</v>
      </c>
      <c r="C382" s="227" t="s">
        <v>1</v>
      </c>
      <c r="D382" s="217" t="s">
        <v>47</v>
      </c>
      <c r="E382" s="221" t="s">
        <v>46</v>
      </c>
      <c r="F382" s="222"/>
      <c r="G382" s="222"/>
      <c r="H382" s="223"/>
      <c r="I382" s="229" t="s">
        <v>102</v>
      </c>
      <c r="L382" s="61"/>
      <c r="N382" s="61"/>
      <c r="O382" s="61"/>
      <c r="P382" s="61"/>
      <c r="Q382" s="61"/>
      <c r="R382" s="61"/>
    </row>
    <row r="383" spans="2:18" x14ac:dyDescent="0.25">
      <c r="B383" s="218"/>
      <c r="C383" s="228"/>
      <c r="D383" s="218"/>
      <c r="E383" s="2" t="s">
        <v>42</v>
      </c>
      <c r="F383" s="2" t="s">
        <v>43</v>
      </c>
      <c r="G383" s="2" t="s">
        <v>44</v>
      </c>
      <c r="H383" s="2" t="s">
        <v>45</v>
      </c>
      <c r="I383" s="229"/>
      <c r="L383" s="61"/>
      <c r="N383" s="61"/>
      <c r="O383" s="61"/>
      <c r="P383" s="61"/>
      <c r="Q383" s="61"/>
      <c r="R383" s="61"/>
    </row>
    <row r="384" spans="2:18" x14ac:dyDescent="0.25">
      <c r="B384" s="2" t="s">
        <v>122</v>
      </c>
      <c r="C384" s="35">
        <f>D384/(D384+D385+D386+D387)*100</f>
        <v>52.972972972972975</v>
      </c>
      <c r="D384" s="140">
        <v>9.8000000000000007</v>
      </c>
      <c r="E384" s="5">
        <v>0.77</v>
      </c>
      <c r="F384" s="5">
        <f>(D384*E384%)*1000</f>
        <v>75.460000000000008</v>
      </c>
      <c r="G384" s="5">
        <v>12.7</v>
      </c>
      <c r="H384" s="5">
        <f>(D384*G384%)*1000</f>
        <v>1244.6000000000001</v>
      </c>
      <c r="I384" s="51">
        <f>D384+D385+D386+D387</f>
        <v>18.5</v>
      </c>
      <c r="L384" s="61"/>
      <c r="N384" s="61"/>
      <c r="O384" s="61"/>
      <c r="P384" s="61"/>
      <c r="Q384" s="61"/>
      <c r="R384" s="61"/>
    </row>
    <row r="385" spans="2:18" x14ac:dyDescent="0.25">
      <c r="B385" s="4" t="s">
        <v>110</v>
      </c>
      <c r="C385" s="35">
        <f>D385/(D384+D385+D386+D387)*100</f>
        <v>10.810810810810811</v>
      </c>
      <c r="D385" s="140">
        <v>2</v>
      </c>
      <c r="E385" s="5">
        <v>0.7</v>
      </c>
      <c r="F385" s="5">
        <f t="shared" ref="F385:F391" si="72">(D385*E385%)*1000</f>
        <v>13.999999999999998</v>
      </c>
      <c r="G385" s="5">
        <v>10.3</v>
      </c>
      <c r="H385" s="5">
        <f t="shared" ref="H385:H391" si="73">(D385*G385%)*1000</f>
        <v>206.00000000000003</v>
      </c>
      <c r="I385" s="25"/>
      <c r="L385" s="61"/>
      <c r="N385" s="61"/>
      <c r="O385" s="61"/>
      <c r="P385" s="61"/>
      <c r="Q385" s="61"/>
      <c r="R385" s="61"/>
    </row>
    <row r="386" spans="2:18" x14ac:dyDescent="0.25">
      <c r="B386" s="2" t="s">
        <v>12</v>
      </c>
      <c r="C386" s="35">
        <f>D386/(D384+D385+D386+D387)*100</f>
        <v>36.216216216216218</v>
      </c>
      <c r="D386" s="140">
        <v>6.7</v>
      </c>
      <c r="E386" s="5">
        <v>0.46</v>
      </c>
      <c r="F386" s="5">
        <f t="shared" si="72"/>
        <v>30.82</v>
      </c>
      <c r="G386" s="5">
        <v>2.2000000000000002</v>
      </c>
      <c r="H386" s="5">
        <f t="shared" si="73"/>
        <v>147.40000000000003</v>
      </c>
      <c r="I386" s="25"/>
      <c r="L386" s="61"/>
      <c r="N386" s="61"/>
      <c r="O386" s="61"/>
      <c r="P386" s="61"/>
      <c r="Q386" s="61"/>
      <c r="R386" s="61"/>
    </row>
    <row r="387" spans="2:18" x14ac:dyDescent="0.25">
      <c r="B387" s="2" t="s">
        <v>14</v>
      </c>
      <c r="C387" s="35">
        <f>D387/(D384+D385+D386+D387)*100</f>
        <v>0</v>
      </c>
      <c r="D387" s="140">
        <v>0</v>
      </c>
      <c r="E387" s="5">
        <v>0.71</v>
      </c>
      <c r="F387" s="5">
        <f t="shared" si="72"/>
        <v>0</v>
      </c>
      <c r="G387" s="5">
        <v>0</v>
      </c>
      <c r="H387" s="5">
        <f t="shared" si="73"/>
        <v>0</v>
      </c>
      <c r="I387" s="25"/>
      <c r="L387" s="61"/>
      <c r="N387" s="61"/>
      <c r="O387" s="61"/>
      <c r="P387" s="61"/>
      <c r="Q387" s="61"/>
      <c r="R387" s="61"/>
    </row>
    <row r="388" spans="2:18" x14ac:dyDescent="0.25">
      <c r="B388" s="2" t="s">
        <v>17</v>
      </c>
      <c r="C388" s="35"/>
      <c r="D388" s="140">
        <v>6.8</v>
      </c>
      <c r="E388" s="5">
        <v>3.48</v>
      </c>
      <c r="F388" s="5">
        <f t="shared" si="72"/>
        <v>236.64</v>
      </c>
      <c r="G388" s="5">
        <v>30.3</v>
      </c>
      <c r="H388" s="5">
        <f t="shared" si="73"/>
        <v>2060.4</v>
      </c>
      <c r="I388" s="25"/>
      <c r="L388" s="61"/>
      <c r="N388" s="61"/>
      <c r="O388" s="61"/>
      <c r="P388" s="61"/>
      <c r="Q388" s="61"/>
      <c r="R388" s="61"/>
    </row>
    <row r="389" spans="2:18" x14ac:dyDescent="0.25">
      <c r="B389" s="4" t="s">
        <v>21</v>
      </c>
      <c r="C389" s="41"/>
      <c r="D389" s="141">
        <v>1.4</v>
      </c>
      <c r="E389" s="5">
        <v>0</v>
      </c>
      <c r="F389" s="5">
        <f t="shared" si="72"/>
        <v>0</v>
      </c>
      <c r="G389" s="5">
        <v>84.4</v>
      </c>
      <c r="H389" s="5">
        <f t="shared" si="73"/>
        <v>1181.5999999999999</v>
      </c>
      <c r="I389" s="25"/>
      <c r="L389" s="61"/>
      <c r="N389" s="61"/>
      <c r="O389" s="61"/>
      <c r="P389" s="61"/>
      <c r="Q389" s="61"/>
      <c r="R389" s="61"/>
    </row>
    <row r="390" spans="2:18" x14ac:dyDescent="0.25">
      <c r="B390" s="4" t="s">
        <v>49</v>
      </c>
      <c r="C390" s="41"/>
      <c r="D390" s="142">
        <v>0</v>
      </c>
      <c r="E390" s="13">
        <v>0</v>
      </c>
      <c r="F390" s="5">
        <f t="shared" si="72"/>
        <v>0</v>
      </c>
      <c r="G390" s="5">
        <v>0</v>
      </c>
      <c r="H390" s="5">
        <f t="shared" si="73"/>
        <v>0</v>
      </c>
      <c r="I390" s="25"/>
      <c r="L390" s="61"/>
      <c r="N390" s="61"/>
      <c r="O390" s="61"/>
      <c r="P390" s="61"/>
      <c r="Q390" s="61"/>
      <c r="R390" s="61"/>
    </row>
    <row r="391" spans="2:18" x14ac:dyDescent="0.25">
      <c r="B391" s="4" t="s">
        <v>23</v>
      </c>
      <c r="C391" s="41"/>
      <c r="D391" s="141">
        <v>0.185</v>
      </c>
      <c r="E391" s="13">
        <v>20.5</v>
      </c>
      <c r="F391" s="5">
        <f t="shared" si="72"/>
        <v>37.924999999999997</v>
      </c>
      <c r="G391" s="5">
        <v>0</v>
      </c>
      <c r="H391" s="5">
        <f t="shared" si="73"/>
        <v>0</v>
      </c>
      <c r="I391" s="25"/>
      <c r="L391" s="61"/>
      <c r="N391" s="61"/>
      <c r="O391" s="61"/>
      <c r="P391" s="61"/>
      <c r="Q391" s="61"/>
      <c r="R391" s="61"/>
    </row>
    <row r="392" spans="2:18" x14ac:dyDescent="0.25">
      <c r="B392" s="9" t="s">
        <v>26</v>
      </c>
      <c r="C392" s="42"/>
      <c r="D392" s="143">
        <f>SUM(D384:D391)</f>
        <v>26.884999999999998</v>
      </c>
      <c r="E392" s="9"/>
      <c r="F392" s="11">
        <f>SUM(F384:F391)</f>
        <v>394.84499999999997</v>
      </c>
      <c r="G392" s="9"/>
      <c r="H392" s="11">
        <f>SUM(H384:H391)</f>
        <v>4840</v>
      </c>
      <c r="I392" s="124" t="s">
        <v>6</v>
      </c>
      <c r="L392" s="61"/>
      <c r="N392" s="61"/>
      <c r="O392" s="61"/>
      <c r="P392" s="61"/>
      <c r="Q392" s="61"/>
      <c r="R392" s="61"/>
    </row>
    <row r="393" spans="2:18" x14ac:dyDescent="0.25">
      <c r="B393" s="230"/>
      <c r="C393" s="231"/>
      <c r="D393" s="231"/>
      <c r="E393" s="232"/>
      <c r="F393" s="8">
        <f>F392/D392/10</f>
        <v>1.4686442254045007</v>
      </c>
      <c r="G393" s="12"/>
      <c r="H393" s="8">
        <f>H392/D392/10</f>
        <v>18.002603682350756</v>
      </c>
      <c r="I393" s="11">
        <f>((100-H393)*0.5)/F393</f>
        <v>27.916017677822943</v>
      </c>
      <c r="L393" s="61"/>
      <c r="N393" s="61"/>
      <c r="O393" s="61"/>
      <c r="P393" s="61"/>
      <c r="Q393" s="61"/>
      <c r="R393" s="61"/>
    </row>
    <row r="394" spans="2:18" x14ac:dyDescent="0.25">
      <c r="L394" s="61"/>
      <c r="N394" s="61"/>
      <c r="O394" s="61"/>
      <c r="P394" s="61"/>
      <c r="Q394" s="61"/>
      <c r="R394" s="61"/>
    </row>
    <row r="397" spans="2:18" x14ac:dyDescent="0.25">
      <c r="E397" s="61"/>
    </row>
    <row r="398" spans="2:18" ht="15.75" x14ac:dyDescent="0.25">
      <c r="D398" s="144" t="s">
        <v>112</v>
      </c>
      <c r="L398" s="61"/>
      <c r="N398" s="61"/>
      <c r="O398" s="61"/>
      <c r="P398" s="61"/>
      <c r="Q398" s="61"/>
      <c r="R398" s="61"/>
    </row>
    <row r="399" spans="2:18" x14ac:dyDescent="0.25">
      <c r="B399" s="253" t="s">
        <v>113</v>
      </c>
      <c r="C399" s="254"/>
      <c r="D399" s="254"/>
      <c r="E399" s="254"/>
      <c r="F399" s="254"/>
      <c r="G399" s="254"/>
      <c r="H399" s="254"/>
      <c r="I399" s="255"/>
      <c r="L399" s="61"/>
      <c r="N399" s="61"/>
      <c r="O399" s="61"/>
      <c r="P399" s="61"/>
      <c r="Q399" s="61"/>
      <c r="R399" s="61"/>
    </row>
    <row r="400" spans="2:18" x14ac:dyDescent="0.25">
      <c r="B400" s="217" t="s">
        <v>0</v>
      </c>
      <c r="C400" s="227" t="s">
        <v>1</v>
      </c>
      <c r="D400" s="217" t="s">
        <v>47</v>
      </c>
      <c r="E400" s="221" t="s">
        <v>46</v>
      </c>
      <c r="F400" s="222"/>
      <c r="G400" s="222"/>
      <c r="H400" s="223"/>
      <c r="I400" s="229" t="s">
        <v>102</v>
      </c>
      <c r="L400" s="61"/>
      <c r="N400" s="61"/>
      <c r="O400" s="61"/>
      <c r="P400" s="61"/>
      <c r="Q400" s="61"/>
      <c r="R400" s="61"/>
    </row>
    <row r="401" spans="2:18" x14ac:dyDescent="0.25">
      <c r="B401" s="218"/>
      <c r="C401" s="228"/>
      <c r="D401" s="218"/>
      <c r="E401" s="2" t="s">
        <v>42</v>
      </c>
      <c r="F401" s="2" t="s">
        <v>43</v>
      </c>
      <c r="G401" s="2" t="s">
        <v>44</v>
      </c>
      <c r="H401" s="2" t="s">
        <v>45</v>
      </c>
      <c r="I401" s="229"/>
      <c r="L401" s="61"/>
      <c r="N401" s="61"/>
      <c r="O401" s="61"/>
      <c r="P401" s="61"/>
      <c r="Q401" s="61"/>
      <c r="R401" s="61"/>
    </row>
    <row r="402" spans="2:18" x14ac:dyDescent="0.25">
      <c r="B402" s="2" t="s">
        <v>115</v>
      </c>
      <c r="C402" s="35">
        <f>D402/(D402+D403+D404+D405)*100</f>
        <v>52.631578947368418</v>
      </c>
      <c r="D402" s="140">
        <v>10</v>
      </c>
      <c r="E402" s="5">
        <v>0.9</v>
      </c>
      <c r="F402" s="5">
        <f>(D402*E402%)*1000</f>
        <v>90.000000000000014</v>
      </c>
      <c r="G402" s="5">
        <v>15.4</v>
      </c>
      <c r="H402" s="5">
        <f>(D402*G402%)*1000</f>
        <v>1540</v>
      </c>
      <c r="I402" s="51">
        <f>D402+D403+D404+D405</f>
        <v>19</v>
      </c>
      <c r="L402" s="61"/>
      <c r="N402" s="61"/>
      <c r="O402" s="61"/>
      <c r="P402" s="61"/>
      <c r="Q402" s="61"/>
      <c r="R402" s="61"/>
    </row>
    <row r="403" spans="2:18" x14ac:dyDescent="0.25">
      <c r="B403" s="4" t="s">
        <v>110</v>
      </c>
      <c r="C403" s="35">
        <f>D403/(D402+D403+D404+D405)*100</f>
        <v>8.9473684210526319</v>
      </c>
      <c r="D403" s="140">
        <v>1.7</v>
      </c>
      <c r="E403" s="5">
        <v>0.7</v>
      </c>
      <c r="F403" s="5">
        <f t="shared" ref="F403:F409" si="74">(D403*E403%)*1000</f>
        <v>11.899999999999999</v>
      </c>
      <c r="G403" s="5">
        <v>9.9</v>
      </c>
      <c r="H403" s="5">
        <f t="shared" ref="H403:H409" si="75">(D403*G403%)*1000</f>
        <v>168.3</v>
      </c>
      <c r="I403" s="25"/>
      <c r="L403" s="61"/>
      <c r="N403" s="61"/>
      <c r="O403" s="61"/>
      <c r="P403" s="61"/>
      <c r="Q403" s="61"/>
      <c r="R403" s="61"/>
    </row>
    <row r="404" spans="2:18" x14ac:dyDescent="0.25">
      <c r="B404" s="2" t="s">
        <v>12</v>
      </c>
      <c r="C404" s="35">
        <f>D404/(D402+D403+D404+D405)*100</f>
        <v>38.421052631578945</v>
      </c>
      <c r="D404" s="140">
        <v>7.3</v>
      </c>
      <c r="E404" s="5">
        <v>0.42</v>
      </c>
      <c r="F404" s="5">
        <f t="shared" si="74"/>
        <v>30.659999999999997</v>
      </c>
      <c r="G404" s="5">
        <v>1.5</v>
      </c>
      <c r="H404" s="5">
        <f t="shared" si="75"/>
        <v>109.5</v>
      </c>
      <c r="I404" s="25"/>
      <c r="L404" s="61"/>
      <c r="N404" s="61"/>
      <c r="O404" s="61"/>
      <c r="P404" s="61"/>
      <c r="Q404" s="61"/>
      <c r="R404" s="61"/>
    </row>
    <row r="405" spans="2:18" x14ac:dyDescent="0.25">
      <c r="B405" s="2" t="s">
        <v>14</v>
      </c>
      <c r="C405" s="35">
        <f>D405/(D402+D403+D404+D405)*100</f>
        <v>0</v>
      </c>
      <c r="D405" s="140">
        <v>0</v>
      </c>
      <c r="E405" s="5">
        <v>0.71</v>
      </c>
      <c r="F405" s="5">
        <f t="shared" si="74"/>
        <v>0</v>
      </c>
      <c r="G405" s="5">
        <v>0</v>
      </c>
      <c r="H405" s="5">
        <f t="shared" si="75"/>
        <v>0</v>
      </c>
      <c r="I405" s="25"/>
      <c r="L405" s="61"/>
      <c r="N405" s="61"/>
      <c r="O405" s="61"/>
      <c r="P405" s="61"/>
      <c r="Q405" s="61"/>
      <c r="R405" s="61"/>
    </row>
    <row r="406" spans="2:18" x14ac:dyDescent="0.25">
      <c r="B406" s="2" t="s">
        <v>17</v>
      </c>
      <c r="C406" s="35"/>
      <c r="D406" s="140">
        <v>6.4</v>
      </c>
      <c r="E406" s="5">
        <v>3.48</v>
      </c>
      <c r="F406" s="5">
        <f t="shared" si="74"/>
        <v>222.72</v>
      </c>
      <c r="G406" s="5">
        <v>30.3</v>
      </c>
      <c r="H406" s="5">
        <f t="shared" si="75"/>
        <v>1939.2</v>
      </c>
      <c r="I406" s="25"/>
      <c r="L406" s="61"/>
      <c r="N406" s="61"/>
      <c r="O406" s="61"/>
      <c r="P406" s="61"/>
      <c r="Q406" s="61"/>
      <c r="R406" s="61"/>
    </row>
    <row r="407" spans="2:18" x14ac:dyDescent="0.25">
      <c r="B407" s="4" t="s">
        <v>21</v>
      </c>
      <c r="C407" s="41"/>
      <c r="D407" s="141">
        <v>1.3</v>
      </c>
      <c r="E407" s="5">
        <v>0</v>
      </c>
      <c r="F407" s="5">
        <f t="shared" si="74"/>
        <v>0</v>
      </c>
      <c r="G407" s="5">
        <v>84.4</v>
      </c>
      <c r="H407" s="5">
        <f t="shared" si="75"/>
        <v>1097.2000000000003</v>
      </c>
      <c r="I407" s="25"/>
      <c r="L407" s="61"/>
      <c r="N407" s="61"/>
      <c r="O407" s="61"/>
      <c r="P407" s="61"/>
      <c r="Q407" s="61"/>
      <c r="R407" s="61"/>
    </row>
    <row r="408" spans="2:18" x14ac:dyDescent="0.25">
      <c r="B408" s="4" t="s">
        <v>49</v>
      </c>
      <c r="C408" s="41"/>
      <c r="D408" s="142">
        <v>0</v>
      </c>
      <c r="E408" s="13">
        <v>46</v>
      </c>
      <c r="F408" s="5">
        <f t="shared" si="74"/>
        <v>0</v>
      </c>
      <c r="G408" s="5">
        <v>0</v>
      </c>
      <c r="H408" s="5">
        <f t="shared" si="75"/>
        <v>0</v>
      </c>
      <c r="I408" s="25"/>
      <c r="L408" s="61"/>
      <c r="N408" s="61"/>
      <c r="O408" s="61"/>
      <c r="P408" s="61"/>
      <c r="Q408" s="61"/>
      <c r="R408" s="61"/>
    </row>
    <row r="409" spans="2:18" x14ac:dyDescent="0.25">
      <c r="B409" s="4" t="s">
        <v>23</v>
      </c>
      <c r="C409" s="41"/>
      <c r="D409" s="141">
        <v>0.22</v>
      </c>
      <c r="E409" s="13">
        <v>20.5</v>
      </c>
      <c r="F409" s="5">
        <f t="shared" si="74"/>
        <v>45.099999999999994</v>
      </c>
      <c r="G409" s="5">
        <v>0</v>
      </c>
      <c r="H409" s="5">
        <f t="shared" si="75"/>
        <v>0</v>
      </c>
      <c r="I409" s="25"/>
      <c r="L409" s="61"/>
      <c r="N409" s="61"/>
      <c r="O409" s="61"/>
      <c r="P409" s="61"/>
      <c r="Q409" s="61"/>
      <c r="R409" s="61"/>
    </row>
    <row r="410" spans="2:18" x14ac:dyDescent="0.25">
      <c r="B410" s="9" t="s">
        <v>26</v>
      </c>
      <c r="C410" s="42"/>
      <c r="D410" s="143">
        <f>SUM(D402:D409)</f>
        <v>26.919999999999998</v>
      </c>
      <c r="E410" s="9"/>
      <c r="F410" s="11">
        <f>SUM(F402:F409)</f>
        <v>400.38</v>
      </c>
      <c r="G410" s="9"/>
      <c r="H410" s="11">
        <f>SUM(H402:H409)</f>
        <v>4854.2000000000007</v>
      </c>
      <c r="I410" s="124" t="s">
        <v>6</v>
      </c>
      <c r="L410" s="61"/>
      <c r="N410" s="61"/>
      <c r="O410" s="61"/>
      <c r="P410" s="61"/>
      <c r="Q410" s="61"/>
      <c r="R410" s="61"/>
    </row>
    <row r="411" spans="2:18" x14ac:dyDescent="0.25">
      <c r="B411" s="230"/>
      <c r="C411" s="231"/>
      <c r="D411" s="231"/>
      <c r="E411" s="232"/>
      <c r="F411" s="8">
        <f>F410/D410/10</f>
        <v>1.487295690936107</v>
      </c>
      <c r="G411" s="12"/>
      <c r="H411" s="8">
        <f>H410/D410/10</f>
        <v>18.031946508172368</v>
      </c>
      <c r="I411" s="11">
        <f>((100-H411)*0.5)/F411</f>
        <v>27.556071731854736</v>
      </c>
      <c r="L411" s="61"/>
      <c r="N411" s="61"/>
      <c r="O411" s="61"/>
      <c r="P411" s="61"/>
      <c r="Q411" s="61"/>
      <c r="R411" s="61"/>
    </row>
    <row r="412" spans="2:18" x14ac:dyDescent="0.25">
      <c r="L412" s="61"/>
      <c r="N412" s="61"/>
      <c r="O412" s="61"/>
      <c r="P412" s="61"/>
      <c r="Q412" s="61"/>
      <c r="R412" s="61"/>
    </row>
    <row r="414" spans="2:18" x14ac:dyDescent="0.25">
      <c r="B414" s="253" t="s">
        <v>114</v>
      </c>
      <c r="C414" s="254"/>
      <c r="D414" s="254"/>
      <c r="E414" s="254"/>
      <c r="F414" s="254"/>
      <c r="G414" s="254"/>
      <c r="H414" s="254"/>
      <c r="I414" s="255"/>
      <c r="L414" s="61"/>
      <c r="N414" s="61"/>
      <c r="O414" s="61"/>
      <c r="P414" s="61"/>
      <c r="Q414" s="61"/>
      <c r="R414" s="61"/>
    </row>
    <row r="415" spans="2:18" x14ac:dyDescent="0.25">
      <c r="B415" s="217" t="s">
        <v>0</v>
      </c>
      <c r="C415" s="227" t="s">
        <v>1</v>
      </c>
      <c r="D415" s="217" t="s">
        <v>47</v>
      </c>
      <c r="E415" s="221" t="s">
        <v>46</v>
      </c>
      <c r="F415" s="222"/>
      <c r="G415" s="222"/>
      <c r="H415" s="223"/>
      <c r="I415" s="229" t="s">
        <v>102</v>
      </c>
      <c r="L415" s="61"/>
      <c r="N415" s="61"/>
      <c r="O415" s="61"/>
      <c r="P415" s="61"/>
      <c r="Q415" s="61"/>
      <c r="R415" s="61"/>
    </row>
    <row r="416" spans="2:18" x14ac:dyDescent="0.25">
      <c r="B416" s="218"/>
      <c r="C416" s="228"/>
      <c r="D416" s="218"/>
      <c r="E416" s="2" t="s">
        <v>42</v>
      </c>
      <c r="F416" s="2" t="s">
        <v>43</v>
      </c>
      <c r="G416" s="2" t="s">
        <v>44</v>
      </c>
      <c r="H416" s="2" t="s">
        <v>45</v>
      </c>
      <c r="I416" s="229"/>
      <c r="L416" s="61"/>
      <c r="N416" s="61"/>
      <c r="O416" s="61"/>
      <c r="P416" s="61"/>
      <c r="Q416" s="61"/>
      <c r="R416" s="61"/>
    </row>
    <row r="417" spans="2:18" x14ac:dyDescent="0.25">
      <c r="B417" s="2" t="s">
        <v>115</v>
      </c>
      <c r="C417" s="35">
        <f>D417/(D417+D418+D419+D420)*100</f>
        <v>52.631578947368418</v>
      </c>
      <c r="D417" s="140">
        <v>10</v>
      </c>
      <c r="E417" s="5">
        <v>0.9</v>
      </c>
      <c r="F417" s="5">
        <f>(D417*E417%)*1000</f>
        <v>90.000000000000014</v>
      </c>
      <c r="G417" s="5">
        <v>15.4</v>
      </c>
      <c r="H417" s="5">
        <f>(D417*G417%)*1000</f>
        <v>1540</v>
      </c>
      <c r="I417" s="51">
        <f>D417+D418+D419+D420</f>
        <v>19</v>
      </c>
      <c r="L417" s="61"/>
      <c r="N417" s="61"/>
      <c r="O417" s="61"/>
      <c r="P417" s="61"/>
      <c r="Q417" s="61"/>
      <c r="R417" s="61"/>
    </row>
    <row r="418" spans="2:18" x14ac:dyDescent="0.25">
      <c r="B418" s="4" t="s">
        <v>110</v>
      </c>
      <c r="C418" s="35">
        <f>D418/(D417+D418+D419+D420)*100</f>
        <v>8.9473684210526319</v>
      </c>
      <c r="D418" s="140">
        <v>1.7</v>
      </c>
      <c r="E418" s="5">
        <v>0.7</v>
      </c>
      <c r="F418" s="5">
        <f t="shared" ref="F418:F424" si="76">(D418*E418%)*1000</f>
        <v>11.899999999999999</v>
      </c>
      <c r="G418" s="5">
        <v>9.9</v>
      </c>
      <c r="H418" s="5">
        <f t="shared" ref="H418:H424" si="77">(D418*G418%)*1000</f>
        <v>168.3</v>
      </c>
      <c r="I418" s="25"/>
      <c r="L418" s="61"/>
      <c r="N418" s="61"/>
      <c r="O418" s="61"/>
      <c r="P418" s="61"/>
      <c r="Q418" s="61"/>
      <c r="R418" s="61"/>
    </row>
    <row r="419" spans="2:18" x14ac:dyDescent="0.25">
      <c r="B419" s="2" t="s">
        <v>12</v>
      </c>
      <c r="C419" s="35">
        <f>D419/(D417+D418+D419+D420)*100</f>
        <v>38.421052631578945</v>
      </c>
      <c r="D419" s="140">
        <v>7.3</v>
      </c>
      <c r="E419" s="5">
        <v>0.42</v>
      </c>
      <c r="F419" s="5">
        <f t="shared" si="76"/>
        <v>30.659999999999997</v>
      </c>
      <c r="G419" s="5">
        <v>1.5</v>
      </c>
      <c r="H419" s="5">
        <f t="shared" si="77"/>
        <v>109.5</v>
      </c>
      <c r="I419" s="25"/>
      <c r="L419" s="61"/>
      <c r="N419" s="61"/>
      <c r="O419" s="61"/>
      <c r="P419" s="61"/>
      <c r="Q419" s="61"/>
      <c r="R419" s="61"/>
    </row>
    <row r="420" spans="2:18" x14ac:dyDescent="0.25">
      <c r="B420" s="2" t="s">
        <v>14</v>
      </c>
      <c r="C420" s="35">
        <f>D420/(D417+D418+D419+D420)*100</f>
        <v>0</v>
      </c>
      <c r="D420" s="140">
        <v>0</v>
      </c>
      <c r="E420" s="5">
        <v>0.71</v>
      </c>
      <c r="F420" s="5">
        <f t="shared" si="76"/>
        <v>0</v>
      </c>
      <c r="G420" s="5">
        <v>0</v>
      </c>
      <c r="H420" s="5">
        <f t="shared" si="77"/>
        <v>0</v>
      </c>
      <c r="I420" s="25"/>
      <c r="L420" s="61"/>
      <c r="N420" s="61"/>
      <c r="O420" s="61"/>
      <c r="P420" s="61"/>
      <c r="Q420" s="61"/>
      <c r="R420" s="61"/>
    </row>
    <row r="421" spans="2:18" x14ac:dyDescent="0.25">
      <c r="B421" s="2" t="s">
        <v>17</v>
      </c>
      <c r="C421" s="35"/>
      <c r="D421" s="140">
        <v>6.7</v>
      </c>
      <c r="E421" s="5">
        <v>3.29</v>
      </c>
      <c r="F421" s="5">
        <f t="shared" si="76"/>
        <v>220.42999999999998</v>
      </c>
      <c r="G421" s="5">
        <v>29.7</v>
      </c>
      <c r="H421" s="5">
        <f t="shared" si="77"/>
        <v>1989.9</v>
      </c>
      <c r="I421" s="25"/>
      <c r="L421" s="61"/>
      <c r="N421" s="61"/>
      <c r="O421" s="61"/>
      <c r="P421" s="61"/>
      <c r="Q421" s="61"/>
      <c r="R421" s="61"/>
    </row>
    <row r="422" spans="2:18" x14ac:dyDescent="0.25">
      <c r="B422" s="4" t="s">
        <v>21</v>
      </c>
      <c r="C422" s="41"/>
      <c r="D422" s="141">
        <v>1.3</v>
      </c>
      <c r="E422" s="5">
        <v>0</v>
      </c>
      <c r="F422" s="5">
        <f t="shared" si="76"/>
        <v>0</v>
      </c>
      <c r="G422" s="5">
        <v>84.4</v>
      </c>
      <c r="H422" s="5">
        <f t="shared" si="77"/>
        <v>1097.2000000000003</v>
      </c>
      <c r="I422" s="25"/>
      <c r="L422" s="61"/>
      <c r="N422" s="61"/>
      <c r="O422" s="61"/>
      <c r="P422" s="61"/>
      <c r="Q422" s="61"/>
      <c r="R422" s="61"/>
    </row>
    <row r="423" spans="2:18" x14ac:dyDescent="0.25">
      <c r="B423" s="4" t="s">
        <v>49</v>
      </c>
      <c r="C423" s="41"/>
      <c r="D423" s="142">
        <v>0</v>
      </c>
      <c r="E423" s="13">
        <v>46</v>
      </c>
      <c r="F423" s="5">
        <f t="shared" si="76"/>
        <v>0</v>
      </c>
      <c r="G423" s="5">
        <v>0</v>
      </c>
      <c r="H423" s="5">
        <f t="shared" si="77"/>
        <v>0</v>
      </c>
      <c r="I423" s="25"/>
      <c r="L423" s="61"/>
      <c r="N423" s="61"/>
      <c r="O423" s="61"/>
      <c r="P423" s="61"/>
      <c r="Q423" s="61"/>
      <c r="R423" s="61"/>
    </row>
    <row r="424" spans="2:18" x14ac:dyDescent="0.25">
      <c r="B424" s="4" t="s">
        <v>23</v>
      </c>
      <c r="C424" s="41"/>
      <c r="D424" s="141">
        <v>0.23</v>
      </c>
      <c r="E424" s="13">
        <v>20.5</v>
      </c>
      <c r="F424" s="5">
        <f t="shared" si="76"/>
        <v>47.15</v>
      </c>
      <c r="G424" s="5">
        <v>0</v>
      </c>
      <c r="H424" s="5">
        <f t="shared" si="77"/>
        <v>0</v>
      </c>
      <c r="I424" s="25"/>
      <c r="L424" s="61"/>
      <c r="N424" s="61"/>
      <c r="O424" s="61"/>
      <c r="P424" s="61"/>
      <c r="Q424" s="61"/>
      <c r="R424" s="61"/>
    </row>
    <row r="425" spans="2:18" x14ac:dyDescent="0.25">
      <c r="B425" s="9" t="s">
        <v>26</v>
      </c>
      <c r="C425" s="42"/>
      <c r="D425" s="143">
        <f>SUM(D417:D424)</f>
        <v>27.23</v>
      </c>
      <c r="E425" s="9"/>
      <c r="F425" s="11">
        <f>SUM(F417:F424)</f>
        <v>400.14</v>
      </c>
      <c r="G425" s="9"/>
      <c r="H425" s="11">
        <f>SUM(H417:H424)</f>
        <v>4904.8999999999996</v>
      </c>
      <c r="I425" s="149" t="s">
        <v>6</v>
      </c>
      <c r="L425" s="61"/>
      <c r="N425" s="61"/>
      <c r="O425" s="61"/>
      <c r="P425" s="61"/>
      <c r="Q425" s="61"/>
      <c r="R425" s="61"/>
    </row>
    <row r="426" spans="2:18" x14ac:dyDescent="0.25">
      <c r="B426" s="230"/>
      <c r="C426" s="231"/>
      <c r="D426" s="231"/>
      <c r="E426" s="232"/>
      <c r="F426" s="8">
        <f>F425/D425/10</f>
        <v>1.4694821887623943</v>
      </c>
      <c r="G426" s="12"/>
      <c r="H426" s="8">
        <f>H425/D425/10</f>
        <v>18.012853470437015</v>
      </c>
      <c r="I426" s="11">
        <f>((100-H426)*0.5)/F426</f>
        <v>27.896611186084872</v>
      </c>
      <c r="L426" s="61"/>
      <c r="N426" s="61"/>
      <c r="O426" s="61"/>
      <c r="P426" s="61"/>
      <c r="Q426" s="61"/>
      <c r="R426" s="61"/>
    </row>
    <row r="428" spans="2:18" x14ac:dyDescent="0.25">
      <c r="B428" s="253" t="s">
        <v>116</v>
      </c>
      <c r="C428" s="254"/>
      <c r="D428" s="254"/>
      <c r="E428" s="254"/>
      <c r="F428" s="254"/>
      <c r="G428" s="254"/>
      <c r="H428" s="254"/>
      <c r="I428" s="255"/>
    </row>
    <row r="429" spans="2:18" x14ac:dyDescent="0.25">
      <c r="B429" s="217" t="s">
        <v>0</v>
      </c>
      <c r="C429" s="227" t="s">
        <v>1</v>
      </c>
      <c r="D429" s="217" t="s">
        <v>47</v>
      </c>
      <c r="E429" s="221" t="s">
        <v>46</v>
      </c>
      <c r="F429" s="222"/>
      <c r="G429" s="222"/>
      <c r="H429" s="223"/>
      <c r="I429" s="233" t="s">
        <v>102</v>
      </c>
    </row>
    <row r="430" spans="2:18" x14ac:dyDescent="0.25">
      <c r="B430" s="218"/>
      <c r="C430" s="228"/>
      <c r="D430" s="218"/>
      <c r="E430" s="2" t="s">
        <v>42</v>
      </c>
      <c r="F430" s="2" t="s">
        <v>43</v>
      </c>
      <c r="G430" s="2" t="s">
        <v>44</v>
      </c>
      <c r="H430" s="2" t="s">
        <v>45</v>
      </c>
      <c r="I430" s="234"/>
    </row>
    <row r="431" spans="2:18" x14ac:dyDescent="0.25">
      <c r="B431" s="2" t="s">
        <v>115</v>
      </c>
      <c r="C431" s="35">
        <f>D431/(D431+D432+D433+D434)*100</f>
        <v>47.619047619047613</v>
      </c>
      <c r="D431" s="145">
        <v>10</v>
      </c>
      <c r="E431" s="146">
        <v>0.9</v>
      </c>
      <c r="F431" s="146">
        <f>(D431*E431%)*1000</f>
        <v>90.000000000000014</v>
      </c>
      <c r="G431" s="146">
        <v>15.6</v>
      </c>
      <c r="H431" s="146">
        <f>(D431*G431%)*1000</f>
        <v>1560</v>
      </c>
      <c r="I431" s="51">
        <f>D431+D432+D433+D434</f>
        <v>21</v>
      </c>
    </row>
    <row r="432" spans="2:18" x14ac:dyDescent="0.25">
      <c r="B432" s="4" t="s">
        <v>110</v>
      </c>
      <c r="C432" s="35">
        <f>D432/(D431+D432+D433+D434)*100</f>
        <v>9.5238095238095237</v>
      </c>
      <c r="D432" s="147">
        <v>2</v>
      </c>
      <c r="E432" s="82">
        <v>0.7</v>
      </c>
      <c r="F432" s="82">
        <f t="shared" ref="F432:F438" si="78">(D432*E432%)*1000</f>
        <v>13.999999999999998</v>
      </c>
      <c r="G432" s="82">
        <v>9.9</v>
      </c>
      <c r="H432" s="82">
        <f t="shared" ref="H432:H438" si="79">(D432*G432%)*1000</f>
        <v>198</v>
      </c>
      <c r="I432" s="25"/>
    </row>
    <row r="433" spans="2:18" x14ac:dyDescent="0.25">
      <c r="B433" s="2" t="s">
        <v>12</v>
      </c>
      <c r="C433" s="35">
        <f>D433/(D431+D432+D433+D434)*100</f>
        <v>42.857142857142854</v>
      </c>
      <c r="D433" s="147">
        <v>9</v>
      </c>
      <c r="E433" s="82">
        <v>0.42</v>
      </c>
      <c r="F433" s="82">
        <f t="shared" si="78"/>
        <v>37.799999999999997</v>
      </c>
      <c r="G433" s="82">
        <v>1.5</v>
      </c>
      <c r="H433" s="82">
        <f t="shared" si="79"/>
        <v>135</v>
      </c>
      <c r="I433" s="25"/>
    </row>
    <row r="434" spans="2:18" x14ac:dyDescent="0.25">
      <c r="B434" s="2" t="s">
        <v>14</v>
      </c>
      <c r="C434" s="35">
        <f>D434/(D431+D432+D433+D434)*100</f>
        <v>0</v>
      </c>
      <c r="D434" s="140">
        <v>0</v>
      </c>
      <c r="E434" s="5">
        <v>0.71</v>
      </c>
      <c r="F434" s="5">
        <f t="shared" si="78"/>
        <v>0</v>
      </c>
      <c r="G434" s="5">
        <v>0</v>
      </c>
      <c r="H434" s="5">
        <f t="shared" si="79"/>
        <v>0</v>
      </c>
      <c r="I434" s="25"/>
    </row>
    <row r="435" spans="2:18" x14ac:dyDescent="0.25">
      <c r="B435" s="2" t="s">
        <v>17</v>
      </c>
      <c r="C435" s="35"/>
      <c r="D435" s="147">
        <v>7.3</v>
      </c>
      <c r="E435" s="82">
        <v>3.29</v>
      </c>
      <c r="F435" s="82">
        <f t="shared" si="78"/>
        <v>240.17</v>
      </c>
      <c r="G435" s="82">
        <v>29.8</v>
      </c>
      <c r="H435" s="82">
        <f t="shared" si="79"/>
        <v>2175.3999999999996</v>
      </c>
      <c r="I435" s="25"/>
    </row>
    <row r="436" spans="2:18" x14ac:dyDescent="0.25">
      <c r="B436" s="4" t="s">
        <v>21</v>
      </c>
      <c r="C436" s="41"/>
      <c r="D436" s="147">
        <v>1.6</v>
      </c>
      <c r="E436" s="82">
        <v>0</v>
      </c>
      <c r="F436" s="82">
        <f t="shared" si="78"/>
        <v>0</v>
      </c>
      <c r="G436" s="82">
        <v>85.2</v>
      </c>
      <c r="H436" s="82">
        <f t="shared" si="79"/>
        <v>1363.2</v>
      </c>
      <c r="I436" s="25"/>
    </row>
    <row r="437" spans="2:18" x14ac:dyDescent="0.25">
      <c r="B437" s="4" t="s">
        <v>49</v>
      </c>
      <c r="C437" s="41"/>
      <c r="D437" s="148">
        <v>0</v>
      </c>
      <c r="E437" s="82">
        <v>46</v>
      </c>
      <c r="F437" s="82">
        <f t="shared" si="78"/>
        <v>0</v>
      </c>
      <c r="G437" s="82">
        <v>0</v>
      </c>
      <c r="H437" s="82">
        <f t="shared" si="79"/>
        <v>0</v>
      </c>
      <c r="I437" s="25"/>
    </row>
    <row r="438" spans="2:18" x14ac:dyDescent="0.25">
      <c r="B438" s="4" t="s">
        <v>23</v>
      </c>
      <c r="C438" s="41"/>
      <c r="D438" s="141">
        <v>0.25</v>
      </c>
      <c r="E438" s="13">
        <v>20.5</v>
      </c>
      <c r="F438" s="5">
        <f t="shared" si="78"/>
        <v>51.25</v>
      </c>
      <c r="G438" s="5">
        <v>0</v>
      </c>
      <c r="H438" s="5">
        <f t="shared" si="79"/>
        <v>0</v>
      </c>
      <c r="I438" s="25"/>
    </row>
    <row r="439" spans="2:18" x14ac:dyDescent="0.25">
      <c r="B439" s="9" t="s">
        <v>26</v>
      </c>
      <c r="C439" s="42"/>
      <c r="D439" s="143">
        <f>SUM(D431:D438)</f>
        <v>30.150000000000002</v>
      </c>
      <c r="E439" s="9"/>
      <c r="F439" s="11">
        <f>SUM(F431:F438)</f>
        <v>433.22</v>
      </c>
      <c r="G439" s="9"/>
      <c r="H439" s="11">
        <f>SUM(H431:H438)</f>
        <v>5431.5999999999995</v>
      </c>
      <c r="I439" s="149" t="s">
        <v>6</v>
      </c>
    </row>
    <row r="440" spans="2:18" x14ac:dyDescent="0.25">
      <c r="B440" s="230"/>
      <c r="C440" s="231"/>
      <c r="D440" s="231"/>
      <c r="E440" s="232"/>
      <c r="F440" s="8">
        <f>F439/D439/10</f>
        <v>1.436882255389718</v>
      </c>
      <c r="G440" s="12"/>
      <c r="H440" s="8">
        <f>H439/D439/10</f>
        <v>18.015257048092867</v>
      </c>
      <c r="I440" s="11">
        <f>((100-H440)*0.5)/F440</f>
        <v>28.528692119477405</v>
      </c>
    </row>
    <row r="441" spans="2:18" x14ac:dyDescent="0.25">
      <c r="C441" s="34"/>
      <c r="D441" s="61"/>
    </row>
    <row r="442" spans="2:18" x14ac:dyDescent="0.25">
      <c r="L442" s="61"/>
      <c r="N442" s="61"/>
      <c r="O442" s="61"/>
      <c r="P442" s="61"/>
      <c r="Q442" s="61"/>
      <c r="R442" s="61"/>
    </row>
    <row r="443" spans="2:18" x14ac:dyDescent="0.25">
      <c r="B443" s="245" t="s">
        <v>117</v>
      </c>
      <c r="C443" s="246"/>
      <c r="D443" s="246"/>
      <c r="E443" s="246"/>
      <c r="F443" s="246"/>
      <c r="G443" s="246"/>
      <c r="H443" s="246"/>
      <c r="I443" s="247"/>
      <c r="K443" s="245" t="s">
        <v>127</v>
      </c>
      <c r="L443" s="246"/>
      <c r="M443" s="246"/>
      <c r="N443" s="246"/>
      <c r="O443" s="246"/>
      <c r="P443" s="246"/>
      <c r="Q443" s="246"/>
      <c r="R443" s="247"/>
    </row>
    <row r="444" spans="2:18" x14ac:dyDescent="0.25">
      <c r="B444" s="217" t="s">
        <v>0</v>
      </c>
      <c r="C444" s="227" t="s">
        <v>1</v>
      </c>
      <c r="D444" s="217" t="s">
        <v>47</v>
      </c>
      <c r="E444" s="221" t="s">
        <v>46</v>
      </c>
      <c r="F444" s="222"/>
      <c r="G444" s="222"/>
      <c r="H444" s="223"/>
      <c r="I444" s="229" t="s">
        <v>102</v>
      </c>
      <c r="K444" s="217" t="s">
        <v>0</v>
      </c>
      <c r="L444" s="227" t="s">
        <v>1</v>
      </c>
      <c r="M444" s="217" t="s">
        <v>47</v>
      </c>
      <c r="N444" s="221" t="s">
        <v>46</v>
      </c>
      <c r="O444" s="222"/>
      <c r="P444" s="222"/>
      <c r="Q444" s="223"/>
      <c r="R444" s="229" t="s">
        <v>102</v>
      </c>
    </row>
    <row r="445" spans="2:18" x14ac:dyDescent="0.25">
      <c r="B445" s="218"/>
      <c r="C445" s="228"/>
      <c r="D445" s="218"/>
      <c r="E445" s="2" t="s">
        <v>42</v>
      </c>
      <c r="F445" s="2" t="s">
        <v>43</v>
      </c>
      <c r="G445" s="2" t="s">
        <v>44</v>
      </c>
      <c r="H445" s="2" t="s">
        <v>45</v>
      </c>
      <c r="I445" s="229"/>
      <c r="K445" s="218"/>
      <c r="L445" s="228"/>
      <c r="M445" s="218"/>
      <c r="N445" s="2" t="s">
        <v>42</v>
      </c>
      <c r="O445" s="2" t="s">
        <v>43</v>
      </c>
      <c r="P445" s="2" t="s">
        <v>44</v>
      </c>
      <c r="Q445" s="2" t="s">
        <v>45</v>
      </c>
      <c r="R445" s="229"/>
    </row>
    <row r="446" spans="2:18" x14ac:dyDescent="0.25">
      <c r="B446" s="2" t="s">
        <v>115</v>
      </c>
      <c r="C446" s="35">
        <f>D446/(D446+D447+D448+D449)*100</f>
        <v>45.662100456621005</v>
      </c>
      <c r="D446" s="145">
        <v>10</v>
      </c>
      <c r="E446" s="146">
        <v>0.9</v>
      </c>
      <c r="F446" s="146">
        <f>(D446*E446%)*1000</f>
        <v>90.000000000000014</v>
      </c>
      <c r="G446" s="146">
        <v>15.4</v>
      </c>
      <c r="H446" s="146">
        <f>(D446*G446%)*1000</f>
        <v>1540</v>
      </c>
      <c r="I446" s="51">
        <f>D446+D447+D448+D449</f>
        <v>21.9</v>
      </c>
      <c r="K446" s="2" t="s">
        <v>115</v>
      </c>
      <c r="L446" s="35">
        <f>M446/(M446+M447+M448+M449)*100</f>
        <v>45.662100456621005</v>
      </c>
      <c r="M446" s="145">
        <v>10</v>
      </c>
      <c r="N446" s="146">
        <v>0.9</v>
      </c>
      <c r="O446" s="146">
        <f t="shared" ref="O446:O453" si="80">(M446*N446%)*1000</f>
        <v>90.000000000000014</v>
      </c>
      <c r="P446" s="146">
        <v>15.4</v>
      </c>
      <c r="Q446" s="146">
        <f t="shared" ref="Q446:Q453" si="81">(M446*P446%)*1000</f>
        <v>1540</v>
      </c>
      <c r="R446" s="51">
        <f>M446+M447+M448+M449</f>
        <v>21.9</v>
      </c>
    </row>
    <row r="447" spans="2:18" x14ac:dyDescent="0.25">
      <c r="B447" s="4" t="s">
        <v>110</v>
      </c>
      <c r="C447" s="35">
        <f>D447/(D446+D447+D448+D449)*100</f>
        <v>10.045662100456623</v>
      </c>
      <c r="D447" s="147">
        <v>2.2000000000000002</v>
      </c>
      <c r="E447" s="82">
        <v>0.7</v>
      </c>
      <c r="F447" s="82">
        <f t="shared" ref="F447:F453" si="82">(D447*E447%)*1000</f>
        <v>15.4</v>
      </c>
      <c r="G447" s="82">
        <v>9.9</v>
      </c>
      <c r="H447" s="82">
        <f t="shared" ref="H447:H453" si="83">(D447*G447%)*1000</f>
        <v>217.8</v>
      </c>
      <c r="I447" s="25"/>
      <c r="K447" s="4" t="s">
        <v>110</v>
      </c>
      <c r="L447" s="35">
        <f>M447/(M446+M447+M448+M449)*100</f>
        <v>10.045662100456623</v>
      </c>
      <c r="M447" s="147">
        <v>2.2000000000000002</v>
      </c>
      <c r="N447" s="82">
        <v>0.7</v>
      </c>
      <c r="O447" s="82">
        <f t="shared" si="80"/>
        <v>15.4</v>
      </c>
      <c r="P447" s="82">
        <v>9.9</v>
      </c>
      <c r="Q447" s="82">
        <f t="shared" si="81"/>
        <v>217.8</v>
      </c>
      <c r="R447" s="25"/>
    </row>
    <row r="448" spans="2:18" x14ac:dyDescent="0.25">
      <c r="B448" s="2" t="s">
        <v>12</v>
      </c>
      <c r="C448" s="35">
        <f>D448/(D446+D447+D448+D449)*100</f>
        <v>44.292237442922371</v>
      </c>
      <c r="D448" s="147">
        <v>9.6999999999999993</v>
      </c>
      <c r="E448" s="82">
        <v>0.42</v>
      </c>
      <c r="F448" s="82">
        <f t="shared" si="82"/>
        <v>40.739999999999995</v>
      </c>
      <c r="G448" s="82">
        <v>1.5</v>
      </c>
      <c r="H448" s="82">
        <f t="shared" si="83"/>
        <v>145.5</v>
      </c>
      <c r="I448" s="25"/>
      <c r="K448" s="2" t="s">
        <v>12</v>
      </c>
      <c r="L448" s="35">
        <f>M448/(M446+M447+M448+M449)*100</f>
        <v>44.292237442922371</v>
      </c>
      <c r="M448" s="147">
        <v>9.6999999999999993</v>
      </c>
      <c r="N448" s="82">
        <v>0.42</v>
      </c>
      <c r="O448" s="82">
        <f t="shared" si="80"/>
        <v>40.739999999999995</v>
      </c>
      <c r="P448" s="82">
        <v>1.5</v>
      </c>
      <c r="Q448" s="82">
        <f t="shared" si="81"/>
        <v>145.5</v>
      </c>
      <c r="R448" s="25"/>
    </row>
    <row r="449" spans="2:18" x14ac:dyDescent="0.25">
      <c r="B449" s="2" t="s">
        <v>14</v>
      </c>
      <c r="C449" s="35">
        <f>D449/(D446+D447+D448+D449)*100</f>
        <v>0</v>
      </c>
      <c r="D449" s="140">
        <v>0</v>
      </c>
      <c r="E449" s="5">
        <v>0.71</v>
      </c>
      <c r="F449" s="5">
        <f t="shared" si="82"/>
        <v>0</v>
      </c>
      <c r="G449" s="5">
        <v>0</v>
      </c>
      <c r="H449" s="5">
        <f t="shared" si="83"/>
        <v>0</v>
      </c>
      <c r="I449" s="25"/>
      <c r="K449" s="2" t="s">
        <v>14</v>
      </c>
      <c r="L449" s="35">
        <f>M449/(M446+M447+M448+M449)*100</f>
        <v>0</v>
      </c>
      <c r="M449" s="140">
        <v>0</v>
      </c>
      <c r="N449" s="5">
        <v>0.71</v>
      </c>
      <c r="O449" s="5">
        <f t="shared" si="80"/>
        <v>0</v>
      </c>
      <c r="P449" s="5">
        <v>0</v>
      </c>
      <c r="Q449" s="5">
        <f t="shared" si="81"/>
        <v>0</v>
      </c>
      <c r="R449" s="25"/>
    </row>
    <row r="450" spans="2:18" x14ac:dyDescent="0.25">
      <c r="B450" s="2" t="s">
        <v>17</v>
      </c>
      <c r="C450" s="35"/>
      <c r="D450" s="147">
        <v>7.8</v>
      </c>
      <c r="E450" s="82">
        <v>3.22</v>
      </c>
      <c r="F450" s="82">
        <f t="shared" si="82"/>
        <v>251.16</v>
      </c>
      <c r="G450" s="82">
        <v>30.6</v>
      </c>
      <c r="H450" s="82">
        <f t="shared" si="83"/>
        <v>2386.8000000000002</v>
      </c>
      <c r="I450" s="25"/>
      <c r="K450" s="2" t="s">
        <v>17</v>
      </c>
      <c r="L450" s="35"/>
      <c r="M450" s="147">
        <v>7.8</v>
      </c>
      <c r="N450" s="82">
        <v>3.36</v>
      </c>
      <c r="O450" s="82">
        <f t="shared" si="80"/>
        <v>262.08</v>
      </c>
      <c r="P450" s="82">
        <v>30.2</v>
      </c>
      <c r="Q450" s="82">
        <f t="shared" si="81"/>
        <v>2355.6</v>
      </c>
      <c r="R450" s="25"/>
    </row>
    <row r="451" spans="2:18" x14ac:dyDescent="0.25">
      <c r="B451" s="4" t="s">
        <v>21</v>
      </c>
      <c r="C451" s="41"/>
      <c r="D451" s="147">
        <v>1.7</v>
      </c>
      <c r="E451" s="82">
        <v>0</v>
      </c>
      <c r="F451" s="82">
        <f t="shared" si="82"/>
        <v>0</v>
      </c>
      <c r="G451" s="82">
        <v>84.4</v>
      </c>
      <c r="H451" s="82">
        <f t="shared" si="83"/>
        <v>1434.8000000000002</v>
      </c>
      <c r="I451" s="25"/>
      <c r="K451" s="4" t="s">
        <v>21</v>
      </c>
      <c r="L451" s="41"/>
      <c r="M451" s="147">
        <v>1.7</v>
      </c>
      <c r="N451" s="82">
        <v>0</v>
      </c>
      <c r="O451" s="82">
        <f t="shared" si="80"/>
        <v>0</v>
      </c>
      <c r="P451" s="82">
        <v>84.7</v>
      </c>
      <c r="Q451" s="82">
        <f t="shared" si="81"/>
        <v>1439.8999999999999</v>
      </c>
      <c r="R451" s="25"/>
    </row>
    <row r="452" spans="2:18" x14ac:dyDescent="0.25">
      <c r="B452" s="4" t="s">
        <v>49</v>
      </c>
      <c r="C452" s="41"/>
      <c r="D452" s="148">
        <v>0</v>
      </c>
      <c r="E452" s="82">
        <v>46</v>
      </c>
      <c r="F452" s="82">
        <f t="shared" si="82"/>
        <v>0</v>
      </c>
      <c r="G452" s="82">
        <v>0</v>
      </c>
      <c r="H452" s="82">
        <f t="shared" si="83"/>
        <v>0</v>
      </c>
      <c r="I452" s="25"/>
      <c r="K452" s="4" t="s">
        <v>49</v>
      </c>
      <c r="L452" s="41"/>
      <c r="M452" s="148">
        <v>0</v>
      </c>
      <c r="N452" s="82">
        <v>46</v>
      </c>
      <c r="O452" s="82">
        <f t="shared" si="80"/>
        <v>0</v>
      </c>
      <c r="P452" s="82">
        <v>0</v>
      </c>
      <c r="Q452" s="82">
        <f t="shared" si="81"/>
        <v>0</v>
      </c>
      <c r="R452" s="25"/>
    </row>
    <row r="453" spans="2:18" x14ac:dyDescent="0.25">
      <c r="B453" s="4" t="s">
        <v>23</v>
      </c>
      <c r="C453" s="41"/>
      <c r="D453" s="141">
        <v>0.3</v>
      </c>
      <c r="E453" s="13">
        <v>20.5</v>
      </c>
      <c r="F453" s="5">
        <f t="shared" si="82"/>
        <v>61.499999999999993</v>
      </c>
      <c r="G453" s="5">
        <v>0</v>
      </c>
      <c r="H453" s="5">
        <f t="shared" si="83"/>
        <v>0</v>
      </c>
      <c r="I453" s="25"/>
      <c r="K453" s="4" t="s">
        <v>23</v>
      </c>
      <c r="L453" s="41"/>
      <c r="M453" s="141">
        <v>0.26600000000000001</v>
      </c>
      <c r="N453" s="13">
        <v>20.5</v>
      </c>
      <c r="O453" s="5">
        <f t="shared" si="80"/>
        <v>54.53</v>
      </c>
      <c r="P453" s="5">
        <v>0</v>
      </c>
      <c r="Q453" s="5">
        <f t="shared" si="81"/>
        <v>0</v>
      </c>
      <c r="R453" s="25"/>
    </row>
    <row r="454" spans="2:18" x14ac:dyDescent="0.25">
      <c r="B454" s="9" t="s">
        <v>26</v>
      </c>
      <c r="C454" s="42"/>
      <c r="D454" s="143">
        <f>SUM(D446:D453)</f>
        <v>31.7</v>
      </c>
      <c r="E454" s="9"/>
      <c r="F454" s="11">
        <f>SUM(F446:F453)</f>
        <v>458.8</v>
      </c>
      <c r="G454" s="9"/>
      <c r="H454" s="11">
        <f>SUM(H446:H453)</f>
        <v>5724.9000000000005</v>
      </c>
      <c r="I454" s="150" t="s">
        <v>6</v>
      </c>
      <c r="K454" s="9" t="s">
        <v>26</v>
      </c>
      <c r="L454" s="42"/>
      <c r="M454" s="143">
        <f>SUM(M446:M453)</f>
        <v>31.665999999999997</v>
      </c>
      <c r="N454" s="9"/>
      <c r="O454" s="11">
        <f>SUM(O446:O453)</f>
        <v>462.75</v>
      </c>
      <c r="P454" s="9"/>
      <c r="Q454" s="11">
        <f>SUM(Q446:Q453)</f>
        <v>5698.7999999999993</v>
      </c>
      <c r="R454" s="151" t="s">
        <v>6</v>
      </c>
    </row>
    <row r="455" spans="2:18" x14ac:dyDescent="0.25">
      <c r="B455" s="230"/>
      <c r="C455" s="231"/>
      <c r="D455" s="231"/>
      <c r="E455" s="232"/>
      <c r="F455" s="8">
        <f>F454/D454/10</f>
        <v>1.4473186119873818</v>
      </c>
      <c r="G455" s="12"/>
      <c r="H455" s="8">
        <f>H454/D454/10</f>
        <v>18.059621451104103</v>
      </c>
      <c r="I455" s="11">
        <f>((100-H455)*0.5)/F455</f>
        <v>28.307650392327808</v>
      </c>
      <c r="K455" s="230"/>
      <c r="L455" s="231"/>
      <c r="M455" s="231"/>
      <c r="N455" s="232"/>
      <c r="O455" s="8">
        <f>O454/M454/10</f>
        <v>1.4613465546643087</v>
      </c>
      <c r="P455" s="12"/>
      <c r="Q455" s="8">
        <f>Q454/M454/10</f>
        <v>17.996589401882144</v>
      </c>
      <c r="R455" s="11">
        <f>((100-Q455)*0.5)/O455</f>
        <v>28.057482441923284</v>
      </c>
    </row>
    <row r="458" spans="2:18" x14ac:dyDescent="0.25">
      <c r="B458" s="245" t="s">
        <v>125</v>
      </c>
      <c r="C458" s="246"/>
      <c r="D458" s="246"/>
      <c r="E458" s="246"/>
      <c r="F458" s="246"/>
      <c r="G458" s="246"/>
      <c r="H458" s="246"/>
      <c r="I458" s="247"/>
      <c r="K458" s="245" t="s">
        <v>123</v>
      </c>
      <c r="L458" s="246"/>
      <c r="M458" s="246"/>
      <c r="N458" s="246"/>
      <c r="O458" s="246"/>
      <c r="P458" s="246"/>
      <c r="Q458" s="246"/>
      <c r="R458" s="247"/>
    </row>
    <row r="459" spans="2:18" x14ac:dyDescent="0.25">
      <c r="B459" s="217" t="s">
        <v>0</v>
      </c>
      <c r="C459" s="227" t="s">
        <v>1</v>
      </c>
      <c r="D459" s="217" t="s">
        <v>47</v>
      </c>
      <c r="E459" s="221" t="s">
        <v>46</v>
      </c>
      <c r="F459" s="222"/>
      <c r="G459" s="222"/>
      <c r="H459" s="223"/>
      <c r="I459" s="229" t="s">
        <v>102</v>
      </c>
      <c r="K459" s="217" t="s">
        <v>0</v>
      </c>
      <c r="L459" s="227" t="s">
        <v>1</v>
      </c>
      <c r="M459" s="217" t="s">
        <v>47</v>
      </c>
      <c r="N459" s="221" t="s">
        <v>46</v>
      </c>
      <c r="O459" s="222"/>
      <c r="P459" s="222"/>
      <c r="Q459" s="223"/>
      <c r="R459" s="229" t="s">
        <v>102</v>
      </c>
    </row>
    <row r="460" spans="2:18" x14ac:dyDescent="0.25">
      <c r="B460" s="218"/>
      <c r="C460" s="228"/>
      <c r="D460" s="218"/>
      <c r="E460" s="2" t="s">
        <v>42</v>
      </c>
      <c r="F460" s="2" t="s">
        <v>43</v>
      </c>
      <c r="G460" s="2" t="s">
        <v>44</v>
      </c>
      <c r="H460" s="2" t="s">
        <v>45</v>
      </c>
      <c r="I460" s="229"/>
      <c r="K460" s="218"/>
      <c r="L460" s="228"/>
      <c r="M460" s="218"/>
      <c r="N460" s="2" t="s">
        <v>42</v>
      </c>
      <c r="O460" s="2" t="s">
        <v>43</v>
      </c>
      <c r="P460" s="2" t="s">
        <v>44</v>
      </c>
      <c r="Q460" s="2" t="s">
        <v>45</v>
      </c>
      <c r="R460" s="229"/>
    </row>
    <row r="461" spans="2:18" x14ac:dyDescent="0.25">
      <c r="B461" s="2"/>
      <c r="C461" s="35">
        <f>D461/(D461+D463+D464+D462)*100</f>
        <v>0</v>
      </c>
      <c r="D461" s="145">
        <v>0</v>
      </c>
      <c r="E461" s="146">
        <v>0.9</v>
      </c>
      <c r="F461" s="146">
        <f t="shared" ref="F461:F468" si="84">(D461*E461%)*1000</f>
        <v>0</v>
      </c>
      <c r="G461" s="146">
        <v>15.4</v>
      </c>
      <c r="H461" s="146">
        <f t="shared" ref="H461:H468" si="85">(D461*G461%)*1000</f>
        <v>0</v>
      </c>
      <c r="I461" s="51">
        <f>D461+D463+D464+D462</f>
        <v>22.3</v>
      </c>
      <c r="K461" s="2" t="s">
        <v>122</v>
      </c>
      <c r="L461" s="35">
        <f>M461/(M461+M462+M463+M464)*100</f>
        <v>49.549549549549546</v>
      </c>
      <c r="M461" s="145">
        <v>11</v>
      </c>
      <c r="N461" s="5">
        <v>0.84</v>
      </c>
      <c r="O461" s="146">
        <f>(M461*N461%)*1000</f>
        <v>92.399999999999991</v>
      </c>
      <c r="P461" s="5">
        <v>12.1</v>
      </c>
      <c r="Q461" s="146">
        <f>(M461*P461%)*1000</f>
        <v>1331</v>
      </c>
      <c r="R461" s="51">
        <f>M461+M462+M463+M464</f>
        <v>22.2</v>
      </c>
    </row>
    <row r="462" spans="2:18" x14ac:dyDescent="0.25">
      <c r="B462" s="2" t="s">
        <v>122</v>
      </c>
      <c r="C462" s="35">
        <f>D462/(D461+D463+D464+D462)*100</f>
        <v>50.672645739910315</v>
      </c>
      <c r="D462" s="140">
        <v>11.3</v>
      </c>
      <c r="E462" s="5">
        <v>0.84</v>
      </c>
      <c r="F462" s="5">
        <f t="shared" si="84"/>
        <v>94.92</v>
      </c>
      <c r="G462" s="5">
        <v>12.18</v>
      </c>
      <c r="H462" s="5">
        <f t="shared" si="85"/>
        <v>1376.34</v>
      </c>
      <c r="I462" s="25"/>
      <c r="K462" s="4" t="s">
        <v>110</v>
      </c>
      <c r="L462" s="35">
        <f>M462/(M461+M462+M463+M464)*100</f>
        <v>9.9099099099099117</v>
      </c>
      <c r="M462" s="147">
        <v>2.2000000000000002</v>
      </c>
      <c r="N462" s="82">
        <v>0.63</v>
      </c>
      <c r="O462" s="82">
        <f t="shared" ref="O462:O468" si="86">(M462*N462%)*1000</f>
        <v>13.860000000000001</v>
      </c>
      <c r="P462" s="82">
        <v>10.6</v>
      </c>
      <c r="Q462" s="82">
        <f t="shared" ref="Q462:Q468" si="87">(M462*P462%)*1000</f>
        <v>233.20000000000002</v>
      </c>
      <c r="R462" s="25"/>
    </row>
    <row r="463" spans="2:18" x14ac:dyDescent="0.25">
      <c r="B463" s="4" t="s">
        <v>110</v>
      </c>
      <c r="C463" s="35">
        <f>D463/(D461+D463+D464+D462)*100</f>
        <v>8.9686098654708513</v>
      </c>
      <c r="D463" s="147">
        <v>2</v>
      </c>
      <c r="E463" s="82">
        <v>0.63</v>
      </c>
      <c r="F463" s="82">
        <f t="shared" si="84"/>
        <v>12.6</v>
      </c>
      <c r="G463" s="82">
        <v>10.6</v>
      </c>
      <c r="H463" s="82">
        <f t="shared" si="85"/>
        <v>212</v>
      </c>
      <c r="I463" s="25"/>
      <c r="K463" s="2" t="s">
        <v>12</v>
      </c>
      <c r="L463" s="35">
        <f>M463/(M461+M462+M463+M464)*100</f>
        <v>40.54054054054054</v>
      </c>
      <c r="M463" s="147">
        <v>9</v>
      </c>
      <c r="N463" s="82">
        <v>0.34</v>
      </c>
      <c r="O463" s="82">
        <f t="shared" si="86"/>
        <v>30.6</v>
      </c>
      <c r="P463" s="82">
        <v>1.6</v>
      </c>
      <c r="Q463" s="82">
        <f t="shared" si="87"/>
        <v>144.00000000000003</v>
      </c>
      <c r="R463" s="25"/>
    </row>
    <row r="464" spans="2:18" x14ac:dyDescent="0.25">
      <c r="B464" s="2" t="s">
        <v>12</v>
      </c>
      <c r="C464" s="35">
        <f>D464/(D461+D463+D464+D462)*100</f>
        <v>40.358744394618832</v>
      </c>
      <c r="D464" s="147">
        <v>9</v>
      </c>
      <c r="E464" s="82">
        <v>0.38</v>
      </c>
      <c r="F464" s="82">
        <f t="shared" si="84"/>
        <v>34.200000000000003</v>
      </c>
      <c r="G464" s="82">
        <v>1.7</v>
      </c>
      <c r="H464" s="82">
        <f t="shared" si="85"/>
        <v>153.00000000000003</v>
      </c>
      <c r="I464" s="25"/>
      <c r="K464" s="2" t="s">
        <v>14</v>
      </c>
      <c r="L464" s="35">
        <f>M464/(M461+M462+M463+M464)*100</f>
        <v>0</v>
      </c>
      <c r="M464" s="140">
        <v>0</v>
      </c>
      <c r="N464" s="5">
        <v>0.71</v>
      </c>
      <c r="O464" s="5">
        <f t="shared" si="86"/>
        <v>0</v>
      </c>
      <c r="P464" s="5">
        <v>0</v>
      </c>
      <c r="Q464" s="5">
        <f t="shared" si="87"/>
        <v>0</v>
      </c>
      <c r="R464" s="25"/>
    </row>
    <row r="465" spans="2:18" x14ac:dyDescent="0.25">
      <c r="B465" s="2" t="s">
        <v>17</v>
      </c>
      <c r="C465" s="35"/>
      <c r="D465" s="147">
        <v>8</v>
      </c>
      <c r="E465" s="82">
        <v>3.3</v>
      </c>
      <c r="F465" s="82">
        <f t="shared" si="84"/>
        <v>264</v>
      </c>
      <c r="G465" s="82">
        <v>30.8</v>
      </c>
      <c r="H465" s="82">
        <f t="shared" si="85"/>
        <v>2464</v>
      </c>
      <c r="I465" s="25"/>
      <c r="K465" s="2" t="s">
        <v>17</v>
      </c>
      <c r="L465" s="35"/>
      <c r="M465" s="147">
        <v>8.5</v>
      </c>
      <c r="N465" s="82">
        <v>3.22</v>
      </c>
      <c r="O465" s="82">
        <f t="shared" si="86"/>
        <v>273.7</v>
      </c>
      <c r="P465" s="82">
        <v>30.6</v>
      </c>
      <c r="Q465" s="82">
        <f t="shared" si="87"/>
        <v>2601</v>
      </c>
      <c r="R465" s="25"/>
    </row>
    <row r="466" spans="2:18" x14ac:dyDescent="0.25">
      <c r="B466" s="4" t="s">
        <v>21</v>
      </c>
      <c r="C466" s="41"/>
      <c r="D466" s="147">
        <v>1.7</v>
      </c>
      <c r="E466" s="82">
        <v>0</v>
      </c>
      <c r="F466" s="82">
        <f t="shared" si="84"/>
        <v>0</v>
      </c>
      <c r="G466" s="82">
        <v>84.4</v>
      </c>
      <c r="H466" s="82">
        <f t="shared" si="85"/>
        <v>1434.8000000000002</v>
      </c>
      <c r="I466" s="25"/>
      <c r="K466" s="4" t="s">
        <v>21</v>
      </c>
      <c r="L466" s="41"/>
      <c r="M466" s="147">
        <v>1.6</v>
      </c>
      <c r="N466" s="82">
        <v>0</v>
      </c>
      <c r="O466" s="82">
        <f t="shared" si="86"/>
        <v>0</v>
      </c>
      <c r="P466" s="82">
        <v>84.4</v>
      </c>
      <c r="Q466" s="82">
        <f t="shared" si="87"/>
        <v>1350.4000000000003</v>
      </c>
      <c r="R466" s="25"/>
    </row>
    <row r="467" spans="2:18" x14ac:dyDescent="0.25">
      <c r="B467" s="4" t="s">
        <v>49</v>
      </c>
      <c r="C467" s="41"/>
      <c r="D467" s="148">
        <v>0</v>
      </c>
      <c r="E467" s="82">
        <v>46</v>
      </c>
      <c r="F467" s="82">
        <f t="shared" si="84"/>
        <v>0</v>
      </c>
      <c r="G467" s="82">
        <v>0</v>
      </c>
      <c r="H467" s="82">
        <f t="shared" si="85"/>
        <v>0</v>
      </c>
      <c r="I467" s="25"/>
      <c r="K467" s="4" t="s">
        <v>49</v>
      </c>
      <c r="L467" s="41"/>
      <c r="M467" s="148">
        <v>0</v>
      </c>
      <c r="N467" s="82">
        <v>46</v>
      </c>
      <c r="O467" s="82">
        <f t="shared" si="86"/>
        <v>0</v>
      </c>
      <c r="P467" s="82">
        <v>0</v>
      </c>
      <c r="Q467" s="82">
        <f t="shared" si="87"/>
        <v>0</v>
      </c>
      <c r="R467" s="25"/>
    </row>
    <row r="468" spans="2:18" x14ac:dyDescent="0.25">
      <c r="B468" s="4" t="s">
        <v>23</v>
      </c>
      <c r="C468" s="41"/>
      <c r="D468" s="141">
        <v>0.3</v>
      </c>
      <c r="E468" s="13">
        <v>20.5</v>
      </c>
      <c r="F468" s="5">
        <f t="shared" si="84"/>
        <v>61.499999999999993</v>
      </c>
      <c r="G468" s="5">
        <v>0</v>
      </c>
      <c r="H468" s="5">
        <f t="shared" si="85"/>
        <v>0</v>
      </c>
      <c r="I468" s="25"/>
      <c r="K468" s="4" t="s">
        <v>23</v>
      </c>
      <c r="L468" s="41"/>
      <c r="M468" s="141">
        <v>0.3</v>
      </c>
      <c r="N468" s="13">
        <v>20.5</v>
      </c>
      <c r="O468" s="5">
        <f t="shared" si="86"/>
        <v>61.499999999999993</v>
      </c>
      <c r="P468" s="5">
        <v>0</v>
      </c>
      <c r="Q468" s="5">
        <f t="shared" si="87"/>
        <v>0</v>
      </c>
      <c r="R468" s="25"/>
    </row>
    <row r="469" spans="2:18" x14ac:dyDescent="0.25">
      <c r="B469" s="9" t="s">
        <v>26</v>
      </c>
      <c r="C469" s="42"/>
      <c r="D469" s="143">
        <f>SUM(D461:D468)</f>
        <v>32.299999999999997</v>
      </c>
      <c r="E469" s="9"/>
      <c r="F469" s="11">
        <f>SUM(F461:F468)</f>
        <v>467.22</v>
      </c>
      <c r="G469" s="9"/>
      <c r="H469" s="11">
        <f>SUM(H461:H468)</f>
        <v>5640.14</v>
      </c>
      <c r="I469" s="149" t="s">
        <v>6</v>
      </c>
      <c r="K469" s="9" t="s">
        <v>26</v>
      </c>
      <c r="L469" s="42"/>
      <c r="M469" s="143">
        <f>SUM(M461:M468)</f>
        <v>32.599999999999994</v>
      </c>
      <c r="N469" s="9"/>
      <c r="O469" s="11">
        <f>SUM(O461:O468)</f>
        <v>472.05999999999995</v>
      </c>
      <c r="P469" s="9"/>
      <c r="Q469" s="11">
        <f>SUM(Q461:Q468)</f>
        <v>5659.6</v>
      </c>
      <c r="R469" s="149" t="s">
        <v>6</v>
      </c>
    </row>
    <row r="470" spans="2:18" x14ac:dyDescent="0.25">
      <c r="B470" s="230"/>
      <c r="C470" s="231"/>
      <c r="D470" s="231"/>
      <c r="E470" s="232"/>
      <c r="F470" s="8">
        <f>F469/D469/10</f>
        <v>1.4465015479876162</v>
      </c>
      <c r="G470" s="12"/>
      <c r="H470" s="8">
        <f>H469/D469/10</f>
        <v>17.461733746130033</v>
      </c>
      <c r="I470" s="11">
        <f>((100-H470)*0.5)/F470</f>
        <v>28.530306921792729</v>
      </c>
      <c r="K470" s="230"/>
      <c r="L470" s="231"/>
      <c r="M470" s="231"/>
      <c r="N470" s="232"/>
      <c r="O470" s="8">
        <f>O469/M469/10</f>
        <v>1.4480368098159508</v>
      </c>
      <c r="P470" s="12"/>
      <c r="Q470" s="8">
        <f>Q469/M469/10</f>
        <v>17.360736196319021</v>
      </c>
      <c r="R470" s="11">
        <f>((100-Q470)*0.5)/O470</f>
        <v>28.534932000169469</v>
      </c>
    </row>
    <row r="471" spans="2:18" x14ac:dyDescent="0.25">
      <c r="L471" s="61"/>
      <c r="N471" s="61"/>
      <c r="O471" s="61"/>
      <c r="P471" s="61"/>
      <c r="Q471" s="61"/>
      <c r="R471" s="61"/>
    </row>
    <row r="472" spans="2:18" x14ac:dyDescent="0.25">
      <c r="B472" s="245" t="s">
        <v>124</v>
      </c>
      <c r="C472" s="246"/>
      <c r="D472" s="246"/>
      <c r="E472" s="246"/>
      <c r="F472" s="246"/>
      <c r="G472" s="246"/>
      <c r="H472" s="246"/>
      <c r="I472" s="247"/>
      <c r="K472" s="245" t="s">
        <v>126</v>
      </c>
      <c r="L472" s="246"/>
      <c r="M472" s="246"/>
      <c r="N472" s="246"/>
      <c r="O472" s="246"/>
      <c r="P472" s="246"/>
      <c r="Q472" s="246"/>
      <c r="R472" s="247"/>
    </row>
    <row r="473" spans="2:18" x14ac:dyDescent="0.25">
      <c r="B473" s="217" t="s">
        <v>0</v>
      </c>
      <c r="C473" s="227" t="s">
        <v>1</v>
      </c>
      <c r="D473" s="217" t="s">
        <v>47</v>
      </c>
      <c r="E473" s="221" t="s">
        <v>46</v>
      </c>
      <c r="F473" s="222"/>
      <c r="G473" s="222"/>
      <c r="H473" s="223"/>
      <c r="I473" s="229" t="s">
        <v>102</v>
      </c>
      <c r="K473" s="217" t="s">
        <v>0</v>
      </c>
      <c r="L473" s="227" t="s">
        <v>1</v>
      </c>
      <c r="M473" s="217" t="s">
        <v>47</v>
      </c>
      <c r="N473" s="221" t="s">
        <v>46</v>
      </c>
      <c r="O473" s="222"/>
      <c r="P473" s="222"/>
      <c r="Q473" s="223"/>
      <c r="R473" s="229" t="s">
        <v>102</v>
      </c>
    </row>
    <row r="474" spans="2:18" x14ac:dyDescent="0.25">
      <c r="B474" s="218"/>
      <c r="C474" s="228"/>
      <c r="D474" s="218"/>
      <c r="E474" s="2" t="s">
        <v>42</v>
      </c>
      <c r="F474" s="2" t="s">
        <v>43</v>
      </c>
      <c r="G474" s="2" t="s">
        <v>44</v>
      </c>
      <c r="H474" s="2" t="s">
        <v>45</v>
      </c>
      <c r="I474" s="229"/>
      <c r="K474" s="218"/>
      <c r="L474" s="228"/>
      <c r="M474" s="218"/>
      <c r="N474" s="2" t="s">
        <v>42</v>
      </c>
      <c r="O474" s="2" t="s">
        <v>43</v>
      </c>
      <c r="P474" s="2" t="s">
        <v>44</v>
      </c>
      <c r="Q474" s="2" t="s">
        <v>45</v>
      </c>
      <c r="R474" s="229"/>
    </row>
    <row r="475" spans="2:18" x14ac:dyDescent="0.25">
      <c r="B475" s="2" t="s">
        <v>122</v>
      </c>
      <c r="C475" s="35">
        <f>D475/(D475+D476+D477+D478)*100</f>
        <v>61.777777777777779</v>
      </c>
      <c r="D475" s="145">
        <v>13.9</v>
      </c>
      <c r="E475" s="5">
        <v>0.84</v>
      </c>
      <c r="F475" s="5">
        <f>(D475*E475%)*1000</f>
        <v>116.76</v>
      </c>
      <c r="G475" s="5">
        <v>12.1</v>
      </c>
      <c r="H475" s="146">
        <f t="shared" ref="H475:H482" si="88">(D475*G475%)*1000</f>
        <v>1681.8999999999999</v>
      </c>
      <c r="I475" s="51">
        <f>D475+D476+D477+D478</f>
        <v>22.5</v>
      </c>
      <c r="K475" s="2" t="s">
        <v>122</v>
      </c>
      <c r="L475" s="35">
        <f>M475/(M475+M476+M477+M478)*100</f>
        <v>61.777777777777779</v>
      </c>
      <c r="M475" s="145">
        <v>13.9</v>
      </c>
      <c r="N475" s="5">
        <v>0.84</v>
      </c>
      <c r="O475" s="5">
        <f>(M475*N475%)*1000</f>
        <v>116.76</v>
      </c>
      <c r="P475" s="5">
        <v>12.1</v>
      </c>
      <c r="Q475" s="146">
        <f t="shared" ref="Q475:Q482" si="89">(M475*P475%)*1000</f>
        <v>1681.8999999999999</v>
      </c>
      <c r="R475" s="51">
        <f>M475+M476+M477+M478</f>
        <v>22.5</v>
      </c>
    </row>
    <row r="476" spans="2:18" x14ac:dyDescent="0.25">
      <c r="B476" s="4" t="s">
        <v>110</v>
      </c>
      <c r="C476" s="35">
        <f>D476/(D475+D476+D477+D478)*100</f>
        <v>0</v>
      </c>
      <c r="D476" s="147">
        <v>0</v>
      </c>
      <c r="E476" s="82">
        <v>0.7</v>
      </c>
      <c r="F476" s="82">
        <f t="shared" ref="F476:F482" si="90">(D476*E476%)*1000</f>
        <v>0</v>
      </c>
      <c r="G476" s="82">
        <v>9.9</v>
      </c>
      <c r="H476" s="82">
        <f t="shared" si="88"/>
        <v>0</v>
      </c>
      <c r="I476" s="25"/>
      <c r="K476" s="4" t="s">
        <v>110</v>
      </c>
      <c r="L476" s="35">
        <f>M476/(M475+M476+M477+M478)*100</f>
        <v>0</v>
      </c>
      <c r="M476" s="147">
        <v>0</v>
      </c>
      <c r="N476" s="82">
        <v>0.7</v>
      </c>
      <c r="O476" s="82">
        <f t="shared" ref="O476:O482" si="91">(M476*N476%)*1000</f>
        <v>0</v>
      </c>
      <c r="P476" s="82">
        <v>9.9</v>
      </c>
      <c r="Q476" s="82">
        <f t="shared" si="89"/>
        <v>0</v>
      </c>
      <c r="R476" s="25"/>
    </row>
    <row r="477" spans="2:18" x14ac:dyDescent="0.25">
      <c r="B477" s="2" t="s">
        <v>12</v>
      </c>
      <c r="C477" s="35">
        <f>D477/(D475+D476+D477+D478)*100</f>
        <v>38.222222222222221</v>
      </c>
      <c r="D477" s="147">
        <v>8.6</v>
      </c>
      <c r="E477" s="82">
        <v>0.42</v>
      </c>
      <c r="F477" s="82">
        <f t="shared" si="90"/>
        <v>36.119999999999997</v>
      </c>
      <c r="G477" s="82">
        <v>1.8</v>
      </c>
      <c r="H477" s="82">
        <f t="shared" si="88"/>
        <v>154.80000000000001</v>
      </c>
      <c r="I477" s="25"/>
      <c r="K477" s="2" t="s">
        <v>12</v>
      </c>
      <c r="L477" s="35">
        <f>M477/(M475+M476+M477+M478)*100</f>
        <v>38.222222222222221</v>
      </c>
      <c r="M477" s="147">
        <v>8.6</v>
      </c>
      <c r="N477" s="82">
        <v>0.49</v>
      </c>
      <c r="O477" s="82">
        <f t="shared" si="91"/>
        <v>42.139999999999993</v>
      </c>
      <c r="P477" s="82">
        <v>1.8</v>
      </c>
      <c r="Q477" s="82">
        <f t="shared" si="89"/>
        <v>154.80000000000001</v>
      </c>
      <c r="R477" s="25"/>
    </row>
    <row r="478" spans="2:18" x14ac:dyDescent="0.25">
      <c r="B478" s="2" t="s">
        <v>14</v>
      </c>
      <c r="C478" s="35">
        <f>D478/(D475+D476+D477+D478)*100</f>
        <v>0</v>
      </c>
      <c r="D478" s="140">
        <v>0</v>
      </c>
      <c r="E478" s="5">
        <v>0.71</v>
      </c>
      <c r="F478" s="5">
        <f t="shared" si="90"/>
        <v>0</v>
      </c>
      <c r="G478" s="5">
        <v>0</v>
      </c>
      <c r="H478" s="5">
        <f t="shared" si="88"/>
        <v>0</v>
      </c>
      <c r="I478" s="25"/>
      <c r="K478" s="2" t="s">
        <v>14</v>
      </c>
      <c r="L478" s="35">
        <f>M478/(M475+M476+M477+M478)*100</f>
        <v>0</v>
      </c>
      <c r="M478" s="140">
        <v>0</v>
      </c>
      <c r="N478" s="5">
        <v>0.71</v>
      </c>
      <c r="O478" s="5">
        <f t="shared" si="91"/>
        <v>0</v>
      </c>
      <c r="P478" s="5">
        <v>0</v>
      </c>
      <c r="Q478" s="5">
        <f t="shared" si="89"/>
        <v>0</v>
      </c>
      <c r="R478" s="25"/>
    </row>
    <row r="479" spans="2:18" x14ac:dyDescent="0.25">
      <c r="B479" s="2" t="s">
        <v>17</v>
      </c>
      <c r="C479" s="35"/>
      <c r="D479" s="147">
        <v>8</v>
      </c>
      <c r="E479" s="82">
        <v>3.43</v>
      </c>
      <c r="F479" s="82">
        <f t="shared" si="90"/>
        <v>274.40000000000003</v>
      </c>
      <c r="G479" s="82">
        <v>29.3</v>
      </c>
      <c r="H479" s="82">
        <f t="shared" si="88"/>
        <v>2344</v>
      </c>
      <c r="I479" s="25"/>
      <c r="K479" s="2" t="s">
        <v>17</v>
      </c>
      <c r="L479" s="35"/>
      <c r="M479" s="147">
        <v>8</v>
      </c>
      <c r="N479" s="82">
        <v>3.43</v>
      </c>
      <c r="O479" s="82">
        <f t="shared" si="91"/>
        <v>274.40000000000003</v>
      </c>
      <c r="P479" s="82">
        <v>29.8</v>
      </c>
      <c r="Q479" s="82">
        <f t="shared" si="89"/>
        <v>2384</v>
      </c>
      <c r="R479" s="25"/>
    </row>
    <row r="480" spans="2:18" x14ac:dyDescent="0.25">
      <c r="B480" s="4" t="s">
        <v>21</v>
      </c>
      <c r="C480" s="41"/>
      <c r="D480" s="147">
        <v>1.7</v>
      </c>
      <c r="E480" s="82">
        <v>0</v>
      </c>
      <c r="F480" s="82">
        <f t="shared" si="90"/>
        <v>0</v>
      </c>
      <c r="G480" s="82">
        <v>84.4</v>
      </c>
      <c r="H480" s="82">
        <f t="shared" si="88"/>
        <v>1434.8000000000002</v>
      </c>
      <c r="I480" s="25"/>
      <c r="K480" s="4" t="s">
        <v>21</v>
      </c>
      <c r="L480" s="41"/>
      <c r="M480" s="147">
        <v>1.7</v>
      </c>
      <c r="N480" s="82">
        <v>0</v>
      </c>
      <c r="O480" s="82">
        <f t="shared" si="91"/>
        <v>0</v>
      </c>
      <c r="P480" s="82">
        <v>85.2</v>
      </c>
      <c r="Q480" s="82">
        <f t="shared" si="89"/>
        <v>1448.3999999999999</v>
      </c>
      <c r="R480" s="25"/>
    </row>
    <row r="481" spans="2:18" x14ac:dyDescent="0.25">
      <c r="B481" s="4" t="s">
        <v>49</v>
      </c>
      <c r="C481" s="41"/>
      <c r="D481" s="148">
        <v>0</v>
      </c>
      <c r="E481" s="82">
        <v>46</v>
      </c>
      <c r="F481" s="82">
        <f t="shared" si="90"/>
        <v>0</v>
      </c>
      <c r="G481" s="82">
        <v>0</v>
      </c>
      <c r="H481" s="82">
        <f t="shared" si="88"/>
        <v>0</v>
      </c>
      <c r="I481" s="25"/>
      <c r="K481" s="4" t="s">
        <v>49</v>
      </c>
      <c r="L481" s="41"/>
      <c r="M481" s="148">
        <v>0</v>
      </c>
      <c r="N481" s="82">
        <v>46</v>
      </c>
      <c r="O481" s="82">
        <f t="shared" si="91"/>
        <v>0</v>
      </c>
      <c r="P481" s="82">
        <v>0</v>
      </c>
      <c r="Q481" s="82">
        <f t="shared" si="89"/>
        <v>0</v>
      </c>
      <c r="R481" s="25"/>
    </row>
    <row r="482" spans="2:18" x14ac:dyDescent="0.25">
      <c r="B482" s="4" t="s">
        <v>23</v>
      </c>
      <c r="C482" s="41"/>
      <c r="D482" s="141">
        <v>0.2</v>
      </c>
      <c r="E482" s="13">
        <v>20.5</v>
      </c>
      <c r="F482" s="5">
        <f t="shared" si="90"/>
        <v>41</v>
      </c>
      <c r="G482" s="5">
        <v>0</v>
      </c>
      <c r="H482" s="5">
        <f t="shared" si="88"/>
        <v>0</v>
      </c>
      <c r="I482" s="25"/>
      <c r="K482" s="4" t="s">
        <v>23</v>
      </c>
      <c r="L482" s="41"/>
      <c r="M482" s="141">
        <v>0.2</v>
      </c>
      <c r="N482" s="13">
        <v>20.5</v>
      </c>
      <c r="O482" s="5">
        <f t="shared" si="91"/>
        <v>41</v>
      </c>
      <c r="P482" s="5">
        <v>0</v>
      </c>
      <c r="Q482" s="5">
        <f t="shared" si="89"/>
        <v>0</v>
      </c>
      <c r="R482" s="25"/>
    </row>
    <row r="483" spans="2:18" x14ac:dyDescent="0.25">
      <c r="B483" s="9" t="s">
        <v>26</v>
      </c>
      <c r="C483" s="42"/>
      <c r="D483" s="143">
        <f>SUM(D475:D482)</f>
        <v>32.400000000000006</v>
      </c>
      <c r="E483" s="9"/>
      <c r="F483" s="11">
        <f>SUM(F475:F482)</f>
        <v>468.28000000000003</v>
      </c>
      <c r="G483" s="9"/>
      <c r="H483" s="11">
        <f>SUM(H475:H482)</f>
        <v>5615.5</v>
      </c>
      <c r="I483" s="152" t="s">
        <v>6</v>
      </c>
      <c r="K483" s="9" t="s">
        <v>26</v>
      </c>
      <c r="L483" s="42"/>
      <c r="M483" s="143">
        <f>SUM(M475:M482)</f>
        <v>32.400000000000006</v>
      </c>
      <c r="N483" s="9"/>
      <c r="O483" s="11">
        <f>SUM(O475:O482)</f>
        <v>474.30000000000007</v>
      </c>
      <c r="P483" s="9"/>
      <c r="Q483" s="11">
        <f>SUM(Q475:Q482)</f>
        <v>5669.0999999999995</v>
      </c>
      <c r="R483" s="153" t="s">
        <v>6</v>
      </c>
    </row>
    <row r="484" spans="2:18" x14ac:dyDescent="0.25">
      <c r="B484" s="230"/>
      <c r="C484" s="231"/>
      <c r="D484" s="231"/>
      <c r="E484" s="232"/>
      <c r="F484" s="8">
        <f>F483/D483/10</f>
        <v>1.4453086419753085</v>
      </c>
      <c r="G484" s="12"/>
      <c r="H484" s="8">
        <f>H483/D483/10</f>
        <v>17.331790123456788</v>
      </c>
      <c r="I484" s="11">
        <f>((100-H484)*0.5)/F484</f>
        <v>28.598808405227647</v>
      </c>
      <c r="K484" s="230"/>
      <c r="L484" s="231"/>
      <c r="M484" s="231"/>
      <c r="N484" s="232"/>
      <c r="O484" s="8">
        <f>O483/M483/10</f>
        <v>1.463888888888889</v>
      </c>
      <c r="P484" s="12"/>
      <c r="Q484" s="8">
        <f>Q483/M483/10</f>
        <v>17.497222222222216</v>
      </c>
      <c r="R484" s="11">
        <f>((100-Q484)*0.5)/O484</f>
        <v>28.179316888045538</v>
      </c>
    </row>
    <row r="487" spans="2:18" x14ac:dyDescent="0.25">
      <c r="B487" s="245" t="s">
        <v>138</v>
      </c>
      <c r="C487" s="246"/>
      <c r="D487" s="246"/>
      <c r="E487" s="246"/>
      <c r="F487" s="246"/>
      <c r="G487" s="246"/>
      <c r="H487" s="246"/>
      <c r="I487" s="247"/>
      <c r="K487" s="245" t="s">
        <v>139</v>
      </c>
      <c r="L487" s="246"/>
      <c r="M487" s="246"/>
      <c r="N487" s="246"/>
      <c r="O487" s="246"/>
      <c r="P487" s="246"/>
      <c r="Q487" s="246"/>
      <c r="R487" s="247"/>
    </row>
    <row r="488" spans="2:18" x14ac:dyDescent="0.25">
      <c r="B488" s="217" t="s">
        <v>0</v>
      </c>
      <c r="C488" s="227" t="s">
        <v>1</v>
      </c>
      <c r="D488" s="217" t="s">
        <v>47</v>
      </c>
      <c r="E488" s="221" t="s">
        <v>46</v>
      </c>
      <c r="F488" s="222"/>
      <c r="G488" s="222"/>
      <c r="H488" s="223"/>
      <c r="I488" s="229" t="s">
        <v>102</v>
      </c>
      <c r="K488" s="217" t="s">
        <v>0</v>
      </c>
      <c r="L488" s="227" t="s">
        <v>1</v>
      </c>
      <c r="M488" s="217" t="s">
        <v>47</v>
      </c>
      <c r="N488" s="221" t="s">
        <v>46</v>
      </c>
      <c r="O488" s="222"/>
      <c r="P488" s="222"/>
      <c r="Q488" s="223"/>
      <c r="R488" s="229" t="s">
        <v>102</v>
      </c>
    </row>
    <row r="489" spans="2:18" x14ac:dyDescent="0.25">
      <c r="B489" s="218"/>
      <c r="C489" s="228"/>
      <c r="D489" s="218"/>
      <c r="E489" s="2" t="s">
        <v>42</v>
      </c>
      <c r="F489" s="2" t="s">
        <v>43</v>
      </c>
      <c r="G489" s="2" t="s">
        <v>44</v>
      </c>
      <c r="H489" s="2" t="s">
        <v>45</v>
      </c>
      <c r="I489" s="229"/>
      <c r="K489" s="218"/>
      <c r="L489" s="228"/>
      <c r="M489" s="218"/>
      <c r="N489" s="2" t="s">
        <v>42</v>
      </c>
      <c r="O489" s="2" t="s">
        <v>43</v>
      </c>
      <c r="P489" s="2" t="s">
        <v>44</v>
      </c>
      <c r="Q489" s="2" t="s">
        <v>45</v>
      </c>
      <c r="R489" s="229"/>
    </row>
    <row r="490" spans="2:18" x14ac:dyDescent="0.25">
      <c r="B490" s="2" t="s">
        <v>122</v>
      </c>
      <c r="C490" s="35">
        <f>D490/(D490+D491+D492+D493)*100</f>
        <v>61.777777777777779</v>
      </c>
      <c r="D490" s="145">
        <v>13.9</v>
      </c>
      <c r="E490" s="5">
        <v>0.84</v>
      </c>
      <c r="F490" s="5">
        <f>(D490*E490%)*1000</f>
        <v>116.76</v>
      </c>
      <c r="G490" s="5">
        <v>12.1</v>
      </c>
      <c r="H490" s="146">
        <f t="shared" ref="H490:H497" si="92">(D490*G490%)*1000</f>
        <v>1681.8999999999999</v>
      </c>
      <c r="I490" s="51">
        <f>D490+D491+D492+D493</f>
        <v>22.5</v>
      </c>
      <c r="K490" s="2" t="s">
        <v>122</v>
      </c>
      <c r="L490" s="35">
        <f>M490/(M490+M491+M492+M493)*100</f>
        <v>61.777777777777779</v>
      </c>
      <c r="M490" s="145">
        <v>13.9</v>
      </c>
      <c r="N490" s="5">
        <v>0.84</v>
      </c>
      <c r="O490" s="5">
        <f>(M490*N490%)*1000</f>
        <v>116.76</v>
      </c>
      <c r="P490" s="5">
        <v>12.1</v>
      </c>
      <c r="Q490" s="146">
        <f t="shared" ref="Q490:Q497" si="93">(M490*P490%)*1000</f>
        <v>1681.8999999999999</v>
      </c>
      <c r="R490" s="51">
        <f>M490+M491+M492+M493</f>
        <v>22.5</v>
      </c>
    </row>
    <row r="491" spans="2:18" x14ac:dyDescent="0.25">
      <c r="B491" s="4" t="s">
        <v>110</v>
      </c>
      <c r="C491" s="35">
        <f>D491/(D490+D491+D492+D493)*100</f>
        <v>0</v>
      </c>
      <c r="D491" s="147">
        <v>0</v>
      </c>
      <c r="E491" s="82">
        <v>0.7</v>
      </c>
      <c r="F491" s="82">
        <f t="shared" ref="F491:F497" si="94">(D491*E491%)*1000</f>
        <v>0</v>
      </c>
      <c r="G491" s="82">
        <v>9.9</v>
      </c>
      <c r="H491" s="82">
        <f t="shared" si="92"/>
        <v>0</v>
      </c>
      <c r="I491" s="25"/>
      <c r="K491" s="4" t="s">
        <v>110</v>
      </c>
      <c r="L491" s="35">
        <f>M491/(M490+M491+M492+M493)*100</f>
        <v>0</v>
      </c>
      <c r="M491" s="147">
        <v>0</v>
      </c>
      <c r="N491" s="82">
        <v>0.7</v>
      </c>
      <c r="O491" s="82">
        <f t="shared" ref="O491:O497" si="95">(M491*N491%)*1000</f>
        <v>0</v>
      </c>
      <c r="P491" s="82">
        <v>9.9</v>
      </c>
      <c r="Q491" s="82">
        <f t="shared" si="93"/>
        <v>0</v>
      </c>
      <c r="R491" s="25"/>
    </row>
    <row r="492" spans="2:18" x14ac:dyDescent="0.25">
      <c r="B492" s="2" t="s">
        <v>12</v>
      </c>
      <c r="C492" s="35">
        <f>D492/(D490+D491+D492+D493)*100</f>
        <v>38.222222222222221</v>
      </c>
      <c r="D492" s="147">
        <v>8.6</v>
      </c>
      <c r="E492" s="82">
        <v>0.42</v>
      </c>
      <c r="F492" s="82">
        <f t="shared" si="94"/>
        <v>36.119999999999997</v>
      </c>
      <c r="G492" s="82">
        <v>1.8</v>
      </c>
      <c r="H492" s="82">
        <f t="shared" si="92"/>
        <v>154.80000000000001</v>
      </c>
      <c r="I492" s="25"/>
      <c r="K492" s="2" t="s">
        <v>12</v>
      </c>
      <c r="L492" s="35">
        <f>M492/(M490+M491+M492+M493)*100</f>
        <v>38.222222222222221</v>
      </c>
      <c r="M492" s="147">
        <v>8.6</v>
      </c>
      <c r="N492" s="82">
        <v>0.42</v>
      </c>
      <c r="O492" s="82">
        <f t="shared" si="95"/>
        <v>36.119999999999997</v>
      </c>
      <c r="P492" s="82">
        <v>1.8</v>
      </c>
      <c r="Q492" s="82">
        <f t="shared" si="93"/>
        <v>154.80000000000001</v>
      </c>
      <c r="R492" s="25"/>
    </row>
    <row r="493" spans="2:18" x14ac:dyDescent="0.25">
      <c r="B493" s="2" t="s">
        <v>14</v>
      </c>
      <c r="C493" s="35">
        <f>D493/(D490+D491+D492+D493)*100</f>
        <v>0</v>
      </c>
      <c r="D493" s="140">
        <v>0</v>
      </c>
      <c r="E493" s="5">
        <v>0.71</v>
      </c>
      <c r="F493" s="5">
        <f t="shared" si="94"/>
        <v>0</v>
      </c>
      <c r="G493" s="5">
        <v>0</v>
      </c>
      <c r="H493" s="5">
        <f t="shared" si="92"/>
        <v>0</v>
      </c>
      <c r="I493" s="25"/>
      <c r="K493" s="2" t="s">
        <v>14</v>
      </c>
      <c r="L493" s="35">
        <f>M493/(M490+M491+M492+M493)*100</f>
        <v>0</v>
      </c>
      <c r="M493" s="140">
        <v>0</v>
      </c>
      <c r="N493" s="5">
        <v>0.71</v>
      </c>
      <c r="O493" s="5">
        <f t="shared" si="95"/>
        <v>0</v>
      </c>
      <c r="P493" s="5">
        <v>0</v>
      </c>
      <c r="Q493" s="5">
        <f t="shared" si="93"/>
        <v>0</v>
      </c>
      <c r="R493" s="25"/>
    </row>
    <row r="494" spans="2:18" x14ac:dyDescent="0.25">
      <c r="B494" s="2" t="s">
        <v>17</v>
      </c>
      <c r="C494" s="35"/>
      <c r="D494" s="147">
        <v>8</v>
      </c>
      <c r="E494" s="82">
        <v>3.5</v>
      </c>
      <c r="F494" s="82">
        <f t="shared" si="94"/>
        <v>280</v>
      </c>
      <c r="G494" s="82">
        <v>28.3</v>
      </c>
      <c r="H494" s="82">
        <f t="shared" si="92"/>
        <v>2264.0000000000005</v>
      </c>
      <c r="I494" s="25"/>
      <c r="K494" s="2" t="s">
        <v>17</v>
      </c>
      <c r="L494" s="35"/>
      <c r="M494" s="147">
        <v>8</v>
      </c>
      <c r="N494" s="82">
        <v>3.36</v>
      </c>
      <c r="O494" s="82">
        <f t="shared" si="95"/>
        <v>268.8</v>
      </c>
      <c r="P494" s="82">
        <v>29.3</v>
      </c>
      <c r="Q494" s="82">
        <f t="shared" si="93"/>
        <v>2344</v>
      </c>
      <c r="R494" s="25"/>
    </row>
    <row r="495" spans="2:18" x14ac:dyDescent="0.25">
      <c r="B495" s="4" t="s">
        <v>21</v>
      </c>
      <c r="C495" s="41"/>
      <c r="D495" s="147">
        <v>1.75</v>
      </c>
      <c r="E495" s="82">
        <v>0</v>
      </c>
      <c r="F495" s="82">
        <f t="shared" si="94"/>
        <v>0</v>
      </c>
      <c r="G495" s="82">
        <v>85.3</v>
      </c>
      <c r="H495" s="82">
        <f t="shared" si="92"/>
        <v>1492.75</v>
      </c>
      <c r="I495" s="25"/>
      <c r="K495" s="4" t="s">
        <v>21</v>
      </c>
      <c r="L495" s="41"/>
      <c r="M495" s="147">
        <v>1.7</v>
      </c>
      <c r="N495" s="82">
        <v>0</v>
      </c>
      <c r="O495" s="82">
        <f t="shared" si="95"/>
        <v>0</v>
      </c>
      <c r="P495" s="82">
        <v>84.7</v>
      </c>
      <c r="Q495" s="82">
        <f t="shared" si="93"/>
        <v>1439.8999999999999</v>
      </c>
      <c r="R495" s="25"/>
    </row>
    <row r="496" spans="2:18" x14ac:dyDescent="0.25">
      <c r="B496" s="4" t="s">
        <v>49</v>
      </c>
      <c r="C496" s="41"/>
      <c r="D496" s="148">
        <v>0</v>
      </c>
      <c r="E496" s="82">
        <v>46</v>
      </c>
      <c r="F496" s="82">
        <f t="shared" si="94"/>
        <v>0</v>
      </c>
      <c r="G496" s="82">
        <v>0</v>
      </c>
      <c r="H496" s="82">
        <f t="shared" si="92"/>
        <v>0</v>
      </c>
      <c r="I496" s="25"/>
      <c r="K496" s="4" t="s">
        <v>49</v>
      </c>
      <c r="L496" s="41"/>
      <c r="M496" s="148">
        <v>0</v>
      </c>
      <c r="N496" s="82">
        <v>46</v>
      </c>
      <c r="O496" s="82">
        <f t="shared" si="95"/>
        <v>0</v>
      </c>
      <c r="P496" s="82">
        <v>0</v>
      </c>
      <c r="Q496" s="82">
        <f t="shared" si="93"/>
        <v>0</v>
      </c>
      <c r="R496" s="25"/>
    </row>
    <row r="497" spans="2:18" x14ac:dyDescent="0.25">
      <c r="B497" s="4" t="s">
        <v>23</v>
      </c>
      <c r="C497" s="41"/>
      <c r="D497" s="141">
        <v>0.2</v>
      </c>
      <c r="E497" s="13">
        <v>20.5</v>
      </c>
      <c r="F497" s="5">
        <f t="shared" si="94"/>
        <v>41</v>
      </c>
      <c r="G497" s="5">
        <v>0</v>
      </c>
      <c r="H497" s="5">
        <f t="shared" si="92"/>
        <v>0</v>
      </c>
      <c r="I497" s="25"/>
      <c r="K497" s="4" t="s">
        <v>23</v>
      </c>
      <c r="L497" s="41"/>
      <c r="M497" s="141">
        <v>0.25</v>
      </c>
      <c r="N497" s="13">
        <v>20.5</v>
      </c>
      <c r="O497" s="5">
        <f t="shared" si="95"/>
        <v>51.25</v>
      </c>
      <c r="P497" s="5">
        <v>0</v>
      </c>
      <c r="Q497" s="5">
        <f t="shared" si="93"/>
        <v>0</v>
      </c>
      <c r="R497" s="25"/>
    </row>
    <row r="498" spans="2:18" x14ac:dyDescent="0.25">
      <c r="B498" s="9" t="s">
        <v>26</v>
      </c>
      <c r="C498" s="42"/>
      <c r="D498" s="143">
        <f>SUM(D490:D497)</f>
        <v>32.450000000000003</v>
      </c>
      <c r="E498" s="9"/>
      <c r="F498" s="11">
        <f>SUM(F490:F497)</f>
        <v>473.88</v>
      </c>
      <c r="G498" s="9"/>
      <c r="H498" s="11">
        <f>SUM(H490:H497)</f>
        <v>5593.4500000000007</v>
      </c>
      <c r="I498" s="154" t="s">
        <v>6</v>
      </c>
      <c r="K498" s="9" t="s">
        <v>26</v>
      </c>
      <c r="L498" s="42"/>
      <c r="M498" s="143">
        <f>SUM(M490:M497)</f>
        <v>32.450000000000003</v>
      </c>
      <c r="N498" s="9"/>
      <c r="O498" s="11">
        <f>SUM(O490:O497)</f>
        <v>472.93</v>
      </c>
      <c r="P498" s="9"/>
      <c r="Q498" s="11">
        <f>SUM(Q490:Q497)</f>
        <v>5620.5999999999995</v>
      </c>
      <c r="R498" s="155" t="s">
        <v>6</v>
      </c>
    </row>
    <row r="499" spans="2:18" x14ac:dyDescent="0.25">
      <c r="B499" s="230"/>
      <c r="C499" s="231"/>
      <c r="D499" s="231"/>
      <c r="E499" s="232"/>
      <c r="F499" s="8">
        <f>F498/D498/10</f>
        <v>1.4603389830508473</v>
      </c>
      <c r="G499" s="12"/>
      <c r="H499" s="8">
        <f>H498/D498/10</f>
        <v>17.237134052388292</v>
      </c>
      <c r="I499" s="11">
        <f>((100-H499)*0.5)/F499</f>
        <v>28.336867983455733</v>
      </c>
      <c r="K499" s="230"/>
      <c r="L499" s="231"/>
      <c r="M499" s="231"/>
      <c r="N499" s="232"/>
      <c r="O499" s="8">
        <f>O498/M498/10</f>
        <v>1.4574114021571647</v>
      </c>
      <c r="P499" s="12"/>
      <c r="Q499" s="8">
        <f>Q498/M498/10</f>
        <v>17.320801232665637</v>
      </c>
      <c r="R499" s="11">
        <f>((100-Q499)*0.5)/O499</f>
        <v>28.365085742075998</v>
      </c>
    </row>
    <row r="500" spans="2:18" x14ac:dyDescent="0.25">
      <c r="I500" s="186"/>
    </row>
    <row r="501" spans="2:18" x14ac:dyDescent="0.25">
      <c r="L501" s="45"/>
      <c r="M501" s="132"/>
    </row>
    <row r="502" spans="2:18" x14ac:dyDescent="0.25">
      <c r="B502" s="224" t="s">
        <v>149</v>
      </c>
      <c r="C502" s="225"/>
      <c r="D502" s="225"/>
      <c r="E502" s="225"/>
      <c r="F502" s="225"/>
      <c r="G502" s="225"/>
      <c r="H502" s="225"/>
      <c r="I502" s="226"/>
      <c r="K502" s="224" t="s">
        <v>150</v>
      </c>
      <c r="L502" s="225"/>
      <c r="M502" s="225"/>
      <c r="N502" s="225"/>
      <c r="O502" s="225"/>
      <c r="P502" s="225"/>
      <c r="Q502" s="225"/>
      <c r="R502" s="226"/>
    </row>
    <row r="503" spans="2:18" x14ac:dyDescent="0.25">
      <c r="B503" s="217" t="s">
        <v>0</v>
      </c>
      <c r="C503" s="227" t="s">
        <v>1</v>
      </c>
      <c r="D503" s="217" t="s">
        <v>47</v>
      </c>
      <c r="E503" s="221" t="s">
        <v>46</v>
      </c>
      <c r="F503" s="222"/>
      <c r="G503" s="222"/>
      <c r="H503" s="223"/>
      <c r="I503" s="229" t="s">
        <v>102</v>
      </c>
      <c r="K503" s="217" t="s">
        <v>0</v>
      </c>
      <c r="L503" s="227" t="s">
        <v>1</v>
      </c>
      <c r="M503" s="217" t="s">
        <v>47</v>
      </c>
      <c r="N503" s="221" t="s">
        <v>46</v>
      </c>
      <c r="O503" s="222"/>
      <c r="P503" s="222"/>
      <c r="Q503" s="223"/>
      <c r="R503" s="229" t="s">
        <v>102</v>
      </c>
    </row>
    <row r="504" spans="2:18" x14ac:dyDescent="0.25">
      <c r="B504" s="218"/>
      <c r="C504" s="228"/>
      <c r="D504" s="218"/>
      <c r="E504" s="2" t="s">
        <v>42</v>
      </c>
      <c r="F504" s="2" t="s">
        <v>43</v>
      </c>
      <c r="G504" s="2" t="s">
        <v>44</v>
      </c>
      <c r="H504" s="2" t="s">
        <v>45</v>
      </c>
      <c r="I504" s="229"/>
      <c r="K504" s="218"/>
      <c r="L504" s="228"/>
      <c r="M504" s="218"/>
      <c r="N504" s="2" t="s">
        <v>42</v>
      </c>
      <c r="O504" s="2" t="s">
        <v>43</v>
      </c>
      <c r="P504" s="2" t="s">
        <v>44</v>
      </c>
      <c r="Q504" s="2" t="s">
        <v>45</v>
      </c>
      <c r="R504" s="229"/>
    </row>
    <row r="505" spans="2:18" x14ac:dyDescent="0.25">
      <c r="B505" s="2" t="s">
        <v>122</v>
      </c>
      <c r="C505" s="35">
        <f>D505/(D505+D506+D507+D508)*100</f>
        <v>61.777777777777779</v>
      </c>
      <c r="D505" s="145">
        <v>13.9</v>
      </c>
      <c r="E505" s="5">
        <v>0.84</v>
      </c>
      <c r="F505" s="5">
        <f>(D505*E505%)*1000</f>
        <v>116.76</v>
      </c>
      <c r="G505" s="5">
        <v>12.1</v>
      </c>
      <c r="H505" s="146">
        <f t="shared" ref="H505:H512" si="96">(D505*G505%)*1000</f>
        <v>1681.8999999999999</v>
      </c>
      <c r="I505" s="51">
        <f>D505+D506+D507+D508</f>
        <v>22.5</v>
      </c>
      <c r="K505" s="2" t="s">
        <v>122</v>
      </c>
      <c r="L505" s="35">
        <f>M505/(M505+M506+M507+M508)*100</f>
        <v>61.777777777777779</v>
      </c>
      <c r="M505" s="145">
        <v>13.9</v>
      </c>
      <c r="N505" s="5">
        <v>0.91</v>
      </c>
      <c r="O505" s="5">
        <f>(M505*N505%)*1000</f>
        <v>126.49000000000002</v>
      </c>
      <c r="P505" s="5">
        <v>11.5</v>
      </c>
      <c r="Q505" s="146">
        <f t="shared" ref="Q505:Q512" si="97">(M505*P505%)*1000</f>
        <v>1598.5</v>
      </c>
      <c r="R505" s="51">
        <f>M505+M506+M507+M508</f>
        <v>22.5</v>
      </c>
    </row>
    <row r="506" spans="2:18" x14ac:dyDescent="0.25">
      <c r="B506" s="4" t="s">
        <v>110</v>
      </c>
      <c r="C506" s="35">
        <f>D506/(D505+D506+D507+D508)*100</f>
        <v>0</v>
      </c>
      <c r="D506" s="147">
        <v>0</v>
      </c>
      <c r="E506" s="82">
        <v>0.7</v>
      </c>
      <c r="F506" s="82">
        <f t="shared" ref="F506:F512" si="98">(D506*E506%)*1000</f>
        <v>0</v>
      </c>
      <c r="G506" s="82">
        <v>9.9</v>
      </c>
      <c r="H506" s="82">
        <f t="shared" si="96"/>
        <v>0</v>
      </c>
      <c r="I506" s="25"/>
      <c r="K506" s="4" t="s">
        <v>110</v>
      </c>
      <c r="L506" s="35">
        <f>M506/(M505+M506+M507+M508)*100</f>
        <v>0</v>
      </c>
      <c r="M506" s="147">
        <v>0</v>
      </c>
      <c r="N506" s="82">
        <v>0.7</v>
      </c>
      <c r="O506" s="82">
        <f t="shared" ref="O506:O512" si="99">(M506*N506%)*1000</f>
        <v>0</v>
      </c>
      <c r="P506" s="82">
        <v>9.9</v>
      </c>
      <c r="Q506" s="82">
        <f t="shared" si="97"/>
        <v>0</v>
      </c>
      <c r="R506" s="25"/>
    </row>
    <row r="507" spans="2:18" x14ac:dyDescent="0.25">
      <c r="B507" s="2" t="s">
        <v>12</v>
      </c>
      <c r="C507" s="35">
        <f>D507/(D505+D506+D507+D508)*100</f>
        <v>38.222222222222221</v>
      </c>
      <c r="D507" s="147">
        <v>8.6</v>
      </c>
      <c r="E507" s="82">
        <v>0.42</v>
      </c>
      <c r="F507" s="82">
        <f t="shared" si="98"/>
        <v>36.119999999999997</v>
      </c>
      <c r="G507" s="82">
        <v>1.8</v>
      </c>
      <c r="H507" s="82">
        <f t="shared" si="96"/>
        <v>154.80000000000001</v>
      </c>
      <c r="I507" s="25"/>
      <c r="K507" s="2" t="s">
        <v>12</v>
      </c>
      <c r="L507" s="35">
        <f>M507/(M505+M506+M507+M508)*100</f>
        <v>38.222222222222221</v>
      </c>
      <c r="M507" s="147">
        <v>8.6</v>
      </c>
      <c r="N507" s="82">
        <v>0.42</v>
      </c>
      <c r="O507" s="82">
        <f t="shared" si="99"/>
        <v>36.119999999999997</v>
      </c>
      <c r="P507" s="82">
        <v>1.8</v>
      </c>
      <c r="Q507" s="82">
        <f t="shared" si="97"/>
        <v>154.80000000000001</v>
      </c>
      <c r="R507" s="25"/>
    </row>
    <row r="508" spans="2:18" x14ac:dyDescent="0.25">
      <c r="B508" s="2" t="s">
        <v>14</v>
      </c>
      <c r="C508" s="35">
        <f>D508/(D505+D506+D507+D508)*100</f>
        <v>0</v>
      </c>
      <c r="D508" s="140">
        <v>0</v>
      </c>
      <c r="E508" s="5">
        <v>0.71</v>
      </c>
      <c r="F508" s="5">
        <f t="shared" si="98"/>
        <v>0</v>
      </c>
      <c r="G508" s="5">
        <v>0</v>
      </c>
      <c r="H508" s="5">
        <f t="shared" si="96"/>
        <v>0</v>
      </c>
      <c r="I508" s="25"/>
      <c r="K508" s="2" t="s">
        <v>14</v>
      </c>
      <c r="L508" s="35">
        <f>M508/(M505+M506+M507+M508)*100</f>
        <v>0</v>
      </c>
      <c r="M508" s="140">
        <v>0</v>
      </c>
      <c r="N508" s="5">
        <v>0.71</v>
      </c>
      <c r="O508" s="5">
        <f t="shared" si="99"/>
        <v>0</v>
      </c>
      <c r="P508" s="5">
        <v>0</v>
      </c>
      <c r="Q508" s="5">
        <f t="shared" si="97"/>
        <v>0</v>
      </c>
      <c r="R508" s="25"/>
    </row>
    <row r="509" spans="2:18" x14ac:dyDescent="0.25">
      <c r="B509" s="2" t="s">
        <v>17</v>
      </c>
      <c r="C509" s="35"/>
      <c r="D509" s="147">
        <v>8</v>
      </c>
      <c r="E509" s="82">
        <v>3.44</v>
      </c>
      <c r="F509" s="82">
        <f t="shared" si="98"/>
        <v>275.2</v>
      </c>
      <c r="G509" s="82">
        <v>28.7</v>
      </c>
      <c r="H509" s="82">
        <f t="shared" si="96"/>
        <v>2296</v>
      </c>
      <c r="I509" s="25"/>
      <c r="K509" s="2" t="s">
        <v>17</v>
      </c>
      <c r="L509" s="35"/>
      <c r="M509" s="147">
        <v>8.3000000000000007</v>
      </c>
      <c r="N509" s="82">
        <v>3.15</v>
      </c>
      <c r="O509" s="82">
        <f t="shared" si="99"/>
        <v>261.45</v>
      </c>
      <c r="P509" s="82">
        <v>28.6</v>
      </c>
      <c r="Q509" s="82">
        <f t="shared" si="97"/>
        <v>2373.8000000000006</v>
      </c>
      <c r="R509" s="25"/>
    </row>
    <row r="510" spans="2:18" x14ac:dyDescent="0.25">
      <c r="B510" s="4" t="s">
        <v>21</v>
      </c>
      <c r="C510" s="41"/>
      <c r="D510" s="147">
        <v>1.7</v>
      </c>
      <c r="E510" s="82">
        <v>0</v>
      </c>
      <c r="F510" s="82">
        <f t="shared" si="98"/>
        <v>0</v>
      </c>
      <c r="G510" s="82">
        <v>84.4</v>
      </c>
      <c r="H510" s="82">
        <f t="shared" si="96"/>
        <v>1434.8000000000002</v>
      </c>
      <c r="I510" s="25"/>
      <c r="K510" s="4" t="s">
        <v>21</v>
      </c>
      <c r="L510" s="41"/>
      <c r="M510" s="147">
        <v>1.7</v>
      </c>
      <c r="N510" s="82">
        <v>0</v>
      </c>
      <c r="O510" s="82">
        <f t="shared" si="99"/>
        <v>0</v>
      </c>
      <c r="P510" s="82">
        <v>84.4</v>
      </c>
      <c r="Q510" s="82">
        <f t="shared" si="97"/>
        <v>1434.8000000000002</v>
      </c>
      <c r="R510" s="25"/>
    </row>
    <row r="511" spans="2:18" x14ac:dyDescent="0.25">
      <c r="B511" s="4" t="s">
        <v>49</v>
      </c>
      <c r="C511" s="41"/>
      <c r="D511" s="148">
        <v>0</v>
      </c>
      <c r="E511" s="82">
        <v>46</v>
      </c>
      <c r="F511" s="82">
        <f t="shared" si="98"/>
        <v>0</v>
      </c>
      <c r="G511" s="82">
        <v>0</v>
      </c>
      <c r="H511" s="82">
        <f t="shared" si="96"/>
        <v>0</v>
      </c>
      <c r="I511" s="25"/>
      <c r="K511" s="4" t="s">
        <v>49</v>
      </c>
      <c r="L511" s="41"/>
      <c r="M511" s="148">
        <v>0</v>
      </c>
      <c r="N511" s="82">
        <v>46</v>
      </c>
      <c r="O511" s="82">
        <f t="shared" si="99"/>
        <v>0</v>
      </c>
      <c r="P511" s="82">
        <v>0</v>
      </c>
      <c r="Q511" s="82">
        <f t="shared" si="97"/>
        <v>0</v>
      </c>
      <c r="R511" s="25"/>
    </row>
    <row r="512" spans="2:18" x14ac:dyDescent="0.25">
      <c r="B512" s="4" t="s">
        <v>23</v>
      </c>
      <c r="C512" s="41"/>
      <c r="D512" s="141">
        <v>0.2</v>
      </c>
      <c r="E512" s="13">
        <v>20.5</v>
      </c>
      <c r="F512" s="5">
        <f t="shared" si="98"/>
        <v>41</v>
      </c>
      <c r="G512" s="5">
        <v>0</v>
      </c>
      <c r="H512" s="5">
        <f t="shared" si="96"/>
        <v>0</v>
      </c>
      <c r="I512" s="25"/>
      <c r="K512" s="4" t="s">
        <v>23</v>
      </c>
      <c r="L512" s="41"/>
      <c r="M512" s="141">
        <v>0.25</v>
      </c>
      <c r="N512" s="13">
        <v>20.5</v>
      </c>
      <c r="O512" s="5">
        <f t="shared" si="99"/>
        <v>51.25</v>
      </c>
      <c r="P512" s="5">
        <v>0</v>
      </c>
      <c r="Q512" s="5">
        <f t="shared" si="97"/>
        <v>0</v>
      </c>
      <c r="R512" s="25"/>
    </row>
    <row r="513" spans="2:18" x14ac:dyDescent="0.25">
      <c r="B513" s="9" t="s">
        <v>26</v>
      </c>
      <c r="C513" s="42"/>
      <c r="D513" s="143">
        <f>SUM(D505:D512)</f>
        <v>32.400000000000006</v>
      </c>
      <c r="E513" s="9"/>
      <c r="F513" s="11">
        <f>SUM(F505:F512)</f>
        <v>469.08</v>
      </c>
      <c r="G513" s="9"/>
      <c r="H513" s="11">
        <f>SUM(H505:H512)</f>
        <v>5567.5</v>
      </c>
      <c r="I513" s="156" t="s">
        <v>6</v>
      </c>
      <c r="K513" s="9" t="s">
        <v>26</v>
      </c>
      <c r="L513" s="42"/>
      <c r="M513" s="143">
        <f>SUM(M505:M512)</f>
        <v>32.75</v>
      </c>
      <c r="N513" s="9"/>
      <c r="O513" s="11">
        <f>SUM(O505:O512)</f>
        <v>475.31</v>
      </c>
      <c r="P513" s="9"/>
      <c r="Q513" s="11">
        <f>SUM(Q505:Q512)</f>
        <v>5561.9000000000005</v>
      </c>
      <c r="R513" s="156" t="s">
        <v>6</v>
      </c>
    </row>
    <row r="514" spans="2:18" x14ac:dyDescent="0.25">
      <c r="B514" s="230"/>
      <c r="C514" s="231"/>
      <c r="D514" s="231"/>
      <c r="E514" s="232"/>
      <c r="F514" s="8">
        <f>F513/D513/10</f>
        <v>1.4477777777777774</v>
      </c>
      <c r="G514" s="12"/>
      <c r="H514" s="8">
        <f>H513/D513/10</f>
        <v>17.183641975308639</v>
      </c>
      <c r="I514" s="11">
        <f>((100-H514)*0.5)/F514</f>
        <v>28.601198089878071</v>
      </c>
      <c r="K514" s="230"/>
      <c r="L514" s="231"/>
      <c r="M514" s="231"/>
      <c r="N514" s="232"/>
      <c r="O514" s="8">
        <f>O513/M513/10</f>
        <v>1.451328244274809</v>
      </c>
      <c r="P514" s="12"/>
      <c r="Q514" s="8">
        <f>Q513/M513/10</f>
        <v>16.982900763358778</v>
      </c>
      <c r="R514" s="11">
        <f>((100-Q514)*0.5)/O514</f>
        <v>28.600387115777078</v>
      </c>
    </row>
    <row r="515" spans="2:18" x14ac:dyDescent="0.25">
      <c r="L515" s="45"/>
      <c r="M515" s="132"/>
    </row>
    <row r="517" spans="2:18" x14ac:dyDescent="0.25">
      <c r="B517" s="224" t="s">
        <v>151</v>
      </c>
      <c r="C517" s="225"/>
      <c r="D517" s="225"/>
      <c r="E517" s="225"/>
      <c r="F517" s="225"/>
      <c r="G517" s="225"/>
      <c r="H517" s="225"/>
      <c r="I517" s="226"/>
      <c r="K517" s="235" t="s">
        <v>152</v>
      </c>
      <c r="L517" s="236"/>
      <c r="M517" s="236"/>
      <c r="N517" s="236"/>
      <c r="O517" s="236"/>
      <c r="P517" s="236"/>
      <c r="Q517" s="236"/>
      <c r="R517" s="237"/>
    </row>
    <row r="518" spans="2:18" x14ac:dyDescent="0.25">
      <c r="B518" s="217" t="s">
        <v>0</v>
      </c>
      <c r="C518" s="227" t="s">
        <v>1</v>
      </c>
      <c r="D518" s="217" t="s">
        <v>47</v>
      </c>
      <c r="E518" s="221" t="s">
        <v>46</v>
      </c>
      <c r="F518" s="222"/>
      <c r="G518" s="222"/>
      <c r="H518" s="223"/>
      <c r="I518" s="229" t="s">
        <v>102</v>
      </c>
      <c r="K518" s="238" t="s">
        <v>0</v>
      </c>
      <c r="L518" s="240" t="s">
        <v>1</v>
      </c>
      <c r="M518" s="238" t="s">
        <v>47</v>
      </c>
      <c r="N518" s="242" t="s">
        <v>46</v>
      </c>
      <c r="O518" s="243"/>
      <c r="P518" s="243"/>
      <c r="Q518" s="244"/>
      <c r="R518" s="248" t="s">
        <v>102</v>
      </c>
    </row>
    <row r="519" spans="2:18" x14ac:dyDescent="0.25">
      <c r="B519" s="218"/>
      <c r="C519" s="228"/>
      <c r="D519" s="218"/>
      <c r="E519" s="2" t="s">
        <v>42</v>
      </c>
      <c r="F519" s="2" t="s">
        <v>43</v>
      </c>
      <c r="G519" s="2" t="s">
        <v>44</v>
      </c>
      <c r="H519" s="2" t="s">
        <v>45</v>
      </c>
      <c r="I519" s="229"/>
      <c r="K519" s="239"/>
      <c r="L519" s="241"/>
      <c r="M519" s="239"/>
      <c r="N519" s="78" t="s">
        <v>42</v>
      </c>
      <c r="O519" s="78" t="s">
        <v>43</v>
      </c>
      <c r="P519" s="78" t="s">
        <v>44</v>
      </c>
      <c r="Q519" s="78" t="s">
        <v>45</v>
      </c>
      <c r="R519" s="249"/>
    </row>
    <row r="520" spans="2:18" x14ac:dyDescent="0.25">
      <c r="B520" s="2" t="s">
        <v>122</v>
      </c>
      <c r="C520" s="35">
        <f>D520/(D520+D521+D522+D523)*100</f>
        <v>61.777777777777779</v>
      </c>
      <c r="D520" s="145">
        <v>13.9</v>
      </c>
      <c r="E520" s="5">
        <v>0.91</v>
      </c>
      <c r="F520" s="5">
        <f>(D520*E520%)*1000</f>
        <v>126.49000000000002</v>
      </c>
      <c r="G520" s="5">
        <v>11.5</v>
      </c>
      <c r="H520" s="146">
        <f t="shared" ref="H520:H527" si="100">(D520*G520%)*1000</f>
        <v>1598.5</v>
      </c>
      <c r="I520" s="51">
        <f>D520+D521+D522+D523</f>
        <v>22.5</v>
      </c>
      <c r="K520" s="161" t="s">
        <v>122</v>
      </c>
      <c r="L520" s="80">
        <f>M520/(M520+M521+M522+M523)*100</f>
        <v>61.777777777777779</v>
      </c>
      <c r="M520" s="162">
        <v>13.9</v>
      </c>
      <c r="N520" s="5">
        <v>0.91</v>
      </c>
      <c r="O520" s="5">
        <f>(M520*N520%)*1000</f>
        <v>126.49000000000002</v>
      </c>
      <c r="P520" s="5">
        <v>11.5</v>
      </c>
      <c r="Q520" s="82">
        <f t="shared" ref="Q520:Q527" si="101">(M520*P520%)*1000</f>
        <v>1598.5</v>
      </c>
      <c r="R520" s="83">
        <f>M520+M521+M522+M523</f>
        <v>22.5</v>
      </c>
    </row>
    <row r="521" spans="2:18" x14ac:dyDescent="0.25">
      <c r="B521" s="4" t="s">
        <v>110</v>
      </c>
      <c r="C521" s="35">
        <f>D521/(D520+D521+D522+D523)*100</f>
        <v>0</v>
      </c>
      <c r="D521" s="147">
        <v>0</v>
      </c>
      <c r="E521" s="82">
        <v>0.7</v>
      </c>
      <c r="F521" s="82">
        <f t="shared" ref="F521:F527" si="102">(D521*E521%)*1000</f>
        <v>0</v>
      </c>
      <c r="G521" s="82">
        <v>0</v>
      </c>
      <c r="H521" s="82">
        <f t="shared" si="100"/>
        <v>0</v>
      </c>
      <c r="I521" s="25"/>
      <c r="K521" s="161" t="s">
        <v>110</v>
      </c>
      <c r="L521" s="80">
        <f>M521/(M520+M521+M522+M523)*100</f>
        <v>0</v>
      </c>
      <c r="M521" s="162">
        <v>0</v>
      </c>
      <c r="N521" s="82">
        <v>0</v>
      </c>
      <c r="O521" s="82">
        <f t="shared" ref="O521:O527" si="103">(M521*N521%)*1000</f>
        <v>0</v>
      </c>
      <c r="P521" s="82">
        <v>0</v>
      </c>
      <c r="Q521" s="82">
        <f t="shared" si="101"/>
        <v>0</v>
      </c>
      <c r="R521" s="84"/>
    </row>
    <row r="522" spans="2:18" x14ac:dyDescent="0.25">
      <c r="B522" s="2" t="s">
        <v>12</v>
      </c>
      <c r="C522" s="35">
        <f>D522/(D520+D521+D522+D523)*100</f>
        <v>38.222222222222221</v>
      </c>
      <c r="D522" s="147">
        <v>8.6</v>
      </c>
      <c r="E522" s="82">
        <v>0.42</v>
      </c>
      <c r="F522" s="82">
        <f t="shared" si="102"/>
        <v>36.119999999999997</v>
      </c>
      <c r="G522" s="82">
        <v>1.8</v>
      </c>
      <c r="H522" s="82">
        <f t="shared" si="100"/>
        <v>154.80000000000001</v>
      </c>
      <c r="I522" s="25"/>
      <c r="K522" s="161" t="s">
        <v>12</v>
      </c>
      <c r="L522" s="80">
        <f>M522/(M520+M521+M522+M523)*100</f>
        <v>38.222222222222221</v>
      </c>
      <c r="M522" s="162">
        <v>8.6</v>
      </c>
      <c r="N522" s="82">
        <v>0.49</v>
      </c>
      <c r="O522" s="82">
        <f t="shared" si="103"/>
        <v>42.139999999999993</v>
      </c>
      <c r="P522" s="82">
        <v>2.6</v>
      </c>
      <c r="Q522" s="82">
        <f t="shared" si="101"/>
        <v>223.60000000000002</v>
      </c>
      <c r="R522" s="84"/>
    </row>
    <row r="523" spans="2:18" x14ac:dyDescent="0.25">
      <c r="B523" s="2" t="s">
        <v>14</v>
      </c>
      <c r="C523" s="35">
        <f>D523/(D520+D521+D522+D523)*100</f>
        <v>0</v>
      </c>
      <c r="D523" s="140">
        <v>0</v>
      </c>
      <c r="E523" s="5">
        <v>0.71</v>
      </c>
      <c r="F523" s="5">
        <f t="shared" si="102"/>
        <v>0</v>
      </c>
      <c r="G523" s="5">
        <v>0</v>
      </c>
      <c r="H523" s="5">
        <f t="shared" si="100"/>
        <v>0</v>
      </c>
      <c r="I523" s="25"/>
      <c r="K523" s="161" t="s">
        <v>14</v>
      </c>
      <c r="L523" s="80">
        <f>M523/(M520+M521+M522+M523)*100</f>
        <v>0</v>
      </c>
      <c r="M523" s="162">
        <v>0</v>
      </c>
      <c r="N523" s="82">
        <v>0.71</v>
      </c>
      <c r="O523" s="82">
        <f t="shared" si="103"/>
        <v>0</v>
      </c>
      <c r="P523" s="82">
        <v>0</v>
      </c>
      <c r="Q523" s="82">
        <f t="shared" si="101"/>
        <v>0</v>
      </c>
      <c r="R523" s="84"/>
    </row>
    <row r="524" spans="2:18" x14ac:dyDescent="0.25">
      <c r="B524" s="2" t="s">
        <v>17</v>
      </c>
      <c r="C524" s="35"/>
      <c r="D524" s="147">
        <v>8</v>
      </c>
      <c r="E524" s="82">
        <v>3.19</v>
      </c>
      <c r="F524" s="82">
        <f t="shared" si="102"/>
        <v>255.2</v>
      </c>
      <c r="G524" s="82">
        <v>29.4</v>
      </c>
      <c r="H524" s="82">
        <f t="shared" si="100"/>
        <v>2352</v>
      </c>
      <c r="I524" s="25"/>
      <c r="K524" s="161" t="s">
        <v>17</v>
      </c>
      <c r="L524" s="80"/>
      <c r="M524" s="162">
        <v>8</v>
      </c>
      <c r="N524" s="82">
        <v>3.22</v>
      </c>
      <c r="O524" s="82">
        <f t="shared" si="103"/>
        <v>257.60000000000002</v>
      </c>
      <c r="P524" s="82">
        <v>29.6</v>
      </c>
      <c r="Q524" s="82">
        <f t="shared" si="101"/>
        <v>2368.0000000000005</v>
      </c>
      <c r="R524" s="84"/>
    </row>
    <row r="525" spans="2:18" x14ac:dyDescent="0.25">
      <c r="B525" s="4" t="s">
        <v>21</v>
      </c>
      <c r="C525" s="41"/>
      <c r="D525" s="147">
        <v>1.7</v>
      </c>
      <c r="E525" s="82">
        <v>0</v>
      </c>
      <c r="F525" s="82">
        <f t="shared" si="102"/>
        <v>0</v>
      </c>
      <c r="G525" s="82">
        <v>85.3</v>
      </c>
      <c r="H525" s="82">
        <f t="shared" si="100"/>
        <v>1450.1</v>
      </c>
      <c r="I525" s="25"/>
      <c r="K525" s="161" t="s">
        <v>21</v>
      </c>
      <c r="L525" s="80"/>
      <c r="M525" s="162">
        <v>1.7</v>
      </c>
      <c r="N525" s="82">
        <v>0</v>
      </c>
      <c r="O525" s="82">
        <f t="shared" si="103"/>
        <v>0</v>
      </c>
      <c r="P525" s="82">
        <v>85.3</v>
      </c>
      <c r="Q525" s="82">
        <f t="shared" si="101"/>
        <v>1450.1</v>
      </c>
      <c r="R525" s="84"/>
    </row>
    <row r="526" spans="2:18" x14ac:dyDescent="0.25">
      <c r="B526" s="4" t="s">
        <v>49</v>
      </c>
      <c r="C526" s="41"/>
      <c r="D526" s="148">
        <v>0</v>
      </c>
      <c r="E526" s="82">
        <v>46</v>
      </c>
      <c r="F526" s="82">
        <f t="shared" si="102"/>
        <v>0</v>
      </c>
      <c r="G526" s="82">
        <v>0</v>
      </c>
      <c r="H526" s="82">
        <f t="shared" si="100"/>
        <v>0</v>
      </c>
      <c r="I526" s="25"/>
      <c r="K526" s="161" t="s">
        <v>49</v>
      </c>
      <c r="L526" s="80"/>
      <c r="M526" s="163">
        <v>0</v>
      </c>
      <c r="N526" s="82">
        <v>46</v>
      </c>
      <c r="O526" s="82">
        <f t="shared" si="103"/>
        <v>0</v>
      </c>
      <c r="P526" s="82">
        <v>0</v>
      </c>
      <c r="Q526" s="82">
        <f t="shared" si="101"/>
        <v>0</v>
      </c>
      <c r="R526" s="84"/>
    </row>
    <row r="527" spans="2:18" x14ac:dyDescent="0.25">
      <c r="B527" s="4" t="s">
        <v>23</v>
      </c>
      <c r="C527" s="41"/>
      <c r="D527" s="141">
        <v>0.25</v>
      </c>
      <c r="E527" s="13">
        <v>20.5</v>
      </c>
      <c r="F527" s="5">
        <f t="shared" si="102"/>
        <v>51.25</v>
      </c>
      <c r="G527" s="5">
        <v>0</v>
      </c>
      <c r="H527" s="5">
        <f t="shared" si="100"/>
        <v>0</v>
      </c>
      <c r="I527" s="25"/>
      <c r="K527" s="161" t="s">
        <v>23</v>
      </c>
      <c r="L527" s="80"/>
      <c r="M527" s="162">
        <v>0.216</v>
      </c>
      <c r="N527" s="82">
        <v>20.5</v>
      </c>
      <c r="O527" s="82">
        <f t="shared" si="103"/>
        <v>44.28</v>
      </c>
      <c r="P527" s="82">
        <v>0</v>
      </c>
      <c r="Q527" s="82">
        <f t="shared" si="101"/>
        <v>0</v>
      </c>
      <c r="R527" s="84"/>
    </row>
    <row r="528" spans="2:18" x14ac:dyDescent="0.25">
      <c r="B528" s="9" t="s">
        <v>26</v>
      </c>
      <c r="C528" s="42"/>
      <c r="D528" s="143">
        <f>SUM(D520:D527)</f>
        <v>32.450000000000003</v>
      </c>
      <c r="E528" s="9"/>
      <c r="F528" s="11">
        <f>SUM(F520:F527)</f>
        <v>469.06</v>
      </c>
      <c r="G528" s="9"/>
      <c r="H528" s="11">
        <f>SUM(H520:H527)</f>
        <v>5555.4</v>
      </c>
      <c r="I528" s="160" t="s">
        <v>6</v>
      </c>
      <c r="K528" s="164" t="s">
        <v>26</v>
      </c>
      <c r="L528" s="165"/>
      <c r="M528" s="166">
        <f>SUM(M520:M527)</f>
        <v>32.416000000000004</v>
      </c>
      <c r="N528" s="167"/>
      <c r="O528" s="168">
        <f>SUM(O520:O527)</f>
        <v>470.51</v>
      </c>
      <c r="P528" s="167"/>
      <c r="Q528" s="168">
        <f>SUM(Q520:Q527)</f>
        <v>5640.2000000000007</v>
      </c>
      <c r="R528" s="91" t="s">
        <v>6</v>
      </c>
    </row>
    <row r="529" spans="2:18" x14ac:dyDescent="0.25">
      <c r="B529" s="230"/>
      <c r="C529" s="231"/>
      <c r="D529" s="231"/>
      <c r="E529" s="232"/>
      <c r="F529" s="8">
        <f>F528/D528/10</f>
        <v>1.4454853620955315</v>
      </c>
      <c r="G529" s="12"/>
      <c r="H529" s="8">
        <f>H528/D528/10</f>
        <v>17.119876733436051</v>
      </c>
      <c r="I529" s="11">
        <f>((100-H529)*0.5)/F529</f>
        <v>28.668613823391464</v>
      </c>
      <c r="K529" s="250"/>
      <c r="L529" s="251"/>
      <c r="M529" s="251"/>
      <c r="N529" s="252"/>
      <c r="O529" s="169">
        <f>O528/M528/10</f>
        <v>1.4514745804540965</v>
      </c>
      <c r="P529" s="170"/>
      <c r="Q529" s="169">
        <f>Q528/M528/10</f>
        <v>17.399432379072064</v>
      </c>
      <c r="R529" s="171">
        <f>((100-Q529)*0.5)/O529</f>
        <v>28.454017980489258</v>
      </c>
    </row>
    <row r="532" spans="2:18" x14ac:dyDescent="0.25">
      <c r="B532" s="224" t="s">
        <v>154</v>
      </c>
      <c r="C532" s="225"/>
      <c r="D532" s="225"/>
      <c r="E532" s="225"/>
      <c r="F532" s="225"/>
      <c r="G532" s="225"/>
      <c r="H532" s="225"/>
      <c r="I532" s="226"/>
      <c r="K532" s="224" t="s">
        <v>156</v>
      </c>
      <c r="L532" s="225"/>
      <c r="M532" s="225"/>
      <c r="N532" s="225"/>
      <c r="O532" s="225"/>
      <c r="P532" s="225"/>
      <c r="Q532" s="225"/>
      <c r="R532" s="226"/>
    </row>
    <row r="533" spans="2:18" x14ac:dyDescent="0.25">
      <c r="B533" s="217" t="s">
        <v>0</v>
      </c>
      <c r="C533" s="227" t="s">
        <v>1</v>
      </c>
      <c r="D533" s="217" t="s">
        <v>47</v>
      </c>
      <c r="E533" s="221" t="s">
        <v>46</v>
      </c>
      <c r="F533" s="222"/>
      <c r="G533" s="222"/>
      <c r="H533" s="223"/>
      <c r="I533" s="229" t="s">
        <v>102</v>
      </c>
      <c r="K533" s="217" t="s">
        <v>0</v>
      </c>
      <c r="L533" s="227" t="s">
        <v>1</v>
      </c>
      <c r="M533" s="217" t="s">
        <v>47</v>
      </c>
      <c r="N533" s="221" t="s">
        <v>46</v>
      </c>
      <c r="O533" s="222"/>
      <c r="P533" s="222"/>
      <c r="Q533" s="223"/>
      <c r="R533" s="229" t="s">
        <v>102</v>
      </c>
    </row>
    <row r="534" spans="2:18" x14ac:dyDescent="0.25">
      <c r="B534" s="218"/>
      <c r="C534" s="228"/>
      <c r="D534" s="218"/>
      <c r="E534" s="2" t="s">
        <v>42</v>
      </c>
      <c r="F534" s="2" t="s">
        <v>43</v>
      </c>
      <c r="G534" s="2" t="s">
        <v>44</v>
      </c>
      <c r="H534" s="2" t="s">
        <v>45</v>
      </c>
      <c r="I534" s="229"/>
      <c r="K534" s="218"/>
      <c r="L534" s="228"/>
      <c r="M534" s="218"/>
      <c r="N534" s="2" t="s">
        <v>42</v>
      </c>
      <c r="O534" s="2" t="s">
        <v>43</v>
      </c>
      <c r="P534" s="2" t="s">
        <v>44</v>
      </c>
      <c r="Q534" s="2" t="s">
        <v>45</v>
      </c>
      <c r="R534" s="229"/>
    </row>
    <row r="535" spans="2:18" x14ac:dyDescent="0.25">
      <c r="B535" s="2" t="s">
        <v>122</v>
      </c>
      <c r="C535" s="35">
        <f>D535/(D535+D536+D537+D538)*100</f>
        <v>61.777777777777779</v>
      </c>
      <c r="D535" s="145">
        <v>13.9</v>
      </c>
      <c r="E535" s="5">
        <v>0.91</v>
      </c>
      <c r="F535" s="5">
        <f>(D535*E535%)*1000</f>
        <v>126.49000000000002</v>
      </c>
      <c r="G535" s="5">
        <v>11.5</v>
      </c>
      <c r="H535" s="146">
        <f t="shared" ref="H535:H542" si="104">(D535*G535%)*1000</f>
        <v>1598.5</v>
      </c>
      <c r="I535" s="51">
        <f>D535+D536+D537+D538</f>
        <v>22.5</v>
      </c>
      <c r="K535" s="2" t="s">
        <v>122</v>
      </c>
      <c r="L535" s="196">
        <f>M535/(M535+M536+M537)*100</f>
        <v>61.777777777777779</v>
      </c>
      <c r="M535" s="145">
        <v>13.9</v>
      </c>
      <c r="N535" s="5">
        <v>0.91</v>
      </c>
      <c r="O535" s="5">
        <f>(M535*N535%)*1000</f>
        <v>126.49000000000002</v>
      </c>
      <c r="P535" s="5">
        <v>11.5</v>
      </c>
      <c r="Q535" s="146">
        <f t="shared" ref="Q535:Q542" si="105">(M535*P535%)*1000</f>
        <v>1598.5</v>
      </c>
      <c r="R535" s="51">
        <f>M535+M536+M537+M538</f>
        <v>22.5</v>
      </c>
    </row>
    <row r="536" spans="2:18" x14ac:dyDescent="0.25">
      <c r="B536" s="4" t="s">
        <v>110</v>
      </c>
      <c r="C536" s="35">
        <f>D536/(D535+D536+D537+D538)*100</f>
        <v>0</v>
      </c>
      <c r="D536" s="147">
        <v>0</v>
      </c>
      <c r="E536" s="82">
        <v>0.7</v>
      </c>
      <c r="F536" s="82">
        <f t="shared" ref="F536:F542" si="106">(D536*E536%)*1000</f>
        <v>0</v>
      </c>
      <c r="G536" s="82">
        <v>0</v>
      </c>
      <c r="H536" s="82">
        <f t="shared" si="104"/>
        <v>0</v>
      </c>
      <c r="I536" s="25"/>
      <c r="K536" s="4" t="s">
        <v>110</v>
      </c>
      <c r="L536" s="196">
        <f>M536/(M535+M536+M537)*100</f>
        <v>0</v>
      </c>
      <c r="M536" s="147">
        <v>0</v>
      </c>
      <c r="N536" s="82">
        <v>0.7</v>
      </c>
      <c r="O536" s="82">
        <f t="shared" ref="O536:O542" si="107">(M536*N536%)*1000</f>
        <v>0</v>
      </c>
      <c r="P536" s="82">
        <v>0</v>
      </c>
      <c r="Q536" s="82">
        <f t="shared" si="105"/>
        <v>0</v>
      </c>
      <c r="R536" s="25"/>
    </row>
    <row r="537" spans="2:18" x14ac:dyDescent="0.25">
      <c r="B537" s="2" t="s">
        <v>12</v>
      </c>
      <c r="C537" s="35">
        <f>D537/(D535+D536+D537+D538)*100</f>
        <v>38.222222222222221</v>
      </c>
      <c r="D537" s="147">
        <v>8.6</v>
      </c>
      <c r="E537" s="82">
        <v>0.42</v>
      </c>
      <c r="F537" s="82">
        <f t="shared" si="106"/>
        <v>36.119999999999997</v>
      </c>
      <c r="G537" s="82">
        <v>1.8</v>
      </c>
      <c r="H537" s="82">
        <f t="shared" si="104"/>
        <v>154.80000000000001</v>
      </c>
      <c r="I537" s="25"/>
      <c r="K537" s="2" t="s">
        <v>12</v>
      </c>
      <c r="L537" s="196">
        <f>M537/(M535+M536+M537)*100</f>
        <v>38.222222222222221</v>
      </c>
      <c r="M537" s="147">
        <v>8.6</v>
      </c>
      <c r="N537" s="82">
        <v>0.42</v>
      </c>
      <c r="O537" s="82">
        <f t="shared" si="107"/>
        <v>36.119999999999997</v>
      </c>
      <c r="P537" s="82">
        <v>1.8</v>
      </c>
      <c r="Q537" s="82">
        <f t="shared" si="105"/>
        <v>154.80000000000001</v>
      </c>
      <c r="R537" s="25"/>
    </row>
    <row r="538" spans="2:18" x14ac:dyDescent="0.25">
      <c r="B538" s="2" t="s">
        <v>14</v>
      </c>
      <c r="C538" s="35">
        <f>D538/(D535+D536+D537+D538)*100</f>
        <v>0</v>
      </c>
      <c r="D538" s="140">
        <v>0</v>
      </c>
      <c r="E538" s="5">
        <v>0.71</v>
      </c>
      <c r="F538" s="5">
        <f t="shared" si="106"/>
        <v>0</v>
      </c>
      <c r="G538" s="5">
        <v>0</v>
      </c>
      <c r="H538" s="5">
        <f t="shared" si="104"/>
        <v>0</v>
      </c>
      <c r="I538" s="25"/>
      <c r="K538" s="2" t="s">
        <v>14</v>
      </c>
      <c r="L538" s="35"/>
      <c r="M538" s="140">
        <v>0</v>
      </c>
      <c r="N538" s="5">
        <v>0.71</v>
      </c>
      <c r="O538" s="5">
        <f t="shared" si="107"/>
        <v>0</v>
      </c>
      <c r="P538" s="5">
        <v>0</v>
      </c>
      <c r="Q538" s="5">
        <f t="shared" si="105"/>
        <v>0</v>
      </c>
      <c r="R538" s="25"/>
    </row>
    <row r="539" spans="2:18" x14ac:dyDescent="0.25">
      <c r="B539" s="2" t="s">
        <v>17</v>
      </c>
      <c r="C539" s="35"/>
      <c r="D539" s="147">
        <v>8</v>
      </c>
      <c r="E539" s="82">
        <v>3.29</v>
      </c>
      <c r="F539" s="82">
        <f t="shared" si="106"/>
        <v>263.2</v>
      </c>
      <c r="G539" s="82">
        <v>29.2</v>
      </c>
      <c r="H539" s="82">
        <f t="shared" si="104"/>
        <v>2336</v>
      </c>
      <c r="I539" s="25"/>
      <c r="K539" s="2" t="s">
        <v>17</v>
      </c>
      <c r="L539" s="35"/>
      <c r="M539" s="147">
        <v>8</v>
      </c>
      <c r="N539" s="82">
        <v>3.22</v>
      </c>
      <c r="O539" s="82">
        <f t="shared" si="107"/>
        <v>257.60000000000002</v>
      </c>
      <c r="P539" s="82">
        <v>28.6</v>
      </c>
      <c r="Q539" s="82">
        <f t="shared" si="105"/>
        <v>2288.0000000000005</v>
      </c>
      <c r="R539" s="25"/>
    </row>
    <row r="540" spans="2:18" x14ac:dyDescent="0.25">
      <c r="B540" s="4" t="s">
        <v>21</v>
      </c>
      <c r="C540" s="41"/>
      <c r="D540" s="147">
        <v>1.7</v>
      </c>
      <c r="E540" s="82">
        <v>0</v>
      </c>
      <c r="F540" s="82">
        <f t="shared" si="106"/>
        <v>0</v>
      </c>
      <c r="G540" s="82">
        <v>85.3</v>
      </c>
      <c r="H540" s="82">
        <f t="shared" si="104"/>
        <v>1450.1</v>
      </c>
      <c r="I540" s="25"/>
      <c r="K540" s="4" t="s">
        <v>21</v>
      </c>
      <c r="L540" s="41"/>
      <c r="M540" s="147">
        <v>1.75</v>
      </c>
      <c r="N540" s="82">
        <v>0</v>
      </c>
      <c r="O540" s="82">
        <f t="shared" si="107"/>
        <v>0</v>
      </c>
      <c r="P540" s="82">
        <v>85.2</v>
      </c>
      <c r="Q540" s="82">
        <f t="shared" si="105"/>
        <v>1490.9999999999998</v>
      </c>
      <c r="R540" s="25"/>
    </row>
    <row r="541" spans="2:18" x14ac:dyDescent="0.25">
      <c r="B541" s="4" t="s">
        <v>49</v>
      </c>
      <c r="C541" s="41"/>
      <c r="D541" s="148">
        <v>0</v>
      </c>
      <c r="E541" s="82">
        <v>46</v>
      </c>
      <c r="F541" s="82">
        <f t="shared" si="106"/>
        <v>0</v>
      </c>
      <c r="G541" s="82">
        <v>0</v>
      </c>
      <c r="H541" s="82">
        <f t="shared" si="104"/>
        <v>0</v>
      </c>
      <c r="I541" s="25"/>
      <c r="K541" s="4" t="s">
        <v>49</v>
      </c>
      <c r="L541" s="41"/>
      <c r="M541" s="148">
        <v>0</v>
      </c>
      <c r="N541" s="82">
        <v>46</v>
      </c>
      <c r="O541" s="82">
        <f t="shared" si="107"/>
        <v>0</v>
      </c>
      <c r="P541" s="82">
        <v>0</v>
      </c>
      <c r="Q541" s="82">
        <f t="shared" si="105"/>
        <v>0</v>
      </c>
      <c r="R541" s="25"/>
    </row>
    <row r="542" spans="2:18" x14ac:dyDescent="0.25">
      <c r="B542" s="4" t="s">
        <v>23</v>
      </c>
      <c r="C542" s="41"/>
      <c r="D542" s="141">
        <v>0.22</v>
      </c>
      <c r="E542" s="13">
        <v>20.5</v>
      </c>
      <c r="F542" s="5">
        <f t="shared" si="106"/>
        <v>45.099999999999994</v>
      </c>
      <c r="G542" s="5">
        <v>0</v>
      </c>
      <c r="H542" s="5">
        <f t="shared" si="104"/>
        <v>0</v>
      </c>
      <c r="I542" s="25"/>
      <c r="K542" s="4" t="s">
        <v>23</v>
      </c>
      <c r="L542" s="41"/>
      <c r="M542" s="141">
        <v>0.25</v>
      </c>
      <c r="N542" s="13">
        <v>20.5</v>
      </c>
      <c r="O542" s="5">
        <f t="shared" si="107"/>
        <v>51.25</v>
      </c>
      <c r="P542" s="5">
        <v>0</v>
      </c>
      <c r="Q542" s="5">
        <f t="shared" si="105"/>
        <v>0</v>
      </c>
      <c r="R542" s="25"/>
    </row>
    <row r="543" spans="2:18" x14ac:dyDescent="0.25">
      <c r="B543" s="9" t="s">
        <v>26</v>
      </c>
      <c r="C543" s="42"/>
      <c r="D543" s="143">
        <f>SUM(D535:D542)</f>
        <v>32.42</v>
      </c>
      <c r="E543" s="9"/>
      <c r="F543" s="11">
        <f>SUM(F535:F542)</f>
        <v>470.90999999999997</v>
      </c>
      <c r="G543" s="9"/>
      <c r="H543" s="11">
        <f>SUM(H535:H542)</f>
        <v>5539.4</v>
      </c>
      <c r="I543" s="172" t="s">
        <v>6</v>
      </c>
      <c r="K543" s="9" t="s">
        <v>26</v>
      </c>
      <c r="L543" s="42"/>
      <c r="M543" s="143">
        <f>SUM(M535:M542)</f>
        <v>32.5</v>
      </c>
      <c r="N543" s="9"/>
      <c r="O543" s="11">
        <f>SUM(O535:O542)</f>
        <v>471.46000000000004</v>
      </c>
      <c r="P543" s="9"/>
      <c r="Q543" s="11">
        <f>SUM(Q535:Q542)</f>
        <v>5532.3</v>
      </c>
      <c r="R543" s="172" t="s">
        <v>6</v>
      </c>
    </row>
    <row r="544" spans="2:18" x14ac:dyDescent="0.25">
      <c r="B544" s="230"/>
      <c r="C544" s="231"/>
      <c r="D544" s="231"/>
      <c r="E544" s="232"/>
      <c r="F544" s="8">
        <f>F543/D543/10</f>
        <v>1.4525293028994446</v>
      </c>
      <c r="G544" s="12"/>
      <c r="H544" s="8">
        <f>H543/D543/10</f>
        <v>17.086366440468844</v>
      </c>
      <c r="I544" s="11">
        <f>((100-H544)*0.5)/F544</f>
        <v>28.541122507485507</v>
      </c>
      <c r="K544" s="230"/>
      <c r="L544" s="231"/>
      <c r="M544" s="231"/>
      <c r="N544" s="232"/>
      <c r="O544" s="8">
        <f>O543/M543/10</f>
        <v>1.4506461538461539</v>
      </c>
      <c r="P544" s="12"/>
      <c r="Q544" s="8">
        <f>Q543/M543/10</f>
        <v>17.022461538461538</v>
      </c>
      <c r="R544" s="11">
        <f>((100-Q544)*0.5)/O544</f>
        <v>28.600199380647346</v>
      </c>
    </row>
    <row r="546" spans="2:18" x14ac:dyDescent="0.25">
      <c r="B546" s="224" t="s">
        <v>163</v>
      </c>
      <c r="C546" s="225"/>
      <c r="D546" s="225"/>
      <c r="E546" s="225"/>
      <c r="F546" s="225"/>
      <c r="G546" s="225"/>
      <c r="H546" s="225"/>
      <c r="I546" s="226"/>
      <c r="K546" s="224" t="s">
        <v>155</v>
      </c>
      <c r="L546" s="225"/>
      <c r="M546" s="225"/>
      <c r="N546" s="225"/>
      <c r="O546" s="225"/>
      <c r="P546" s="225"/>
      <c r="Q546" s="225"/>
      <c r="R546" s="226"/>
    </row>
    <row r="547" spans="2:18" x14ac:dyDescent="0.25">
      <c r="B547" s="217" t="s">
        <v>0</v>
      </c>
      <c r="C547" s="227" t="s">
        <v>1</v>
      </c>
      <c r="D547" s="217" t="s">
        <v>47</v>
      </c>
      <c r="E547" s="221" t="s">
        <v>46</v>
      </c>
      <c r="F547" s="222"/>
      <c r="G547" s="222"/>
      <c r="H547" s="223"/>
      <c r="I547" s="229" t="s">
        <v>102</v>
      </c>
      <c r="K547" s="217" t="s">
        <v>0</v>
      </c>
      <c r="L547" s="227" t="s">
        <v>1</v>
      </c>
      <c r="M547" s="217" t="s">
        <v>47</v>
      </c>
      <c r="N547" s="221" t="s">
        <v>46</v>
      </c>
      <c r="O547" s="222"/>
      <c r="P547" s="222"/>
      <c r="Q547" s="223"/>
      <c r="R547" s="229" t="s">
        <v>102</v>
      </c>
    </row>
    <row r="548" spans="2:18" x14ac:dyDescent="0.25">
      <c r="B548" s="218"/>
      <c r="C548" s="228"/>
      <c r="D548" s="218"/>
      <c r="E548" s="2" t="s">
        <v>42</v>
      </c>
      <c r="F548" s="2" t="s">
        <v>43</v>
      </c>
      <c r="G548" s="2" t="s">
        <v>44</v>
      </c>
      <c r="H548" s="2" t="s">
        <v>45</v>
      </c>
      <c r="I548" s="229"/>
      <c r="K548" s="218"/>
      <c r="L548" s="228"/>
      <c r="M548" s="218"/>
      <c r="N548" s="2" t="s">
        <v>42</v>
      </c>
      <c r="O548" s="2" t="s">
        <v>43</v>
      </c>
      <c r="P548" s="2" t="s">
        <v>44</v>
      </c>
      <c r="Q548" s="2" t="s">
        <v>45</v>
      </c>
      <c r="R548" s="229"/>
    </row>
    <row r="549" spans="2:18" x14ac:dyDescent="0.25">
      <c r="B549" s="2" t="s">
        <v>122</v>
      </c>
      <c r="C549" s="196">
        <f>D549/(D549+D550+D551)*100</f>
        <v>61.777777777777779</v>
      </c>
      <c r="D549" s="145">
        <v>13.9</v>
      </c>
      <c r="E549" s="5">
        <v>0.91</v>
      </c>
      <c r="F549" s="5">
        <f>(D549*E549%)*1000</f>
        <v>126.49000000000002</v>
      </c>
      <c r="G549" s="5">
        <v>11.5</v>
      </c>
      <c r="H549" s="146">
        <f t="shared" ref="H549:H556" si="108">(D549*G549%)*1000</f>
        <v>1598.5</v>
      </c>
      <c r="I549" s="51">
        <f>D549+D550+D551+D552</f>
        <v>22.5</v>
      </c>
      <c r="K549" s="2" t="s">
        <v>122</v>
      </c>
      <c r="L549" s="196">
        <f>M549/(M549+M550+M551)*100</f>
        <v>68.888888888888886</v>
      </c>
      <c r="M549" s="145">
        <v>15.5</v>
      </c>
      <c r="N549" s="5">
        <v>0.91</v>
      </c>
      <c r="O549" s="5">
        <f>(M549*N549%)*1000</f>
        <v>141.05000000000001</v>
      </c>
      <c r="P549" s="5">
        <v>11.5</v>
      </c>
      <c r="Q549" s="146">
        <f t="shared" ref="Q549:Q556" si="109">(M549*P549%)*1000</f>
        <v>1782.5</v>
      </c>
      <c r="R549" s="51">
        <f>M549+M550+M551+M552</f>
        <v>22.5</v>
      </c>
    </row>
    <row r="550" spans="2:18" x14ac:dyDescent="0.25">
      <c r="B550" s="4" t="s">
        <v>110</v>
      </c>
      <c r="C550" s="196">
        <f>D550/(D549+D550+D551)*100</f>
        <v>0</v>
      </c>
      <c r="D550" s="147">
        <v>0</v>
      </c>
      <c r="E550" s="82">
        <v>0.7</v>
      </c>
      <c r="F550" s="82">
        <f t="shared" ref="F550:F556" si="110">(D550*E550%)*1000</f>
        <v>0</v>
      </c>
      <c r="G550" s="82">
        <v>0</v>
      </c>
      <c r="H550" s="82">
        <f t="shared" si="108"/>
        <v>0</v>
      </c>
      <c r="I550" s="25"/>
      <c r="K550" s="4" t="s">
        <v>110</v>
      </c>
      <c r="L550" s="196">
        <f>M550/(M549+M550+M551)*100</f>
        <v>0</v>
      </c>
      <c r="M550" s="147">
        <v>0</v>
      </c>
      <c r="N550" s="82">
        <v>0.7</v>
      </c>
      <c r="O550" s="82">
        <f t="shared" ref="O550:O556" si="111">(M550*N550%)*1000</f>
        <v>0</v>
      </c>
      <c r="P550" s="82">
        <v>0</v>
      </c>
      <c r="Q550" s="82">
        <f t="shared" si="109"/>
        <v>0</v>
      </c>
      <c r="R550" s="25"/>
    </row>
    <row r="551" spans="2:18" x14ac:dyDescent="0.25">
      <c r="B551" s="2" t="s">
        <v>12</v>
      </c>
      <c r="C551" s="196">
        <f>D551/(D549+D550+D551)*100</f>
        <v>38.222222222222221</v>
      </c>
      <c r="D551" s="147">
        <v>8.6</v>
      </c>
      <c r="E551" s="82">
        <v>0.42</v>
      </c>
      <c r="F551" s="82">
        <f t="shared" si="110"/>
        <v>36.119999999999997</v>
      </c>
      <c r="G551" s="82">
        <v>1.8</v>
      </c>
      <c r="H551" s="82">
        <f t="shared" si="108"/>
        <v>154.80000000000001</v>
      </c>
      <c r="I551" s="25"/>
      <c r="K551" s="2" t="s">
        <v>12</v>
      </c>
      <c r="L551" s="196">
        <f>M551/(M549+M550+M551)*100</f>
        <v>31.111111111111111</v>
      </c>
      <c r="M551" s="147">
        <v>7</v>
      </c>
      <c r="N551" s="82">
        <v>0.42</v>
      </c>
      <c r="O551" s="82">
        <f t="shared" si="111"/>
        <v>29.4</v>
      </c>
      <c r="P551" s="82">
        <v>1.8</v>
      </c>
      <c r="Q551" s="82">
        <f t="shared" si="109"/>
        <v>126</v>
      </c>
      <c r="R551" s="25"/>
    </row>
    <row r="552" spans="2:18" x14ac:dyDescent="0.25">
      <c r="B552" s="2" t="s">
        <v>14</v>
      </c>
      <c r="C552" s="35"/>
      <c r="D552" s="140">
        <v>0</v>
      </c>
      <c r="E552" s="5">
        <v>0.71</v>
      </c>
      <c r="F552" s="5">
        <f t="shared" si="110"/>
        <v>0</v>
      </c>
      <c r="G552" s="5">
        <v>0</v>
      </c>
      <c r="H552" s="5">
        <f t="shared" si="108"/>
        <v>0</v>
      </c>
      <c r="I552" s="25"/>
      <c r="K552" s="2" t="s">
        <v>14</v>
      </c>
      <c r="L552" s="35"/>
      <c r="M552" s="140">
        <v>0</v>
      </c>
      <c r="N552" s="5">
        <v>0.71</v>
      </c>
      <c r="O552" s="5">
        <f t="shared" si="111"/>
        <v>0</v>
      </c>
      <c r="P552" s="5">
        <v>0</v>
      </c>
      <c r="Q552" s="5">
        <f t="shared" si="109"/>
        <v>0</v>
      </c>
      <c r="R552" s="25"/>
    </row>
    <row r="553" spans="2:18" x14ac:dyDescent="0.25">
      <c r="B553" s="2" t="s">
        <v>17</v>
      </c>
      <c r="C553" s="35"/>
      <c r="D553" s="147">
        <v>8</v>
      </c>
      <c r="E553" s="82">
        <v>3.36</v>
      </c>
      <c r="F553" s="82">
        <f t="shared" si="110"/>
        <v>268.8</v>
      </c>
      <c r="G553" s="82">
        <v>30.3</v>
      </c>
      <c r="H553" s="82">
        <f t="shared" si="108"/>
        <v>2424</v>
      </c>
      <c r="I553" s="25"/>
      <c r="K553" s="2" t="s">
        <v>17</v>
      </c>
      <c r="L553" s="35"/>
      <c r="M553" s="147">
        <v>8</v>
      </c>
      <c r="N553" s="82">
        <v>3.19</v>
      </c>
      <c r="O553" s="82">
        <f t="shared" si="111"/>
        <v>255.2</v>
      </c>
      <c r="P553" s="82">
        <v>29.4</v>
      </c>
      <c r="Q553" s="82">
        <f t="shared" si="109"/>
        <v>2352</v>
      </c>
      <c r="R553" s="25"/>
    </row>
    <row r="554" spans="2:18" x14ac:dyDescent="0.25">
      <c r="B554" s="4" t="s">
        <v>21</v>
      </c>
      <c r="C554" s="41"/>
      <c r="D554" s="147">
        <v>1.7</v>
      </c>
      <c r="E554" s="82">
        <v>0</v>
      </c>
      <c r="F554" s="82">
        <f t="shared" si="110"/>
        <v>0</v>
      </c>
      <c r="G554" s="82">
        <v>85.3</v>
      </c>
      <c r="H554" s="82">
        <f t="shared" si="108"/>
        <v>1450.1</v>
      </c>
      <c r="I554" s="25"/>
      <c r="K554" s="4" t="s">
        <v>21</v>
      </c>
      <c r="L554" s="41"/>
      <c r="M554" s="147">
        <v>1.7</v>
      </c>
      <c r="N554" s="82">
        <v>0</v>
      </c>
      <c r="O554" s="82">
        <f t="shared" si="111"/>
        <v>0</v>
      </c>
      <c r="P554" s="82">
        <v>85.3</v>
      </c>
      <c r="Q554" s="82">
        <f t="shared" si="109"/>
        <v>1450.1</v>
      </c>
      <c r="R554" s="25"/>
    </row>
    <row r="555" spans="2:18" x14ac:dyDescent="0.25">
      <c r="B555" s="4" t="s">
        <v>49</v>
      </c>
      <c r="C555" s="41"/>
      <c r="D555" s="148">
        <v>0</v>
      </c>
      <c r="E555" s="82">
        <v>46</v>
      </c>
      <c r="F555" s="82">
        <f t="shared" si="110"/>
        <v>0</v>
      </c>
      <c r="G555" s="82">
        <v>0</v>
      </c>
      <c r="H555" s="82">
        <f t="shared" si="108"/>
        <v>0</v>
      </c>
      <c r="I555" s="25"/>
      <c r="K555" s="4" t="s">
        <v>49</v>
      </c>
      <c r="L555" s="41"/>
      <c r="M555" s="148">
        <v>0</v>
      </c>
      <c r="N555" s="82">
        <v>46</v>
      </c>
      <c r="O555" s="82">
        <f t="shared" si="111"/>
        <v>0</v>
      </c>
      <c r="P555" s="82">
        <v>0</v>
      </c>
      <c r="Q555" s="82">
        <f t="shared" si="109"/>
        <v>0</v>
      </c>
      <c r="R555" s="25"/>
    </row>
    <row r="556" spans="2:18" x14ac:dyDescent="0.25">
      <c r="B556" s="4" t="s">
        <v>23</v>
      </c>
      <c r="C556" s="41"/>
      <c r="D556" s="141">
        <v>0.183</v>
      </c>
      <c r="E556" s="13">
        <v>20.5</v>
      </c>
      <c r="F556" s="5">
        <f t="shared" si="110"/>
        <v>37.515000000000001</v>
      </c>
      <c r="G556" s="5">
        <v>0</v>
      </c>
      <c r="H556" s="5">
        <f t="shared" si="108"/>
        <v>0</v>
      </c>
      <c r="I556" s="25"/>
      <c r="K556" s="4" t="s">
        <v>23</v>
      </c>
      <c r="L556" s="41"/>
      <c r="M556" s="141">
        <v>0.2</v>
      </c>
      <c r="N556" s="13">
        <v>20.5</v>
      </c>
      <c r="O556" s="5">
        <f t="shared" si="111"/>
        <v>41</v>
      </c>
      <c r="P556" s="5">
        <v>0</v>
      </c>
      <c r="Q556" s="5">
        <f t="shared" si="109"/>
        <v>0</v>
      </c>
      <c r="R556" s="25"/>
    </row>
    <row r="557" spans="2:18" x14ac:dyDescent="0.25">
      <c r="B557" s="9" t="s">
        <v>26</v>
      </c>
      <c r="C557" s="42"/>
      <c r="D557" s="143">
        <f>SUM(D549:D556)</f>
        <v>32.383000000000003</v>
      </c>
      <c r="E557" s="9"/>
      <c r="F557" s="11">
        <f>SUM(F549:F556)</f>
        <v>468.92500000000001</v>
      </c>
      <c r="G557" s="9"/>
      <c r="H557" s="11">
        <f>SUM(H549:H556)</f>
        <v>5627.4</v>
      </c>
      <c r="I557" s="173" t="s">
        <v>6</v>
      </c>
      <c r="K557" s="9" t="s">
        <v>26</v>
      </c>
      <c r="L557" s="42"/>
      <c r="M557" s="143">
        <f>SUM(M549:M556)</f>
        <v>32.400000000000006</v>
      </c>
      <c r="N557" s="9"/>
      <c r="O557" s="11">
        <f>SUM(O549:O556)</f>
        <v>466.65</v>
      </c>
      <c r="P557" s="9"/>
      <c r="Q557" s="11">
        <f>SUM(Q549:Q556)</f>
        <v>5710.6</v>
      </c>
      <c r="R557" s="172" t="s">
        <v>6</v>
      </c>
    </row>
    <row r="558" spans="2:18" x14ac:dyDescent="0.25">
      <c r="B558" s="230"/>
      <c r="C558" s="231"/>
      <c r="D558" s="231"/>
      <c r="E558" s="232"/>
      <c r="F558" s="8">
        <f>F557/D557/10</f>
        <v>1.4480591668468024</v>
      </c>
      <c r="G558" s="12"/>
      <c r="H558" s="8">
        <f>H557/D557/10</f>
        <v>17.377636414167924</v>
      </c>
      <c r="I558" s="11">
        <f>((100-H558)*0.5)/F558</f>
        <v>28.52865596843845</v>
      </c>
      <c r="K558" s="230"/>
      <c r="L558" s="231"/>
      <c r="M558" s="231"/>
      <c r="N558" s="232"/>
      <c r="O558" s="8">
        <f>O557/M557/10</f>
        <v>1.4402777777777775</v>
      </c>
      <c r="P558" s="12"/>
      <c r="Q558" s="8">
        <f>Q557/M557/10</f>
        <v>17.625308641975305</v>
      </c>
      <c r="R558" s="11">
        <f>((100-Q558)*0.5)/O558</f>
        <v>28.596807028822461</v>
      </c>
    </row>
    <row r="561" spans="2:18" x14ac:dyDescent="0.25">
      <c r="B561" s="224" t="s">
        <v>159</v>
      </c>
      <c r="C561" s="225"/>
      <c r="D561" s="225"/>
      <c r="E561" s="225"/>
      <c r="F561" s="225"/>
      <c r="G561" s="225"/>
      <c r="H561" s="225"/>
      <c r="I561" s="226"/>
      <c r="K561" s="224" t="s">
        <v>160</v>
      </c>
      <c r="L561" s="225"/>
      <c r="M561" s="225"/>
      <c r="N561" s="225"/>
      <c r="O561" s="225"/>
      <c r="P561" s="225"/>
      <c r="Q561" s="225"/>
      <c r="R561" s="226"/>
    </row>
    <row r="562" spans="2:18" x14ac:dyDescent="0.25">
      <c r="B562" s="217" t="s">
        <v>0</v>
      </c>
      <c r="C562" s="227" t="s">
        <v>1</v>
      </c>
      <c r="D562" s="217" t="s">
        <v>47</v>
      </c>
      <c r="E562" s="221" t="s">
        <v>46</v>
      </c>
      <c r="F562" s="222"/>
      <c r="G562" s="222"/>
      <c r="H562" s="223"/>
      <c r="I562" s="229" t="s">
        <v>102</v>
      </c>
      <c r="K562" s="217" t="s">
        <v>0</v>
      </c>
      <c r="L562" s="227" t="s">
        <v>1</v>
      </c>
      <c r="M562" s="217" t="s">
        <v>47</v>
      </c>
      <c r="N562" s="221" t="s">
        <v>46</v>
      </c>
      <c r="O562" s="222"/>
      <c r="P562" s="222"/>
      <c r="Q562" s="223"/>
      <c r="R562" s="229" t="s">
        <v>102</v>
      </c>
    </row>
    <row r="563" spans="2:18" x14ac:dyDescent="0.25">
      <c r="B563" s="218"/>
      <c r="C563" s="228"/>
      <c r="D563" s="218"/>
      <c r="E563" s="2" t="s">
        <v>42</v>
      </c>
      <c r="F563" s="2" t="s">
        <v>43</v>
      </c>
      <c r="G563" s="2" t="s">
        <v>44</v>
      </c>
      <c r="H563" s="2" t="s">
        <v>45</v>
      </c>
      <c r="I563" s="229"/>
      <c r="K563" s="218"/>
      <c r="L563" s="228"/>
      <c r="M563" s="218"/>
      <c r="N563" s="2" t="s">
        <v>42</v>
      </c>
      <c r="O563" s="2" t="s">
        <v>43</v>
      </c>
      <c r="P563" s="2" t="s">
        <v>44</v>
      </c>
      <c r="Q563" s="2" t="s">
        <v>45</v>
      </c>
      <c r="R563" s="229"/>
    </row>
    <row r="564" spans="2:18" x14ac:dyDescent="0.25">
      <c r="B564" s="2" t="s">
        <v>122</v>
      </c>
      <c r="C564" s="196">
        <f>D564/(D564+D565+D566)*100</f>
        <v>75.1111111111111</v>
      </c>
      <c r="D564" s="145">
        <v>16.899999999999999</v>
      </c>
      <c r="E564" s="5">
        <v>1</v>
      </c>
      <c r="F564" s="5">
        <f>(D564*E564%)*1000</f>
        <v>168.99999999999997</v>
      </c>
      <c r="G564" s="5">
        <v>13.2</v>
      </c>
      <c r="H564" s="146">
        <f t="shared" ref="H564:H571" si="112">(D564*G564%)*1000</f>
        <v>2230.7999999999997</v>
      </c>
      <c r="I564" s="51">
        <f>D564+D565+D566+D567</f>
        <v>22.5</v>
      </c>
      <c r="K564" s="2" t="s">
        <v>122</v>
      </c>
      <c r="L564" s="196">
        <f>M564/(M564+M565+M566)*100</f>
        <v>80</v>
      </c>
      <c r="M564" s="145">
        <v>18</v>
      </c>
      <c r="N564" s="5">
        <v>1</v>
      </c>
      <c r="O564" s="5">
        <f>(M564*N564%)*1000</f>
        <v>180</v>
      </c>
      <c r="P564" s="5">
        <v>13.3</v>
      </c>
      <c r="Q564" s="146">
        <f t="shared" ref="Q564:Q571" si="113">(M564*P564%)*1000</f>
        <v>2394</v>
      </c>
      <c r="R564" s="51">
        <f>M564+M565+M566+M567</f>
        <v>22.5</v>
      </c>
    </row>
    <row r="565" spans="2:18" x14ac:dyDescent="0.25">
      <c r="B565" s="4" t="s">
        <v>110</v>
      </c>
      <c r="C565" s="196">
        <f>D565/(D564+D565+D566)*100</f>
        <v>0</v>
      </c>
      <c r="D565" s="147">
        <v>0</v>
      </c>
      <c r="E565" s="82">
        <v>0.7</v>
      </c>
      <c r="F565" s="82">
        <f t="shared" ref="F565:F571" si="114">(D565*E565%)*1000</f>
        <v>0</v>
      </c>
      <c r="G565" s="82">
        <v>0</v>
      </c>
      <c r="H565" s="82">
        <f t="shared" si="112"/>
        <v>0</v>
      </c>
      <c r="I565" s="25"/>
      <c r="K565" s="4" t="s">
        <v>110</v>
      </c>
      <c r="L565" s="196">
        <f>M565/(M564+M565+M566)*100</f>
        <v>0</v>
      </c>
      <c r="M565" s="147">
        <v>0</v>
      </c>
      <c r="N565" s="82">
        <v>0.7</v>
      </c>
      <c r="O565" s="82">
        <f t="shared" ref="O565:O571" si="115">(M565*N565%)*1000</f>
        <v>0</v>
      </c>
      <c r="P565" s="82">
        <v>0</v>
      </c>
      <c r="Q565" s="82">
        <f t="shared" si="113"/>
        <v>0</v>
      </c>
      <c r="R565" s="25"/>
    </row>
    <row r="566" spans="2:18" x14ac:dyDescent="0.25">
      <c r="B566" s="2" t="s">
        <v>12</v>
      </c>
      <c r="C566" s="196">
        <f>D566/(D564+D565+D566)*100</f>
        <v>24.888888888888889</v>
      </c>
      <c r="D566" s="147">
        <v>5.6</v>
      </c>
      <c r="E566" s="82">
        <v>0.35</v>
      </c>
      <c r="F566" s="82">
        <f t="shared" si="114"/>
        <v>19.599999999999994</v>
      </c>
      <c r="G566" s="82">
        <v>1.8</v>
      </c>
      <c r="H566" s="82">
        <f t="shared" si="112"/>
        <v>100.8</v>
      </c>
      <c r="I566" s="25"/>
      <c r="K566" s="2" t="s">
        <v>161</v>
      </c>
      <c r="L566" s="196">
        <f>M566/(M564+M565+M566)*100</f>
        <v>20</v>
      </c>
      <c r="M566" s="147">
        <v>4.5</v>
      </c>
      <c r="N566" s="82">
        <v>1.18</v>
      </c>
      <c r="O566" s="82">
        <f t="shared" si="115"/>
        <v>53.1</v>
      </c>
      <c r="P566" s="82">
        <v>10.5</v>
      </c>
      <c r="Q566" s="82">
        <f t="shared" si="113"/>
        <v>472.5</v>
      </c>
      <c r="R566" s="25"/>
    </row>
    <row r="567" spans="2:18" x14ac:dyDescent="0.25">
      <c r="B567" s="2" t="s">
        <v>14</v>
      </c>
      <c r="C567" s="35"/>
      <c r="D567" s="140">
        <v>0</v>
      </c>
      <c r="E567" s="5">
        <v>0.71</v>
      </c>
      <c r="F567" s="5">
        <f t="shared" si="114"/>
        <v>0</v>
      </c>
      <c r="G567" s="5">
        <v>0</v>
      </c>
      <c r="H567" s="5">
        <f t="shared" si="112"/>
        <v>0</v>
      </c>
      <c r="I567" s="25"/>
      <c r="K567" s="2" t="s">
        <v>14</v>
      </c>
      <c r="L567" s="35"/>
      <c r="M567" s="140">
        <v>0</v>
      </c>
      <c r="N567" s="5">
        <v>0.71</v>
      </c>
      <c r="O567" s="5">
        <f t="shared" si="115"/>
        <v>0</v>
      </c>
      <c r="P567" s="5">
        <v>0</v>
      </c>
      <c r="Q567" s="5">
        <f t="shared" si="113"/>
        <v>0</v>
      </c>
      <c r="R567" s="25"/>
    </row>
    <row r="568" spans="2:18" x14ac:dyDescent="0.25">
      <c r="B568" s="2" t="s">
        <v>17</v>
      </c>
      <c r="C568" s="35"/>
      <c r="D568" s="147">
        <v>8</v>
      </c>
      <c r="E568" s="82">
        <v>3.42</v>
      </c>
      <c r="F568" s="82">
        <f t="shared" si="114"/>
        <v>273.60000000000002</v>
      </c>
      <c r="G568" s="82">
        <v>29.3</v>
      </c>
      <c r="H568" s="82">
        <f t="shared" si="112"/>
        <v>2344</v>
      </c>
      <c r="I568" s="25"/>
      <c r="K568" s="2" t="s">
        <v>17</v>
      </c>
      <c r="L568" s="35"/>
      <c r="M568" s="147">
        <v>6</v>
      </c>
      <c r="N568" s="82">
        <v>3.46</v>
      </c>
      <c r="O568" s="82">
        <f t="shared" si="115"/>
        <v>207.6</v>
      </c>
      <c r="P568" s="82">
        <v>28.9</v>
      </c>
      <c r="Q568" s="82">
        <f t="shared" si="113"/>
        <v>1734</v>
      </c>
      <c r="R568" s="25"/>
    </row>
    <row r="569" spans="2:18" x14ac:dyDescent="0.25">
      <c r="B569" s="4" t="s">
        <v>21</v>
      </c>
      <c r="C569" s="41"/>
      <c r="D569" s="147">
        <v>1.7</v>
      </c>
      <c r="E569" s="82">
        <v>0</v>
      </c>
      <c r="F569" s="82">
        <f t="shared" si="114"/>
        <v>0</v>
      </c>
      <c r="G569" s="82">
        <v>85.7</v>
      </c>
      <c r="H569" s="82">
        <f t="shared" si="112"/>
        <v>1456.8999999999999</v>
      </c>
      <c r="I569" s="25"/>
      <c r="K569" s="4" t="s">
        <v>21</v>
      </c>
      <c r="L569" s="41"/>
      <c r="M569" s="147">
        <v>1.5</v>
      </c>
      <c r="N569" s="82">
        <v>0</v>
      </c>
      <c r="O569" s="82">
        <f t="shared" si="115"/>
        <v>0</v>
      </c>
      <c r="P569" s="82">
        <v>85.3</v>
      </c>
      <c r="Q569" s="82">
        <f t="shared" si="113"/>
        <v>1279.5</v>
      </c>
      <c r="R569" s="25"/>
    </row>
    <row r="570" spans="2:18" x14ac:dyDescent="0.25">
      <c r="B570" s="4" t="s">
        <v>49</v>
      </c>
      <c r="C570" s="41"/>
      <c r="D570" s="148">
        <v>0</v>
      </c>
      <c r="E570" s="82">
        <v>46</v>
      </c>
      <c r="F570" s="82">
        <f t="shared" si="114"/>
        <v>0</v>
      </c>
      <c r="G570" s="82">
        <v>0</v>
      </c>
      <c r="H570" s="82">
        <f t="shared" si="112"/>
        <v>0</v>
      </c>
      <c r="I570" s="25"/>
      <c r="K570" s="4" t="s">
        <v>49</v>
      </c>
      <c r="L570" s="41"/>
      <c r="M570" s="148">
        <v>0</v>
      </c>
      <c r="N570" s="82">
        <v>46</v>
      </c>
      <c r="O570" s="82">
        <f t="shared" si="115"/>
        <v>0</v>
      </c>
      <c r="P570" s="82">
        <v>0</v>
      </c>
      <c r="Q570" s="82">
        <f t="shared" si="113"/>
        <v>0</v>
      </c>
      <c r="R570" s="25"/>
    </row>
    <row r="571" spans="2:18" x14ac:dyDescent="0.25">
      <c r="B571" s="4" t="s">
        <v>23</v>
      </c>
      <c r="C571" s="41"/>
      <c r="D571" s="141">
        <v>0</v>
      </c>
      <c r="E571" s="13">
        <v>20.5</v>
      </c>
      <c r="F571" s="5">
        <f t="shared" si="114"/>
        <v>0</v>
      </c>
      <c r="G571" s="5">
        <v>0</v>
      </c>
      <c r="H571" s="5">
        <f t="shared" si="112"/>
        <v>0</v>
      </c>
      <c r="I571" s="25"/>
      <c r="K571" s="4" t="s">
        <v>23</v>
      </c>
      <c r="L571" s="41"/>
      <c r="M571" s="141">
        <v>0</v>
      </c>
      <c r="N571" s="13">
        <v>20.5</v>
      </c>
      <c r="O571" s="5">
        <f t="shared" si="115"/>
        <v>0</v>
      </c>
      <c r="P571" s="5">
        <v>0</v>
      </c>
      <c r="Q571" s="5">
        <f t="shared" si="113"/>
        <v>0</v>
      </c>
      <c r="R571" s="25"/>
    </row>
    <row r="572" spans="2:18" x14ac:dyDescent="0.25">
      <c r="B572" s="9" t="s">
        <v>26</v>
      </c>
      <c r="C572" s="42"/>
      <c r="D572" s="143">
        <f>SUM(D564:D571)</f>
        <v>32.200000000000003</v>
      </c>
      <c r="E572" s="9"/>
      <c r="F572" s="11">
        <f>SUM(F564:F571)</f>
        <v>462.2</v>
      </c>
      <c r="G572" s="9"/>
      <c r="H572" s="11">
        <f>SUM(H564:H571)</f>
        <v>6132.5</v>
      </c>
      <c r="I572" s="173" t="s">
        <v>6</v>
      </c>
      <c r="K572" s="9" t="s">
        <v>26</v>
      </c>
      <c r="L572" s="42"/>
      <c r="M572" s="143">
        <f>SUM(M564:M571)</f>
        <v>30</v>
      </c>
      <c r="N572" s="9"/>
      <c r="O572" s="11">
        <f>SUM(O564:O571)</f>
        <v>440.7</v>
      </c>
      <c r="P572" s="9"/>
      <c r="Q572" s="11">
        <f>SUM(Q564:Q571)</f>
        <v>5880</v>
      </c>
      <c r="R572" s="174" t="s">
        <v>6</v>
      </c>
    </row>
    <row r="573" spans="2:18" x14ac:dyDescent="0.25">
      <c r="B573" s="230"/>
      <c r="C573" s="231"/>
      <c r="D573" s="231"/>
      <c r="E573" s="232"/>
      <c r="F573" s="8">
        <f>F572/D572/10</f>
        <v>1.4354037267080744</v>
      </c>
      <c r="G573" s="12"/>
      <c r="H573" s="8">
        <f>H572/D572/10</f>
        <v>19.045031055900619</v>
      </c>
      <c r="I573" s="11">
        <f>((100-H573)*0.5)/F573</f>
        <v>28.199372565988753</v>
      </c>
      <c r="K573" s="230"/>
      <c r="L573" s="231"/>
      <c r="M573" s="231"/>
      <c r="N573" s="232"/>
      <c r="O573" s="8">
        <f>O572/M572/10</f>
        <v>1.4689999999999999</v>
      </c>
      <c r="P573" s="12"/>
      <c r="Q573" s="8">
        <f>Q572/M572/10</f>
        <v>19.600000000000001</v>
      </c>
      <c r="R573" s="11">
        <f>((100-Q573)*0.5)/O573</f>
        <v>27.365554799183123</v>
      </c>
    </row>
    <row r="575" spans="2:18" x14ac:dyDescent="0.25">
      <c r="B575"/>
      <c r="C575"/>
      <c r="D575"/>
      <c r="K575"/>
    </row>
    <row r="576" spans="2:18" x14ac:dyDescent="0.25">
      <c r="B576" s="224" t="s">
        <v>164</v>
      </c>
      <c r="C576" s="225"/>
      <c r="D576" s="225"/>
      <c r="E576" s="225"/>
      <c r="F576" s="225"/>
      <c r="G576" s="225"/>
      <c r="H576" s="225"/>
      <c r="I576" s="226"/>
      <c r="K576" s="224" t="s">
        <v>166</v>
      </c>
      <c r="L576" s="225"/>
      <c r="M576" s="225"/>
      <c r="N576" s="225"/>
      <c r="O576" s="225"/>
      <c r="P576" s="225"/>
      <c r="Q576" s="225"/>
      <c r="R576" s="226"/>
    </row>
    <row r="577" spans="2:18" x14ac:dyDescent="0.25">
      <c r="B577" s="217" t="s">
        <v>0</v>
      </c>
      <c r="C577" s="227" t="s">
        <v>1</v>
      </c>
      <c r="D577" s="217" t="s">
        <v>47</v>
      </c>
      <c r="E577" s="221" t="s">
        <v>46</v>
      </c>
      <c r="F577" s="222"/>
      <c r="G577" s="222"/>
      <c r="H577" s="223"/>
      <c r="I577" s="229" t="s">
        <v>102</v>
      </c>
      <c r="K577" s="217" t="s">
        <v>0</v>
      </c>
      <c r="L577" s="227" t="s">
        <v>1</v>
      </c>
      <c r="M577" s="217" t="s">
        <v>47</v>
      </c>
      <c r="N577" s="221" t="s">
        <v>46</v>
      </c>
      <c r="O577" s="222"/>
      <c r="P577" s="222"/>
      <c r="Q577" s="223"/>
      <c r="R577" s="229" t="s">
        <v>102</v>
      </c>
    </row>
    <row r="578" spans="2:18" x14ac:dyDescent="0.25">
      <c r="B578" s="218"/>
      <c r="C578" s="228"/>
      <c r="D578" s="218"/>
      <c r="E578" s="2" t="s">
        <v>42</v>
      </c>
      <c r="F578" s="2" t="s">
        <v>43</v>
      </c>
      <c r="G578" s="2" t="s">
        <v>44</v>
      </c>
      <c r="H578" s="2" t="s">
        <v>45</v>
      </c>
      <c r="I578" s="229"/>
      <c r="K578" s="218"/>
      <c r="L578" s="228"/>
      <c r="M578" s="218"/>
      <c r="N578" s="2" t="s">
        <v>42</v>
      </c>
      <c r="O578" s="2" t="s">
        <v>43</v>
      </c>
      <c r="P578" s="2" t="s">
        <v>44</v>
      </c>
      <c r="Q578" s="2" t="s">
        <v>45</v>
      </c>
      <c r="R578" s="229"/>
    </row>
    <row r="579" spans="2:18" x14ac:dyDescent="0.25">
      <c r="B579" s="2" t="s">
        <v>165</v>
      </c>
      <c r="C579" s="196">
        <f>D579/(D579+D580+D581)*100</f>
        <v>80</v>
      </c>
      <c r="D579" s="145">
        <v>18.8</v>
      </c>
      <c r="E579" s="5">
        <v>1.1399999999999999</v>
      </c>
      <c r="F579" s="5">
        <f>(D579*E579%)*1000</f>
        <v>214.32</v>
      </c>
      <c r="G579" s="5">
        <v>13.7</v>
      </c>
      <c r="H579" s="146">
        <f t="shared" ref="H579:H586" si="116">(D579*G579%)*1000</f>
        <v>2575.5999999999995</v>
      </c>
      <c r="I579" s="51">
        <f>D579+D580+D581+D582</f>
        <v>23.5</v>
      </c>
      <c r="K579" s="2" t="s">
        <v>8</v>
      </c>
      <c r="L579" s="196">
        <f>M579/(M579+M580+M581)*100</f>
        <v>85.972850678733025</v>
      </c>
      <c r="M579" s="145">
        <v>19</v>
      </c>
      <c r="N579" s="5">
        <v>1.1200000000000001</v>
      </c>
      <c r="O579" s="5">
        <f>(M579*N579%)*1000</f>
        <v>212.80000000000004</v>
      </c>
      <c r="P579" s="5">
        <v>13.3</v>
      </c>
      <c r="Q579" s="146">
        <f t="shared" ref="Q579:Q586" si="117">(M579*P579%)*1000</f>
        <v>2527</v>
      </c>
      <c r="R579" s="51">
        <f>M579+M580+M581+M582</f>
        <v>22.1</v>
      </c>
    </row>
    <row r="580" spans="2:18" x14ac:dyDescent="0.25">
      <c r="B580" s="4" t="s">
        <v>110</v>
      </c>
      <c r="C580" s="196">
        <f>D580/(D579+D580+D581)*100</f>
        <v>0</v>
      </c>
      <c r="D580" s="147">
        <v>0</v>
      </c>
      <c r="E580" s="82">
        <v>0.7</v>
      </c>
      <c r="F580" s="82">
        <f t="shared" ref="F580:F586" si="118">(D580*E580%)*1000</f>
        <v>0</v>
      </c>
      <c r="G580" s="82">
        <v>0</v>
      </c>
      <c r="H580" s="82">
        <f t="shared" si="116"/>
        <v>0</v>
      </c>
      <c r="I580" s="25"/>
      <c r="K580" s="4" t="s">
        <v>110</v>
      </c>
      <c r="L580" s="196">
        <f>M580/(M579+M580+M581)*100</f>
        <v>0</v>
      </c>
      <c r="M580" s="147">
        <v>0</v>
      </c>
      <c r="N580" s="82">
        <v>0.7</v>
      </c>
      <c r="O580" s="82">
        <f t="shared" ref="O580:O586" si="119">(M580*N580%)*1000</f>
        <v>0</v>
      </c>
      <c r="P580" s="82">
        <v>0</v>
      </c>
      <c r="Q580" s="82">
        <f t="shared" si="117"/>
        <v>0</v>
      </c>
      <c r="R580" s="25"/>
    </row>
    <row r="581" spans="2:18" x14ac:dyDescent="0.25">
      <c r="B581" s="2" t="s">
        <v>161</v>
      </c>
      <c r="C581" s="196">
        <f>D581/(D579+D580+D581)*100</f>
        <v>20</v>
      </c>
      <c r="D581" s="147">
        <v>4.7</v>
      </c>
      <c r="E581" s="82">
        <v>1.18</v>
      </c>
      <c r="F581" s="82">
        <f t="shared" si="118"/>
        <v>55.46</v>
      </c>
      <c r="G581" s="82">
        <v>10.5</v>
      </c>
      <c r="H581" s="82">
        <f t="shared" si="116"/>
        <v>493.5</v>
      </c>
      <c r="I581" s="25"/>
      <c r="K581" s="2" t="s">
        <v>162</v>
      </c>
      <c r="L581" s="196">
        <f>M581/(M579+M580+M581)*100</f>
        <v>14.027149321266968</v>
      </c>
      <c r="M581" s="147">
        <v>3.1</v>
      </c>
      <c r="N581" s="82">
        <v>0.32</v>
      </c>
      <c r="O581" s="82">
        <f t="shared" si="119"/>
        <v>9.92</v>
      </c>
      <c r="P581" s="82">
        <v>1.4</v>
      </c>
      <c r="Q581" s="82">
        <f t="shared" si="117"/>
        <v>43.399999999999991</v>
      </c>
      <c r="R581" s="25"/>
    </row>
    <row r="582" spans="2:18" x14ac:dyDescent="0.25">
      <c r="B582" s="2" t="s">
        <v>14</v>
      </c>
      <c r="C582" s="35"/>
      <c r="D582" s="140">
        <v>0</v>
      </c>
      <c r="E582" s="5">
        <v>0.71</v>
      </c>
      <c r="F582" s="5">
        <f t="shared" si="118"/>
        <v>0</v>
      </c>
      <c r="G582" s="5">
        <v>0</v>
      </c>
      <c r="H582" s="5">
        <f t="shared" si="116"/>
        <v>0</v>
      </c>
      <c r="I582" s="25"/>
      <c r="K582" s="2" t="s">
        <v>14</v>
      </c>
      <c r="L582" s="35"/>
      <c r="M582" s="140">
        <v>0</v>
      </c>
      <c r="N582" s="5">
        <v>0.71</v>
      </c>
      <c r="O582" s="5">
        <f t="shared" si="119"/>
        <v>0</v>
      </c>
      <c r="P582" s="5">
        <v>0</v>
      </c>
      <c r="Q582" s="5">
        <f t="shared" si="117"/>
        <v>0</v>
      </c>
      <c r="R582" s="25"/>
    </row>
    <row r="583" spans="2:18" x14ac:dyDescent="0.25">
      <c r="B583" s="2" t="s">
        <v>17</v>
      </c>
      <c r="C583" s="35"/>
      <c r="D583" s="147">
        <v>6</v>
      </c>
      <c r="E583" s="82">
        <v>3.36</v>
      </c>
      <c r="F583" s="82">
        <f t="shared" si="118"/>
        <v>201.6</v>
      </c>
      <c r="G583" s="82">
        <v>28.8</v>
      </c>
      <c r="H583" s="82">
        <f t="shared" si="116"/>
        <v>1728.0000000000002</v>
      </c>
      <c r="I583" s="25"/>
      <c r="K583" s="2" t="s">
        <v>17</v>
      </c>
      <c r="L583" s="35"/>
      <c r="M583" s="147">
        <v>6.5</v>
      </c>
      <c r="N583" s="82">
        <v>3.42</v>
      </c>
      <c r="O583" s="82">
        <f t="shared" si="119"/>
        <v>222.3</v>
      </c>
      <c r="P583" s="82">
        <v>29.8</v>
      </c>
      <c r="Q583" s="82">
        <f t="shared" si="117"/>
        <v>1936.9999999999998</v>
      </c>
      <c r="R583" s="25"/>
    </row>
    <row r="584" spans="2:18" x14ac:dyDescent="0.25">
      <c r="B584" s="4" t="s">
        <v>21</v>
      </c>
      <c r="C584" s="41"/>
      <c r="D584" s="147">
        <v>1.5</v>
      </c>
      <c r="E584" s="82">
        <v>0</v>
      </c>
      <c r="F584" s="82">
        <f t="shared" si="118"/>
        <v>0</v>
      </c>
      <c r="G584" s="82">
        <v>85.4</v>
      </c>
      <c r="H584" s="82">
        <f t="shared" si="116"/>
        <v>1281.0000000000002</v>
      </c>
      <c r="I584" s="25"/>
      <c r="K584" s="4" t="s">
        <v>21</v>
      </c>
      <c r="L584" s="41"/>
      <c r="M584" s="147">
        <v>1.5</v>
      </c>
      <c r="N584" s="82">
        <v>0</v>
      </c>
      <c r="O584" s="82">
        <f t="shared" si="119"/>
        <v>0</v>
      </c>
      <c r="P584" s="82">
        <v>85.3</v>
      </c>
      <c r="Q584" s="82">
        <f t="shared" si="117"/>
        <v>1279.5</v>
      </c>
      <c r="R584" s="25"/>
    </row>
    <row r="585" spans="2:18" x14ac:dyDescent="0.25">
      <c r="B585" s="4" t="s">
        <v>49</v>
      </c>
      <c r="C585" s="41"/>
      <c r="D585" s="148">
        <v>0</v>
      </c>
      <c r="E585" s="82">
        <v>46</v>
      </c>
      <c r="F585" s="82">
        <f t="shared" si="118"/>
        <v>0</v>
      </c>
      <c r="G585" s="82">
        <v>0</v>
      </c>
      <c r="H585" s="82">
        <f t="shared" si="116"/>
        <v>0</v>
      </c>
      <c r="I585" s="25"/>
      <c r="K585" s="4" t="s">
        <v>49</v>
      </c>
      <c r="L585" s="41"/>
      <c r="M585" s="148">
        <v>0</v>
      </c>
      <c r="N585" s="82">
        <v>46</v>
      </c>
      <c r="O585" s="82">
        <f t="shared" si="119"/>
        <v>0</v>
      </c>
      <c r="P585" s="82">
        <v>0</v>
      </c>
      <c r="Q585" s="82">
        <f t="shared" si="117"/>
        <v>0</v>
      </c>
      <c r="R585" s="25"/>
    </row>
    <row r="586" spans="2:18" x14ac:dyDescent="0.25">
      <c r="B586" s="4" t="s">
        <v>23</v>
      </c>
      <c r="C586" s="41"/>
      <c r="D586" s="141">
        <v>0</v>
      </c>
      <c r="E586" s="13">
        <v>20.5</v>
      </c>
      <c r="F586" s="5">
        <f t="shared" si="118"/>
        <v>0</v>
      </c>
      <c r="G586" s="5">
        <v>0</v>
      </c>
      <c r="H586" s="5">
        <f t="shared" si="116"/>
        <v>0</v>
      </c>
      <c r="I586" s="25"/>
      <c r="K586" s="4" t="s">
        <v>23</v>
      </c>
      <c r="L586" s="41"/>
      <c r="M586" s="141">
        <v>0</v>
      </c>
      <c r="N586" s="13">
        <v>20.5</v>
      </c>
      <c r="O586" s="5">
        <f t="shared" si="119"/>
        <v>0</v>
      </c>
      <c r="P586" s="5">
        <v>0</v>
      </c>
      <c r="Q586" s="5">
        <f t="shared" si="117"/>
        <v>0</v>
      </c>
      <c r="R586" s="25"/>
    </row>
    <row r="587" spans="2:18" x14ac:dyDescent="0.25">
      <c r="B587" s="9" t="s">
        <v>26</v>
      </c>
      <c r="C587" s="42"/>
      <c r="D587" s="143">
        <f>SUM(D579:D586)</f>
        <v>31</v>
      </c>
      <c r="E587" s="9"/>
      <c r="F587" s="11">
        <f>SUM(F579:F586)</f>
        <v>471.38</v>
      </c>
      <c r="G587" s="9"/>
      <c r="H587" s="11">
        <f>SUM(H579:H586)</f>
        <v>6078.0999999999995</v>
      </c>
      <c r="I587" s="175" t="s">
        <v>6</v>
      </c>
      <c r="K587" s="9" t="s">
        <v>26</v>
      </c>
      <c r="L587" s="42"/>
      <c r="M587" s="143">
        <f>SUM(M579:M586)</f>
        <v>30.1</v>
      </c>
      <c r="N587" s="9"/>
      <c r="O587" s="11">
        <f>SUM(O579:O586)</f>
        <v>445.02000000000004</v>
      </c>
      <c r="P587" s="9"/>
      <c r="Q587" s="11">
        <f>SUM(Q579:Q586)</f>
        <v>5786.9</v>
      </c>
      <c r="R587" s="176" t="s">
        <v>6</v>
      </c>
    </row>
    <row r="588" spans="2:18" x14ac:dyDescent="0.25">
      <c r="B588" s="230"/>
      <c r="C588" s="231"/>
      <c r="D588" s="231"/>
      <c r="E588" s="232"/>
      <c r="F588" s="8">
        <f>F587/D587/10</f>
        <v>1.5205806451612902</v>
      </c>
      <c r="G588" s="12"/>
      <c r="H588" s="8">
        <f>H587/D587/10</f>
        <v>19.606774193548386</v>
      </c>
      <c r="I588" s="11">
        <f>((100-H588)*0.5)/F588</f>
        <v>26.435041792184652</v>
      </c>
      <c r="K588" s="230"/>
      <c r="L588" s="231"/>
      <c r="M588" s="231"/>
      <c r="N588" s="232"/>
      <c r="O588" s="8">
        <f>O587/M587/10</f>
        <v>1.4784717607973423</v>
      </c>
      <c r="P588" s="12"/>
      <c r="Q588" s="8">
        <f>Q587/M587/10</f>
        <v>19.225581395348833</v>
      </c>
      <c r="R588" s="11">
        <f>((100-Q588)*0.5)/O588</f>
        <v>27.316862163498271</v>
      </c>
    </row>
    <row r="589" spans="2:18" x14ac:dyDescent="0.25">
      <c r="B589"/>
      <c r="C589"/>
      <c r="D589"/>
      <c r="K589"/>
    </row>
    <row r="590" spans="2:18" x14ac:dyDescent="0.25">
      <c r="B590"/>
      <c r="C590"/>
      <c r="D590"/>
      <c r="L590" s="61"/>
    </row>
    <row r="591" spans="2:18" x14ac:dyDescent="0.25">
      <c r="B591" s="224" t="s">
        <v>167</v>
      </c>
      <c r="C591" s="225"/>
      <c r="D591" s="225"/>
      <c r="E591" s="225"/>
      <c r="F591" s="225"/>
      <c r="G591" s="225"/>
      <c r="H591" s="225"/>
      <c r="I591" s="226"/>
      <c r="K591" s="224" t="s">
        <v>168</v>
      </c>
      <c r="L591" s="225"/>
      <c r="M591" s="225"/>
      <c r="N591" s="225"/>
      <c r="O591" s="225"/>
      <c r="P591" s="225"/>
      <c r="Q591" s="225"/>
      <c r="R591" s="226"/>
    </row>
    <row r="592" spans="2:18" x14ac:dyDescent="0.25">
      <c r="B592" s="217" t="s">
        <v>0</v>
      </c>
      <c r="C592" s="227" t="s">
        <v>1</v>
      </c>
      <c r="D592" s="217" t="s">
        <v>47</v>
      </c>
      <c r="E592" s="221" t="s">
        <v>46</v>
      </c>
      <c r="F592" s="222"/>
      <c r="G592" s="222"/>
      <c r="H592" s="223"/>
      <c r="I592" s="229" t="s">
        <v>102</v>
      </c>
      <c r="K592" s="217" t="s">
        <v>0</v>
      </c>
      <c r="L592" s="227" t="s">
        <v>1</v>
      </c>
      <c r="M592" s="217" t="s">
        <v>47</v>
      </c>
      <c r="N592" s="221" t="s">
        <v>46</v>
      </c>
      <c r="O592" s="222"/>
      <c r="P592" s="222"/>
      <c r="Q592" s="223"/>
      <c r="R592" s="229" t="s">
        <v>102</v>
      </c>
    </row>
    <row r="593" spans="2:18" x14ac:dyDescent="0.25">
      <c r="B593" s="218"/>
      <c r="C593" s="228"/>
      <c r="D593" s="218"/>
      <c r="E593" s="2" t="s">
        <v>42</v>
      </c>
      <c r="F593" s="2" t="s">
        <v>43</v>
      </c>
      <c r="G593" s="2" t="s">
        <v>44</v>
      </c>
      <c r="H593" s="2" t="s">
        <v>45</v>
      </c>
      <c r="I593" s="229"/>
      <c r="K593" s="218"/>
      <c r="L593" s="228"/>
      <c r="M593" s="218"/>
      <c r="N593" s="2" t="s">
        <v>42</v>
      </c>
      <c r="O593" s="2" t="s">
        <v>43</v>
      </c>
      <c r="P593" s="2" t="s">
        <v>44</v>
      </c>
      <c r="Q593" s="2" t="s">
        <v>45</v>
      </c>
      <c r="R593" s="229"/>
    </row>
    <row r="594" spans="2:18" x14ac:dyDescent="0.25">
      <c r="B594" s="2" t="s">
        <v>8</v>
      </c>
      <c r="C594" s="196">
        <f>D594/(D594+D595+D596)*100</f>
        <v>71.038251366120221</v>
      </c>
      <c r="D594" s="145">
        <v>13</v>
      </c>
      <c r="E594" s="5">
        <v>1.1200000000000001</v>
      </c>
      <c r="F594" s="5">
        <f>(D594*E594%)*1000</f>
        <v>145.6</v>
      </c>
      <c r="G594" s="5">
        <v>13.5</v>
      </c>
      <c r="H594" s="146">
        <f t="shared" ref="H594:H601" si="120">(D594*G594%)*1000</f>
        <v>1755.0000000000002</v>
      </c>
      <c r="I594" s="51">
        <f>D594+D595+D596+D597</f>
        <v>18.3</v>
      </c>
      <c r="K594" s="2" t="s">
        <v>8</v>
      </c>
      <c r="L594" s="196">
        <f>M594/(M594+M595+M596)*100</f>
        <v>71.038251366120221</v>
      </c>
      <c r="M594" s="145">
        <v>13</v>
      </c>
      <c r="N594" s="5">
        <v>1.1200000000000001</v>
      </c>
      <c r="O594" s="5">
        <f>(M594*N594%)*1000</f>
        <v>145.6</v>
      </c>
      <c r="P594" s="5">
        <v>12.6</v>
      </c>
      <c r="Q594" s="146">
        <f t="shared" ref="Q594:Q601" si="121">(M594*P594%)*1000</f>
        <v>1638</v>
      </c>
      <c r="R594" s="51">
        <f>M594+M595+M596+M597</f>
        <v>18.3</v>
      </c>
    </row>
    <row r="595" spans="2:18" x14ac:dyDescent="0.25">
      <c r="B595" s="4" t="s">
        <v>110</v>
      </c>
      <c r="C595" s="196">
        <f>D595/(D594+D595+D596)*100</f>
        <v>0</v>
      </c>
      <c r="D595" s="147">
        <v>0</v>
      </c>
      <c r="E595" s="82">
        <v>0.7</v>
      </c>
      <c r="F595" s="82">
        <f t="shared" ref="F595:F601" si="122">(D595*E595%)*1000</f>
        <v>0</v>
      </c>
      <c r="G595" s="82">
        <v>0</v>
      </c>
      <c r="H595" s="82">
        <f t="shared" si="120"/>
        <v>0</v>
      </c>
      <c r="I595" s="25"/>
      <c r="K595" s="4" t="s">
        <v>110</v>
      </c>
      <c r="L595" s="196">
        <f>M595/(M594+M595+M596)*100</f>
        <v>0</v>
      </c>
      <c r="M595" s="147">
        <v>0</v>
      </c>
      <c r="N595" s="82">
        <v>0.7</v>
      </c>
      <c r="O595" s="82">
        <f t="shared" ref="O595:O601" si="123">(M595*N595%)*1000</f>
        <v>0</v>
      </c>
      <c r="P595" s="82">
        <v>0</v>
      </c>
      <c r="Q595" s="82">
        <f t="shared" si="121"/>
        <v>0</v>
      </c>
      <c r="R595" s="25"/>
    </row>
    <row r="596" spans="2:18" x14ac:dyDescent="0.25">
      <c r="B596" s="2" t="s">
        <v>162</v>
      </c>
      <c r="C596" s="196">
        <f>D596/(D594+D595+D596)*100</f>
        <v>28.961748633879779</v>
      </c>
      <c r="D596" s="147">
        <v>5.3</v>
      </c>
      <c r="E596" s="82">
        <v>0.36</v>
      </c>
      <c r="F596" s="82">
        <f t="shared" si="122"/>
        <v>19.079999999999998</v>
      </c>
      <c r="G596" s="82">
        <v>1.5</v>
      </c>
      <c r="H596" s="82">
        <f t="shared" si="120"/>
        <v>79.5</v>
      </c>
      <c r="I596" s="25"/>
      <c r="K596" s="2" t="s">
        <v>162</v>
      </c>
      <c r="L596" s="196">
        <f>M596/(M594+M595+M596)*100</f>
        <v>28.961748633879779</v>
      </c>
      <c r="M596" s="147">
        <v>5.3</v>
      </c>
      <c r="N596" s="82">
        <v>0.36</v>
      </c>
      <c r="O596" s="82">
        <f t="shared" si="123"/>
        <v>19.079999999999998</v>
      </c>
      <c r="P596" s="82">
        <v>1.4</v>
      </c>
      <c r="Q596" s="82">
        <f t="shared" si="121"/>
        <v>74.199999999999989</v>
      </c>
      <c r="R596" s="25"/>
    </row>
    <row r="597" spans="2:18" x14ac:dyDescent="0.25">
      <c r="B597" s="2" t="s">
        <v>14</v>
      </c>
      <c r="C597" s="35"/>
      <c r="D597" s="140">
        <v>0</v>
      </c>
      <c r="E597" s="5">
        <v>0.71</v>
      </c>
      <c r="F597" s="5">
        <f t="shared" si="122"/>
        <v>0</v>
      </c>
      <c r="G597" s="5">
        <v>0</v>
      </c>
      <c r="H597" s="5">
        <f t="shared" si="120"/>
        <v>0</v>
      </c>
      <c r="I597" s="25"/>
      <c r="K597" s="2" t="s">
        <v>14</v>
      </c>
      <c r="L597" s="35"/>
      <c r="M597" s="140">
        <v>0</v>
      </c>
      <c r="N597" s="5">
        <v>0.71</v>
      </c>
      <c r="O597" s="5">
        <f t="shared" si="123"/>
        <v>0</v>
      </c>
      <c r="P597" s="5">
        <v>0</v>
      </c>
      <c r="Q597" s="5">
        <f t="shared" si="121"/>
        <v>0</v>
      </c>
      <c r="R597" s="25"/>
    </row>
    <row r="598" spans="2:18" x14ac:dyDescent="0.25">
      <c r="B598" s="2" t="s">
        <v>17</v>
      </c>
      <c r="C598" s="35"/>
      <c r="D598" s="147">
        <v>6</v>
      </c>
      <c r="E598" s="82">
        <v>3.54</v>
      </c>
      <c r="F598" s="82">
        <f t="shared" si="122"/>
        <v>212.4</v>
      </c>
      <c r="G598" s="82">
        <v>28.8</v>
      </c>
      <c r="H598" s="82">
        <f t="shared" si="120"/>
        <v>1728.0000000000002</v>
      </c>
      <c r="I598" s="25"/>
      <c r="K598" s="2" t="s">
        <v>17</v>
      </c>
      <c r="L598" s="35"/>
      <c r="M598" s="147">
        <v>6</v>
      </c>
      <c r="N598" s="82">
        <v>3.5</v>
      </c>
      <c r="O598" s="82">
        <f t="shared" si="123"/>
        <v>210.00000000000003</v>
      </c>
      <c r="P598" s="82">
        <v>29.6</v>
      </c>
      <c r="Q598" s="82">
        <f t="shared" si="121"/>
        <v>1776.0000000000002</v>
      </c>
      <c r="R598" s="25"/>
    </row>
    <row r="599" spans="2:18" x14ac:dyDescent="0.25">
      <c r="B599" s="4" t="s">
        <v>21</v>
      </c>
      <c r="C599" s="41"/>
      <c r="D599" s="147">
        <v>1.4</v>
      </c>
      <c r="E599" s="82">
        <v>0</v>
      </c>
      <c r="F599" s="82">
        <f t="shared" si="122"/>
        <v>0</v>
      </c>
      <c r="G599" s="82">
        <v>85.5</v>
      </c>
      <c r="H599" s="82">
        <f t="shared" si="120"/>
        <v>1196.9999999999998</v>
      </c>
      <c r="I599" s="25"/>
      <c r="K599" s="4" t="s">
        <v>21</v>
      </c>
      <c r="L599" s="41"/>
      <c r="M599" s="147">
        <v>1.4</v>
      </c>
      <c r="N599" s="82">
        <v>0</v>
      </c>
      <c r="O599" s="82">
        <f t="shared" si="123"/>
        <v>0</v>
      </c>
      <c r="P599" s="82">
        <v>85.5</v>
      </c>
      <c r="Q599" s="82">
        <f t="shared" si="121"/>
        <v>1196.9999999999998</v>
      </c>
      <c r="R599" s="25"/>
    </row>
    <row r="600" spans="2:18" x14ac:dyDescent="0.25">
      <c r="B600" s="4" t="s">
        <v>49</v>
      </c>
      <c r="C600" s="41"/>
      <c r="D600" s="148">
        <v>0</v>
      </c>
      <c r="E600" s="82">
        <v>46</v>
      </c>
      <c r="F600" s="82">
        <f t="shared" si="122"/>
        <v>0</v>
      </c>
      <c r="G600" s="82">
        <v>0</v>
      </c>
      <c r="H600" s="82">
        <f t="shared" si="120"/>
        <v>0</v>
      </c>
      <c r="I600" s="25"/>
      <c r="K600" s="4" t="s">
        <v>49</v>
      </c>
      <c r="L600" s="41"/>
      <c r="M600" s="148">
        <v>0</v>
      </c>
      <c r="N600" s="82">
        <v>0</v>
      </c>
      <c r="O600" s="82">
        <f t="shared" si="123"/>
        <v>0</v>
      </c>
      <c r="P600" s="82">
        <v>0</v>
      </c>
      <c r="Q600" s="82">
        <f t="shared" si="121"/>
        <v>0</v>
      </c>
      <c r="R600" s="25"/>
    </row>
    <row r="601" spans="2:18" x14ac:dyDescent="0.25">
      <c r="B601" s="4" t="s">
        <v>23</v>
      </c>
      <c r="C601" s="41"/>
      <c r="D601" s="141">
        <v>0.03</v>
      </c>
      <c r="E601" s="13">
        <v>20.5</v>
      </c>
      <c r="F601" s="5">
        <f t="shared" si="122"/>
        <v>6.1499999999999995</v>
      </c>
      <c r="G601" s="5">
        <v>0</v>
      </c>
      <c r="H601" s="5">
        <f t="shared" si="120"/>
        <v>0</v>
      </c>
      <c r="I601" s="25"/>
      <c r="K601" s="4" t="s">
        <v>23</v>
      </c>
      <c r="L601" s="41"/>
      <c r="M601" s="141">
        <v>0.03</v>
      </c>
      <c r="N601" s="13">
        <v>20.5</v>
      </c>
      <c r="O601" s="5">
        <f t="shared" si="123"/>
        <v>6.1499999999999995</v>
      </c>
      <c r="P601" s="5">
        <v>0</v>
      </c>
      <c r="Q601" s="5">
        <f t="shared" si="121"/>
        <v>0</v>
      </c>
      <c r="R601" s="25"/>
    </row>
    <row r="602" spans="2:18" x14ac:dyDescent="0.25">
      <c r="B602" s="9" t="s">
        <v>26</v>
      </c>
      <c r="C602" s="42"/>
      <c r="D602" s="143">
        <f>SUM(D594:D601)</f>
        <v>25.73</v>
      </c>
      <c r="E602" s="9"/>
      <c r="F602" s="11">
        <f>SUM(F594:F601)</f>
        <v>383.23</v>
      </c>
      <c r="G602" s="9"/>
      <c r="H602" s="11">
        <f>SUM(H594:H601)</f>
        <v>4759.5</v>
      </c>
      <c r="I602" s="177" t="s">
        <v>6</v>
      </c>
      <c r="K602" s="9" t="s">
        <v>26</v>
      </c>
      <c r="L602" s="42"/>
      <c r="M602" s="143">
        <f>SUM(M594:M601)</f>
        <v>25.73</v>
      </c>
      <c r="N602" s="9"/>
      <c r="O602" s="11">
        <f>SUM(O594:O601)</f>
        <v>380.83000000000004</v>
      </c>
      <c r="P602" s="9"/>
      <c r="Q602" s="11">
        <f>SUM(Q594:Q601)</f>
        <v>4685.2</v>
      </c>
      <c r="R602" s="178" t="s">
        <v>6</v>
      </c>
    </row>
    <row r="603" spans="2:18" x14ac:dyDescent="0.25">
      <c r="B603" s="230"/>
      <c r="C603" s="231"/>
      <c r="D603" s="231"/>
      <c r="E603" s="232"/>
      <c r="F603" s="8">
        <f>F602/D602/10</f>
        <v>1.4894286824718228</v>
      </c>
      <c r="G603" s="12"/>
      <c r="H603" s="8">
        <f>H602/D602/10</f>
        <v>18.497862417411582</v>
      </c>
      <c r="I603" s="11">
        <f>((100-H603)*0.5)/F603</f>
        <v>27.360201445607075</v>
      </c>
      <c r="K603" s="230" t="s">
        <v>171</v>
      </c>
      <c r="L603" s="231"/>
      <c r="M603" s="231"/>
      <c r="N603" s="232"/>
      <c r="O603" s="8">
        <f>O602/M602/10</f>
        <v>1.4801010493587254</v>
      </c>
      <c r="P603" s="12"/>
      <c r="Q603" s="8">
        <f>Q602/M602/10</f>
        <v>18.20909444228527</v>
      </c>
      <c r="R603" s="11">
        <f>((100-Q603)*0.5)/O603</f>
        <v>27.630176194102351</v>
      </c>
    </row>
    <row r="606" spans="2:18" x14ac:dyDescent="0.25">
      <c r="B606" s="224" t="s">
        <v>177</v>
      </c>
      <c r="C606" s="225"/>
      <c r="D606" s="225"/>
      <c r="E606" s="225"/>
      <c r="F606" s="225"/>
      <c r="G606" s="225"/>
      <c r="H606" s="225"/>
      <c r="I606" s="226"/>
      <c r="K606" s="224" t="s">
        <v>173</v>
      </c>
      <c r="L606" s="225"/>
      <c r="M606" s="225"/>
      <c r="N606" s="225"/>
      <c r="O606" s="225"/>
      <c r="P606" s="225"/>
      <c r="Q606" s="225"/>
      <c r="R606" s="226"/>
    </row>
    <row r="607" spans="2:18" x14ac:dyDescent="0.25">
      <c r="B607" s="217" t="s">
        <v>0</v>
      </c>
      <c r="C607" s="227" t="s">
        <v>1</v>
      </c>
      <c r="D607" s="217" t="s">
        <v>47</v>
      </c>
      <c r="E607" s="221" t="s">
        <v>46</v>
      </c>
      <c r="F607" s="222"/>
      <c r="G607" s="222"/>
      <c r="H607" s="223"/>
      <c r="I607" s="229" t="s">
        <v>102</v>
      </c>
      <c r="K607" s="217" t="s">
        <v>0</v>
      </c>
      <c r="L607" s="227" t="s">
        <v>1</v>
      </c>
      <c r="M607" s="217" t="s">
        <v>47</v>
      </c>
      <c r="N607" s="221" t="s">
        <v>46</v>
      </c>
      <c r="O607" s="222"/>
      <c r="P607" s="222"/>
      <c r="Q607" s="223"/>
      <c r="R607" s="229" t="s">
        <v>102</v>
      </c>
    </row>
    <row r="608" spans="2:18" x14ac:dyDescent="0.25">
      <c r="B608" s="218"/>
      <c r="C608" s="228"/>
      <c r="D608" s="218"/>
      <c r="E608" s="2" t="s">
        <v>42</v>
      </c>
      <c r="F608" s="2" t="s">
        <v>43</v>
      </c>
      <c r="G608" s="2" t="s">
        <v>44</v>
      </c>
      <c r="H608" s="2" t="s">
        <v>45</v>
      </c>
      <c r="I608" s="229"/>
      <c r="K608" s="218"/>
      <c r="L608" s="228"/>
      <c r="M608" s="218"/>
      <c r="N608" s="2" t="s">
        <v>42</v>
      </c>
      <c r="O608" s="2" t="s">
        <v>43</v>
      </c>
      <c r="P608" s="2" t="s">
        <v>44</v>
      </c>
      <c r="Q608" s="2" t="s">
        <v>45</v>
      </c>
      <c r="R608" s="229"/>
    </row>
    <row r="609" spans="2:18" x14ac:dyDescent="0.25">
      <c r="B609" s="2" t="s">
        <v>122</v>
      </c>
      <c r="C609" s="196">
        <f>D609/(D609+D610+D611)*100</f>
        <v>71.038251366120221</v>
      </c>
      <c r="D609" s="145">
        <v>13</v>
      </c>
      <c r="E609" s="5">
        <v>1</v>
      </c>
      <c r="F609" s="5">
        <f>(D609*E609%)*1000</f>
        <v>130</v>
      </c>
      <c r="G609" s="5">
        <v>13.3</v>
      </c>
      <c r="H609" s="146">
        <f t="shared" ref="H609:H616" si="124">(D609*G609%)*1000</f>
        <v>1729</v>
      </c>
      <c r="I609" s="51">
        <f>D609+D610+D611+D612</f>
        <v>18.3</v>
      </c>
      <c r="K609" s="2" t="s">
        <v>8</v>
      </c>
      <c r="L609" s="196">
        <f>M609/(M609+M610+M611)*100</f>
        <v>37.558685446009385</v>
      </c>
      <c r="M609" s="145">
        <v>8</v>
      </c>
      <c r="N609" s="5">
        <v>1.1200000000000001</v>
      </c>
      <c r="O609" s="5">
        <f>(M609*N609%)*1000</f>
        <v>89.600000000000009</v>
      </c>
      <c r="P609" s="5">
        <v>13.6</v>
      </c>
      <c r="Q609" s="146">
        <f t="shared" ref="Q609:Q616" si="125">(M609*P609%)*1000</f>
        <v>1088</v>
      </c>
      <c r="R609" s="51">
        <f>M609+M610+M611+M612</f>
        <v>21.3</v>
      </c>
    </row>
    <row r="610" spans="2:18" x14ac:dyDescent="0.25">
      <c r="B610" s="4" t="s">
        <v>110</v>
      </c>
      <c r="C610" s="196">
        <f>D610/(D609+D610+D611)*100</f>
        <v>0</v>
      </c>
      <c r="D610" s="147">
        <v>0</v>
      </c>
      <c r="E610" s="82">
        <v>0.7</v>
      </c>
      <c r="F610" s="82">
        <f t="shared" ref="F610:F616" si="126">(D610*E610%)*1000</f>
        <v>0</v>
      </c>
      <c r="G610" s="82">
        <v>0</v>
      </c>
      <c r="H610" s="82">
        <f t="shared" si="124"/>
        <v>0</v>
      </c>
      <c r="I610" s="25"/>
      <c r="K610" s="2" t="s">
        <v>122</v>
      </c>
      <c r="L610" s="196">
        <f>M610/(M609+M610+M611)*100</f>
        <v>37.558685446009385</v>
      </c>
      <c r="M610" s="147">
        <v>8</v>
      </c>
      <c r="N610" s="82">
        <v>0.94</v>
      </c>
      <c r="O610" s="82">
        <f t="shared" ref="O610:O616" si="127">(M610*N610%)*1000</f>
        <v>75.199999999999989</v>
      </c>
      <c r="P610" s="82">
        <v>12.1</v>
      </c>
      <c r="Q610" s="82">
        <f t="shared" si="125"/>
        <v>968</v>
      </c>
      <c r="R610" s="25"/>
    </row>
    <row r="611" spans="2:18" x14ac:dyDescent="0.25">
      <c r="B611" s="2" t="s">
        <v>162</v>
      </c>
      <c r="C611" s="196">
        <f>D611/(D609+D610+D611)*100</f>
        <v>28.961748633879779</v>
      </c>
      <c r="D611" s="147">
        <v>5.3</v>
      </c>
      <c r="E611" s="82">
        <v>0.42</v>
      </c>
      <c r="F611" s="82">
        <f t="shared" si="126"/>
        <v>22.259999999999998</v>
      </c>
      <c r="G611" s="82">
        <v>1.8</v>
      </c>
      <c r="H611" s="82">
        <f t="shared" si="124"/>
        <v>95.4</v>
      </c>
      <c r="I611" s="25"/>
      <c r="K611" s="2" t="s">
        <v>162</v>
      </c>
      <c r="L611" s="196">
        <f>M611/(M609+M610+M611)*100</f>
        <v>24.88262910798122</v>
      </c>
      <c r="M611" s="147">
        <v>5.3</v>
      </c>
      <c r="N611" s="82">
        <v>0.42</v>
      </c>
      <c r="O611" s="82">
        <f t="shared" si="127"/>
        <v>22.259999999999998</v>
      </c>
      <c r="P611" s="82">
        <v>1.8</v>
      </c>
      <c r="Q611" s="82">
        <f t="shared" si="125"/>
        <v>95.4</v>
      </c>
      <c r="R611" s="25"/>
    </row>
    <row r="612" spans="2:18" x14ac:dyDescent="0.25">
      <c r="B612" s="2" t="s">
        <v>14</v>
      </c>
      <c r="C612" s="35"/>
      <c r="D612" s="140">
        <v>0</v>
      </c>
      <c r="E612" s="5">
        <v>0.71</v>
      </c>
      <c r="F612" s="5">
        <f t="shared" si="126"/>
        <v>0</v>
      </c>
      <c r="G612" s="5">
        <v>0</v>
      </c>
      <c r="H612" s="5">
        <f t="shared" si="124"/>
        <v>0</v>
      </c>
      <c r="I612" s="25"/>
      <c r="K612" s="2" t="s">
        <v>14</v>
      </c>
      <c r="L612" s="35"/>
      <c r="M612" s="140">
        <v>0</v>
      </c>
      <c r="N612" s="5">
        <v>0.71</v>
      </c>
      <c r="O612" s="5">
        <f t="shared" si="127"/>
        <v>0</v>
      </c>
      <c r="P612" s="5">
        <v>0</v>
      </c>
      <c r="Q612" s="5">
        <f t="shared" si="125"/>
        <v>0</v>
      </c>
      <c r="R612" s="25"/>
    </row>
    <row r="613" spans="2:18" x14ac:dyDescent="0.25">
      <c r="B613" s="2" t="s">
        <v>17</v>
      </c>
      <c r="C613" s="35"/>
      <c r="D613" s="147">
        <v>6</v>
      </c>
      <c r="E613" s="82">
        <v>3.57</v>
      </c>
      <c r="F613" s="82">
        <f t="shared" si="126"/>
        <v>214.19999999999996</v>
      </c>
      <c r="G613" s="82">
        <v>27.8</v>
      </c>
      <c r="H613" s="82">
        <f t="shared" si="124"/>
        <v>1668.0000000000002</v>
      </c>
      <c r="I613" s="25"/>
      <c r="K613" s="2" t="s">
        <v>17</v>
      </c>
      <c r="L613" s="35"/>
      <c r="M613" s="147">
        <v>7</v>
      </c>
      <c r="N613" s="82">
        <v>3.4</v>
      </c>
      <c r="O613" s="82">
        <f t="shared" si="127"/>
        <v>238.00000000000003</v>
      </c>
      <c r="P613" s="82">
        <v>30.6</v>
      </c>
      <c r="Q613" s="82">
        <f t="shared" si="125"/>
        <v>2142</v>
      </c>
      <c r="R613" s="25"/>
    </row>
    <row r="614" spans="2:18" x14ac:dyDescent="0.25">
      <c r="B614" s="4" t="s">
        <v>21</v>
      </c>
      <c r="C614" s="41"/>
      <c r="D614" s="147">
        <v>1.4</v>
      </c>
      <c r="E614" s="82">
        <v>0</v>
      </c>
      <c r="F614" s="82">
        <f t="shared" si="126"/>
        <v>0</v>
      </c>
      <c r="G614" s="82">
        <v>85.3</v>
      </c>
      <c r="H614" s="82">
        <f t="shared" si="124"/>
        <v>1194.1999999999998</v>
      </c>
      <c r="I614" s="25"/>
      <c r="K614" s="4" t="s">
        <v>21</v>
      </c>
      <c r="L614" s="41"/>
      <c r="M614" s="147">
        <v>1.5</v>
      </c>
      <c r="N614" s="82">
        <v>0</v>
      </c>
      <c r="O614" s="82">
        <f t="shared" si="127"/>
        <v>0</v>
      </c>
      <c r="P614" s="82">
        <v>85.6</v>
      </c>
      <c r="Q614" s="82">
        <f t="shared" si="125"/>
        <v>1284</v>
      </c>
      <c r="R614" s="25"/>
    </row>
    <row r="615" spans="2:18" x14ac:dyDescent="0.25">
      <c r="B615" s="4" t="s">
        <v>49</v>
      </c>
      <c r="C615" s="41"/>
      <c r="D615" s="148">
        <v>0</v>
      </c>
      <c r="E615" s="82">
        <v>46</v>
      </c>
      <c r="F615" s="82">
        <f t="shared" si="126"/>
        <v>0</v>
      </c>
      <c r="G615" s="82">
        <v>0</v>
      </c>
      <c r="H615" s="82">
        <f t="shared" si="124"/>
        <v>0</v>
      </c>
      <c r="I615" s="25"/>
      <c r="K615" s="4" t="s">
        <v>49</v>
      </c>
      <c r="L615" s="41"/>
      <c r="M615" s="148">
        <v>0</v>
      </c>
      <c r="N615" s="82">
        <v>46</v>
      </c>
      <c r="O615" s="82">
        <f t="shared" si="127"/>
        <v>0</v>
      </c>
      <c r="P615" s="82">
        <v>0</v>
      </c>
      <c r="Q615" s="82">
        <f t="shared" si="125"/>
        <v>0</v>
      </c>
      <c r="R615" s="25"/>
    </row>
    <row r="616" spans="2:18" x14ac:dyDescent="0.25">
      <c r="B616" s="4" t="s">
        <v>23</v>
      </c>
      <c r="C616" s="41"/>
      <c r="D616" s="141">
        <v>0.05</v>
      </c>
      <c r="E616" s="13">
        <v>20.5</v>
      </c>
      <c r="F616" s="5">
        <f t="shared" si="126"/>
        <v>10.25</v>
      </c>
      <c r="G616" s="5">
        <v>0</v>
      </c>
      <c r="H616" s="5">
        <f t="shared" si="124"/>
        <v>0</v>
      </c>
      <c r="I616" s="25"/>
      <c r="K616" s="4" t="s">
        <v>23</v>
      </c>
      <c r="L616" s="41"/>
      <c r="M616" s="141">
        <v>0.05</v>
      </c>
      <c r="N616" s="13">
        <v>20.5</v>
      </c>
      <c r="O616" s="5">
        <f t="shared" si="127"/>
        <v>10.25</v>
      </c>
      <c r="P616" s="5">
        <v>0</v>
      </c>
      <c r="Q616" s="5">
        <f t="shared" si="125"/>
        <v>0</v>
      </c>
      <c r="R616" s="25"/>
    </row>
    <row r="617" spans="2:18" x14ac:dyDescent="0.25">
      <c r="B617" s="9" t="s">
        <v>26</v>
      </c>
      <c r="C617" s="42"/>
      <c r="D617" s="143">
        <f>SUM(D609:D616)</f>
        <v>25.75</v>
      </c>
      <c r="E617" s="9"/>
      <c r="F617" s="11">
        <f>SUM(F609:F616)</f>
        <v>376.70999999999992</v>
      </c>
      <c r="G617" s="9"/>
      <c r="H617" s="11">
        <f>SUM(H609:H616)</f>
        <v>4686.6000000000004</v>
      </c>
      <c r="I617" s="179" t="s">
        <v>6</v>
      </c>
      <c r="K617" s="9" t="s">
        <v>26</v>
      </c>
      <c r="L617" s="42"/>
      <c r="M617" s="143">
        <f>SUM(M609:M616)</f>
        <v>29.85</v>
      </c>
      <c r="N617" s="9"/>
      <c r="O617" s="11">
        <f>SUM(O609:O616)</f>
        <v>435.31000000000006</v>
      </c>
      <c r="P617" s="9"/>
      <c r="Q617" s="11">
        <f>SUM(Q609:Q616)</f>
        <v>5577.4</v>
      </c>
      <c r="R617" s="180" t="s">
        <v>6</v>
      </c>
    </row>
    <row r="618" spans="2:18" x14ac:dyDescent="0.25">
      <c r="B618" s="230"/>
      <c r="C618" s="231"/>
      <c r="D618" s="231"/>
      <c r="E618" s="232"/>
      <c r="F618" s="8">
        <f>F617/D617/10</f>
        <v>1.4629514563106794</v>
      </c>
      <c r="G618" s="12"/>
      <c r="H618" s="8">
        <f>H617/D617/10</f>
        <v>18.200388349514565</v>
      </c>
      <c r="I618" s="11">
        <f>((100-H618)*0.5)/F618</f>
        <v>27.957049189031352</v>
      </c>
      <c r="K618" s="230" t="s">
        <v>171</v>
      </c>
      <c r="L618" s="231"/>
      <c r="M618" s="231"/>
      <c r="N618" s="232"/>
      <c r="O618" s="8">
        <f>O617/M617/10</f>
        <v>1.4583249581239532</v>
      </c>
      <c r="P618" s="12"/>
      <c r="Q618" s="8">
        <f>Q617/M617/10</f>
        <v>18.684757118927969</v>
      </c>
      <c r="R618" s="11">
        <f>((100-Q618)*0.5)/O618</f>
        <v>27.87967195791505</v>
      </c>
    </row>
    <row r="621" spans="2:18" x14ac:dyDescent="0.25">
      <c r="B621" s="224" t="s">
        <v>169</v>
      </c>
      <c r="C621" s="225"/>
      <c r="D621" s="225"/>
      <c r="E621" s="225"/>
      <c r="F621" s="225"/>
      <c r="G621" s="225"/>
      <c r="H621" s="225"/>
      <c r="I621" s="226"/>
      <c r="K621" s="224" t="s">
        <v>170</v>
      </c>
      <c r="L621" s="225"/>
      <c r="M621" s="225"/>
      <c r="N621" s="225"/>
      <c r="O621" s="225"/>
      <c r="P621" s="225"/>
      <c r="Q621" s="225"/>
      <c r="R621" s="226"/>
    </row>
    <row r="622" spans="2:18" x14ac:dyDescent="0.25">
      <c r="B622" s="217" t="s">
        <v>0</v>
      </c>
      <c r="C622" s="227" t="s">
        <v>1</v>
      </c>
      <c r="D622" s="217" t="s">
        <v>47</v>
      </c>
      <c r="E622" s="221" t="s">
        <v>46</v>
      </c>
      <c r="F622" s="222"/>
      <c r="G622" s="222"/>
      <c r="H622" s="223"/>
      <c r="I622" s="229" t="s">
        <v>102</v>
      </c>
      <c r="K622" s="217" t="s">
        <v>0</v>
      </c>
      <c r="L622" s="227" t="s">
        <v>1</v>
      </c>
      <c r="M622" s="217" t="s">
        <v>47</v>
      </c>
      <c r="N622" s="221" t="s">
        <v>46</v>
      </c>
      <c r="O622" s="222"/>
      <c r="P622" s="222"/>
      <c r="Q622" s="223"/>
      <c r="R622" s="229" t="s">
        <v>102</v>
      </c>
    </row>
    <row r="623" spans="2:18" x14ac:dyDescent="0.25">
      <c r="B623" s="218"/>
      <c r="C623" s="228"/>
      <c r="D623" s="218"/>
      <c r="E623" s="2" t="s">
        <v>42</v>
      </c>
      <c r="F623" s="2" t="s">
        <v>43</v>
      </c>
      <c r="G623" s="2" t="s">
        <v>44</v>
      </c>
      <c r="H623" s="2" t="s">
        <v>45</v>
      </c>
      <c r="I623" s="229"/>
      <c r="K623" s="218"/>
      <c r="L623" s="228"/>
      <c r="M623" s="218"/>
      <c r="N623" s="2" t="s">
        <v>42</v>
      </c>
      <c r="O623" s="2" t="s">
        <v>43</v>
      </c>
      <c r="P623" s="2" t="s">
        <v>44</v>
      </c>
      <c r="Q623" s="2" t="s">
        <v>45</v>
      </c>
      <c r="R623" s="229"/>
    </row>
    <row r="624" spans="2:18" x14ac:dyDescent="0.25">
      <c r="B624" s="2" t="s">
        <v>8</v>
      </c>
      <c r="C624" s="196">
        <f>D624/(D624+D625+D626)*100</f>
        <v>75.117370892018769</v>
      </c>
      <c r="D624" s="145">
        <v>16</v>
      </c>
      <c r="E624" s="5">
        <v>1</v>
      </c>
      <c r="F624" s="5">
        <f>(D624*E624%)*1000</f>
        <v>160</v>
      </c>
      <c r="G624" s="5">
        <v>13.3</v>
      </c>
      <c r="H624" s="146">
        <f t="shared" ref="H624:H632" si="128">(D624*G624%)*1000</f>
        <v>2128</v>
      </c>
      <c r="I624" s="51">
        <f>D624+D625+D626+D627</f>
        <v>21.3</v>
      </c>
      <c r="K624" s="2" t="s">
        <v>8</v>
      </c>
      <c r="L624" s="196">
        <f>M624/(M624+M625+M626)*100</f>
        <v>75.117370892018769</v>
      </c>
      <c r="M624" s="145">
        <v>16</v>
      </c>
      <c r="N624" s="5">
        <v>1</v>
      </c>
      <c r="O624" s="5">
        <f>(M624*N624%)*1000</f>
        <v>160</v>
      </c>
      <c r="P624" s="5">
        <v>13.3</v>
      </c>
      <c r="Q624" s="146">
        <f t="shared" ref="Q624:Q632" si="129">(M624*P624%)*1000</f>
        <v>2128</v>
      </c>
      <c r="R624" s="51">
        <f>M624+M625+M626+M627</f>
        <v>21.3</v>
      </c>
    </row>
    <row r="625" spans="2:18" x14ac:dyDescent="0.25">
      <c r="B625" s="4" t="s">
        <v>110</v>
      </c>
      <c r="C625" s="196">
        <f>D625/(D624+D625+D626)*100</f>
        <v>0</v>
      </c>
      <c r="D625" s="147">
        <v>0</v>
      </c>
      <c r="E625" s="82">
        <v>0.7</v>
      </c>
      <c r="F625" s="82">
        <f t="shared" ref="F625:F632" si="130">(D625*E625%)*1000</f>
        <v>0</v>
      </c>
      <c r="G625" s="82">
        <v>0</v>
      </c>
      <c r="H625" s="82">
        <f t="shared" si="128"/>
        <v>0</v>
      </c>
      <c r="I625" s="25"/>
      <c r="K625" s="4" t="s">
        <v>110</v>
      </c>
      <c r="L625" s="196">
        <f>M625/(M624+M625+M626)*100</f>
        <v>0</v>
      </c>
      <c r="M625" s="147">
        <v>0</v>
      </c>
      <c r="N625" s="82">
        <v>0.7</v>
      </c>
      <c r="O625" s="82">
        <f t="shared" ref="O625:O632" si="131">(M625*N625%)*1000</f>
        <v>0</v>
      </c>
      <c r="P625" s="82">
        <v>0</v>
      </c>
      <c r="Q625" s="146">
        <f t="shared" si="129"/>
        <v>0</v>
      </c>
      <c r="R625" s="25"/>
    </row>
    <row r="626" spans="2:18" x14ac:dyDescent="0.25">
      <c r="B626" s="2" t="s">
        <v>162</v>
      </c>
      <c r="C626" s="196">
        <f>D626/(D624+D625+D626)*100</f>
        <v>24.88262910798122</v>
      </c>
      <c r="D626" s="147">
        <v>5.3</v>
      </c>
      <c r="E626" s="82">
        <v>0.36</v>
      </c>
      <c r="F626" s="82">
        <f t="shared" si="130"/>
        <v>19.079999999999998</v>
      </c>
      <c r="G626" s="82">
        <v>1.4</v>
      </c>
      <c r="H626" s="82">
        <f t="shared" si="128"/>
        <v>74.199999999999989</v>
      </c>
      <c r="I626" s="25"/>
      <c r="K626" s="2" t="s">
        <v>162</v>
      </c>
      <c r="L626" s="196">
        <f>M626/(M624+M625+M626)*100</f>
        <v>24.88262910798122</v>
      </c>
      <c r="M626" s="147">
        <v>5.3</v>
      </c>
      <c r="N626" s="82">
        <v>0.36</v>
      </c>
      <c r="O626" s="82">
        <f t="shared" si="131"/>
        <v>19.079999999999998</v>
      </c>
      <c r="P626" s="82">
        <v>1.8</v>
      </c>
      <c r="Q626" s="146">
        <f t="shared" si="129"/>
        <v>95.4</v>
      </c>
      <c r="R626" s="25"/>
    </row>
    <row r="627" spans="2:18" x14ac:dyDescent="0.25">
      <c r="B627" s="2" t="s">
        <v>14</v>
      </c>
      <c r="C627" s="35"/>
      <c r="D627" s="140">
        <v>0</v>
      </c>
      <c r="E627" s="5">
        <v>0.71</v>
      </c>
      <c r="F627" s="5">
        <f t="shared" si="130"/>
        <v>0</v>
      </c>
      <c r="G627" s="5">
        <v>0</v>
      </c>
      <c r="H627" s="5">
        <f t="shared" si="128"/>
        <v>0</v>
      </c>
      <c r="I627" s="25"/>
      <c r="K627" s="2" t="s">
        <v>14</v>
      </c>
      <c r="L627" s="35"/>
      <c r="M627" s="140">
        <v>0</v>
      </c>
      <c r="N627" s="5">
        <v>0.71</v>
      </c>
      <c r="O627" s="5">
        <f t="shared" si="131"/>
        <v>0</v>
      </c>
      <c r="P627" s="5">
        <v>0</v>
      </c>
      <c r="Q627" s="146">
        <f t="shared" si="129"/>
        <v>0</v>
      </c>
      <c r="R627" s="25"/>
    </row>
    <row r="628" spans="2:18" x14ac:dyDescent="0.25">
      <c r="B628" s="2" t="s">
        <v>17</v>
      </c>
      <c r="C628" s="35"/>
      <c r="D628" s="147">
        <v>7</v>
      </c>
      <c r="E628" s="82">
        <v>3.48</v>
      </c>
      <c r="F628" s="82">
        <f t="shared" si="130"/>
        <v>243.6</v>
      </c>
      <c r="G628" s="82">
        <v>30.2</v>
      </c>
      <c r="H628" s="82">
        <f t="shared" si="128"/>
        <v>2114</v>
      </c>
      <c r="I628" s="25"/>
      <c r="K628" s="2" t="s">
        <v>17</v>
      </c>
      <c r="L628" s="35"/>
      <c r="M628" s="147">
        <v>0.4</v>
      </c>
      <c r="N628" s="82">
        <v>3.48</v>
      </c>
      <c r="O628" s="82">
        <f t="shared" si="131"/>
        <v>13.92</v>
      </c>
      <c r="P628" s="82">
        <v>30.2</v>
      </c>
      <c r="Q628" s="146">
        <f t="shared" si="129"/>
        <v>120.80000000000001</v>
      </c>
      <c r="R628" s="25"/>
    </row>
    <row r="629" spans="2:18" x14ac:dyDescent="0.25">
      <c r="B629" s="4" t="s">
        <v>21</v>
      </c>
      <c r="C629" s="41"/>
      <c r="D629" s="147">
        <v>1.5</v>
      </c>
      <c r="E629" s="82">
        <v>0</v>
      </c>
      <c r="F629" s="82">
        <f t="shared" si="130"/>
        <v>0</v>
      </c>
      <c r="G629" s="82">
        <v>85.3</v>
      </c>
      <c r="H629" s="82">
        <f t="shared" si="128"/>
        <v>1279.5</v>
      </c>
      <c r="I629" s="25"/>
      <c r="K629" s="4" t="s">
        <v>21</v>
      </c>
      <c r="L629" s="41"/>
      <c r="M629" s="147">
        <v>0</v>
      </c>
      <c r="N629" s="82">
        <v>0</v>
      </c>
      <c r="O629" s="82">
        <f t="shared" si="131"/>
        <v>0</v>
      </c>
      <c r="P629" s="82">
        <v>85.3</v>
      </c>
      <c r="Q629" s="82">
        <f t="shared" si="129"/>
        <v>0</v>
      </c>
      <c r="R629" s="25"/>
    </row>
    <row r="630" spans="2:18" x14ac:dyDescent="0.25">
      <c r="B630" s="4"/>
      <c r="C630" s="41"/>
      <c r="D630" s="147"/>
      <c r="E630" s="82"/>
      <c r="F630" s="82"/>
      <c r="G630" s="82"/>
      <c r="H630" s="82"/>
      <c r="I630" s="25"/>
      <c r="K630" s="4" t="s">
        <v>174</v>
      </c>
      <c r="L630" s="41"/>
      <c r="M630" s="147">
        <v>7.2</v>
      </c>
      <c r="N630" s="82">
        <v>3.15</v>
      </c>
      <c r="O630" s="82">
        <f t="shared" si="131"/>
        <v>226.8</v>
      </c>
      <c r="P630" s="82">
        <v>44</v>
      </c>
      <c r="Q630" s="82">
        <f t="shared" si="129"/>
        <v>3168</v>
      </c>
      <c r="R630" s="25"/>
    </row>
    <row r="631" spans="2:18" x14ac:dyDescent="0.25">
      <c r="B631" s="4" t="s">
        <v>49</v>
      </c>
      <c r="C631" s="41"/>
      <c r="D631" s="148">
        <v>0</v>
      </c>
      <c r="E631" s="82">
        <v>46</v>
      </c>
      <c r="F631" s="82">
        <f t="shared" si="130"/>
        <v>0</v>
      </c>
      <c r="G631" s="82">
        <v>0</v>
      </c>
      <c r="H631" s="82">
        <f t="shared" si="128"/>
        <v>0</v>
      </c>
      <c r="I631" s="25"/>
      <c r="K631" s="4" t="s">
        <v>49</v>
      </c>
      <c r="L631" s="41"/>
      <c r="M631" s="148">
        <v>0</v>
      </c>
      <c r="N631" s="82">
        <v>46</v>
      </c>
      <c r="O631" s="82">
        <f t="shared" si="131"/>
        <v>0</v>
      </c>
      <c r="P631" s="82">
        <v>0</v>
      </c>
      <c r="Q631" s="82">
        <f t="shared" si="129"/>
        <v>0</v>
      </c>
      <c r="R631" s="25"/>
    </row>
    <row r="632" spans="2:18" x14ac:dyDescent="0.25">
      <c r="B632" s="4" t="s">
        <v>23</v>
      </c>
      <c r="C632" s="41"/>
      <c r="D632" s="141">
        <v>6.6000000000000003E-2</v>
      </c>
      <c r="E632" s="13">
        <v>20.5</v>
      </c>
      <c r="F632" s="5">
        <f t="shared" si="130"/>
        <v>13.530000000000001</v>
      </c>
      <c r="G632" s="5">
        <v>0</v>
      </c>
      <c r="H632" s="5">
        <f t="shared" si="128"/>
        <v>0</v>
      </c>
      <c r="I632" s="25"/>
      <c r="K632" s="4" t="s">
        <v>23</v>
      </c>
      <c r="L632" s="41"/>
      <c r="M632" s="141">
        <v>0.03</v>
      </c>
      <c r="N632" s="13">
        <v>20.5</v>
      </c>
      <c r="O632" s="5">
        <f t="shared" si="131"/>
        <v>6.1499999999999995</v>
      </c>
      <c r="P632" s="5">
        <v>0</v>
      </c>
      <c r="Q632" s="5">
        <f t="shared" si="129"/>
        <v>0</v>
      </c>
      <c r="R632" s="25"/>
    </row>
    <row r="633" spans="2:18" x14ac:dyDescent="0.25">
      <c r="B633" s="9" t="s">
        <v>26</v>
      </c>
      <c r="C633" s="42"/>
      <c r="D633" s="143">
        <f>SUM(D624:D632)</f>
        <v>29.866</v>
      </c>
      <c r="E633" s="9"/>
      <c r="F633" s="11">
        <f>SUM(F624:F632)</f>
        <v>436.20999999999992</v>
      </c>
      <c r="G633" s="9"/>
      <c r="H633" s="11">
        <f>SUM(H624:H632)</f>
        <v>5595.7</v>
      </c>
      <c r="I633" s="181" t="s">
        <v>6</v>
      </c>
      <c r="K633" s="9" t="s">
        <v>26</v>
      </c>
      <c r="L633" s="42"/>
      <c r="M633" s="143">
        <f>SUM(M624:M632)</f>
        <v>28.93</v>
      </c>
      <c r="N633" s="9"/>
      <c r="O633" s="11">
        <f>SUM(O624:O632)</f>
        <v>425.94999999999993</v>
      </c>
      <c r="P633" s="9"/>
      <c r="Q633" s="11">
        <f>SUM(Q624:Q632)</f>
        <v>5512.2000000000007</v>
      </c>
      <c r="R633" s="182" t="s">
        <v>6</v>
      </c>
    </row>
    <row r="634" spans="2:18" x14ac:dyDescent="0.25">
      <c r="B634" s="230" t="s">
        <v>171</v>
      </c>
      <c r="C634" s="231"/>
      <c r="D634" s="231"/>
      <c r="E634" s="232"/>
      <c r="F634" s="8">
        <f>F633/D633/10</f>
        <v>1.4605571552936447</v>
      </c>
      <c r="G634" s="12"/>
      <c r="H634" s="8">
        <f>H633/D633/10</f>
        <v>18.736020893323509</v>
      </c>
      <c r="I634" s="11">
        <f>((100-H634)*0.5)/F634</f>
        <v>27.819513537057844</v>
      </c>
      <c r="K634" s="230" t="s">
        <v>171</v>
      </c>
      <c r="L634" s="231"/>
      <c r="M634" s="231"/>
      <c r="N634" s="232"/>
      <c r="O634" s="8">
        <f>O633/M633/10</f>
        <v>1.4723470445903903</v>
      </c>
      <c r="P634" s="12"/>
      <c r="Q634" s="8">
        <f>Q633/M633/10</f>
        <v>19.05357760110612</v>
      </c>
      <c r="R634" s="11">
        <f>((100-Q634)*0.5)/O634</f>
        <v>27.488907148726376</v>
      </c>
    </row>
    <row r="636" spans="2:18" x14ac:dyDescent="0.25">
      <c r="B636" s="224" t="s">
        <v>172</v>
      </c>
      <c r="C636" s="225"/>
      <c r="D636" s="225"/>
      <c r="E636" s="225"/>
      <c r="F636" s="225"/>
      <c r="G636" s="225"/>
      <c r="H636" s="225"/>
      <c r="I636" s="226"/>
      <c r="K636" s="224" t="s">
        <v>178</v>
      </c>
      <c r="L636" s="225"/>
      <c r="M636" s="225"/>
      <c r="N636" s="225"/>
      <c r="O636" s="225"/>
      <c r="P636" s="225"/>
      <c r="Q636" s="225"/>
      <c r="R636" s="226"/>
    </row>
    <row r="637" spans="2:18" x14ac:dyDescent="0.25">
      <c r="B637" s="217" t="s">
        <v>0</v>
      </c>
      <c r="C637" s="227" t="s">
        <v>1</v>
      </c>
      <c r="D637" s="217" t="s">
        <v>47</v>
      </c>
      <c r="E637" s="221" t="s">
        <v>46</v>
      </c>
      <c r="F637" s="222"/>
      <c r="G637" s="222"/>
      <c r="H637" s="223"/>
      <c r="I637" s="233" t="s">
        <v>102</v>
      </c>
      <c r="K637" s="217" t="s">
        <v>0</v>
      </c>
      <c r="L637" s="227" t="s">
        <v>1</v>
      </c>
      <c r="M637" s="217" t="s">
        <v>47</v>
      </c>
      <c r="N637" s="221" t="s">
        <v>46</v>
      </c>
      <c r="O637" s="222"/>
      <c r="P637" s="222"/>
      <c r="Q637" s="223"/>
      <c r="R637" s="229" t="s">
        <v>102</v>
      </c>
    </row>
    <row r="638" spans="2:18" x14ac:dyDescent="0.25">
      <c r="B638" s="218"/>
      <c r="C638" s="228"/>
      <c r="D638" s="218"/>
      <c r="E638" s="2" t="s">
        <v>42</v>
      </c>
      <c r="F638" s="2" t="s">
        <v>43</v>
      </c>
      <c r="G638" s="2" t="s">
        <v>44</v>
      </c>
      <c r="H638" s="2" t="s">
        <v>45</v>
      </c>
      <c r="I638" s="234"/>
      <c r="K638" s="218"/>
      <c r="L638" s="228"/>
      <c r="M638" s="218"/>
      <c r="N638" s="2" t="s">
        <v>42</v>
      </c>
      <c r="O638" s="2" t="s">
        <v>43</v>
      </c>
      <c r="P638" s="2" t="s">
        <v>44</v>
      </c>
      <c r="Q638" s="2" t="s">
        <v>45</v>
      </c>
      <c r="R638" s="229"/>
    </row>
    <row r="639" spans="2:18" x14ac:dyDescent="0.25">
      <c r="B639" s="2" t="s">
        <v>8</v>
      </c>
      <c r="C639" s="196">
        <f>D639/(D639+D640+D641)*100</f>
        <v>72.558139534883708</v>
      </c>
      <c r="D639" s="145">
        <v>15.6</v>
      </c>
      <c r="E639" s="5">
        <v>1.1200000000000001</v>
      </c>
      <c r="F639" s="5">
        <f>(D639*E639%)*1000</f>
        <v>174.72000000000003</v>
      </c>
      <c r="G639" s="5">
        <v>13.6</v>
      </c>
      <c r="H639" s="146">
        <f t="shared" ref="H639:H646" si="132">(D639*G639%)*1000</f>
        <v>2121.6</v>
      </c>
      <c r="I639" s="51">
        <f>D639+D640+D641+D642</f>
        <v>21.5</v>
      </c>
      <c r="K639" s="2" t="s">
        <v>122</v>
      </c>
      <c r="L639" s="196">
        <f>M639/(M639+M640+M641)*100</f>
        <v>71.428571428571431</v>
      </c>
      <c r="M639" s="145">
        <v>16</v>
      </c>
      <c r="N639" s="82">
        <v>0.94</v>
      </c>
      <c r="O639" s="82">
        <f>(M639*N639%)*1000</f>
        <v>150.39999999999998</v>
      </c>
      <c r="P639" s="82">
        <v>12.1</v>
      </c>
      <c r="Q639" s="146">
        <f t="shared" ref="Q639:Q646" si="133">(M639*P639%)*1000</f>
        <v>1936</v>
      </c>
      <c r="R639" s="51">
        <f>M639+M640+M641</f>
        <v>22.4</v>
      </c>
    </row>
    <row r="640" spans="2:18" x14ac:dyDescent="0.25">
      <c r="B640" s="4" t="s">
        <v>110</v>
      </c>
      <c r="C640" s="196">
        <f>D640/(D639+D640+D641)*100</f>
        <v>0</v>
      </c>
      <c r="D640" s="147">
        <v>0</v>
      </c>
      <c r="E640" s="82">
        <v>0.7</v>
      </c>
      <c r="F640" s="82">
        <f t="shared" ref="F640:F646" si="134">(D640*E640%)*1000</f>
        <v>0</v>
      </c>
      <c r="G640" s="82">
        <v>0</v>
      </c>
      <c r="H640" s="82">
        <f t="shared" si="132"/>
        <v>0</v>
      </c>
      <c r="I640" s="25"/>
      <c r="K640" s="4" t="s">
        <v>110</v>
      </c>
      <c r="L640" s="196">
        <f>M640/(M639+M640+M641)*100</f>
        <v>0</v>
      </c>
      <c r="M640" s="147">
        <v>0</v>
      </c>
      <c r="N640" s="82">
        <v>0.7</v>
      </c>
      <c r="O640" s="82">
        <f t="shared" ref="O640:O646" si="135">(M640*N640%)*1000</f>
        <v>0</v>
      </c>
      <c r="P640" s="82">
        <v>0</v>
      </c>
      <c r="Q640" s="82">
        <f t="shared" si="133"/>
        <v>0</v>
      </c>
      <c r="R640" s="25"/>
    </row>
    <row r="641" spans="2:18" x14ac:dyDescent="0.25">
      <c r="B641" s="2" t="s">
        <v>162</v>
      </c>
      <c r="C641" s="196">
        <f>D641/(D639+D640+D641)*100</f>
        <v>27.441860465116282</v>
      </c>
      <c r="D641" s="147">
        <v>5.9</v>
      </c>
      <c r="E641" s="82">
        <v>0.42</v>
      </c>
      <c r="F641" s="82">
        <f t="shared" si="134"/>
        <v>24.78</v>
      </c>
      <c r="G641" s="82">
        <v>1.8</v>
      </c>
      <c r="H641" s="82">
        <f t="shared" si="132"/>
        <v>106.20000000000002</v>
      </c>
      <c r="I641" s="25"/>
      <c r="K641" s="2" t="s">
        <v>162</v>
      </c>
      <c r="L641" s="196">
        <f>M641/(M639+M640+M641)*100</f>
        <v>28.571428571428577</v>
      </c>
      <c r="M641" s="147">
        <v>6.4</v>
      </c>
      <c r="N641" s="82">
        <v>0.42</v>
      </c>
      <c r="O641" s="82">
        <f t="shared" si="135"/>
        <v>26.880000000000003</v>
      </c>
      <c r="P641" s="82">
        <v>1.8</v>
      </c>
      <c r="Q641" s="82">
        <f t="shared" si="133"/>
        <v>115.20000000000003</v>
      </c>
      <c r="R641" s="25"/>
    </row>
    <row r="642" spans="2:18" x14ac:dyDescent="0.25">
      <c r="B642" s="2" t="s">
        <v>14</v>
      </c>
      <c r="C642" s="35"/>
      <c r="D642" s="140">
        <v>0</v>
      </c>
      <c r="E642" s="5">
        <v>0.71</v>
      </c>
      <c r="F642" s="5">
        <f t="shared" si="134"/>
        <v>0</v>
      </c>
      <c r="G642" s="5">
        <v>0</v>
      </c>
      <c r="H642" s="5">
        <f t="shared" si="132"/>
        <v>0</v>
      </c>
      <c r="I642" s="25"/>
      <c r="K642" s="2" t="s">
        <v>176</v>
      </c>
      <c r="L642" s="35"/>
      <c r="M642" s="140">
        <v>0.26</v>
      </c>
      <c r="N642" s="82">
        <v>0</v>
      </c>
      <c r="O642" s="82">
        <f>(M642*N642%)*1000</f>
        <v>0</v>
      </c>
      <c r="P642" s="82">
        <v>15.1</v>
      </c>
      <c r="Q642" s="5">
        <f t="shared" si="133"/>
        <v>39.260000000000005</v>
      </c>
      <c r="R642" s="25"/>
    </row>
    <row r="643" spans="2:18" x14ac:dyDescent="0.25">
      <c r="B643" s="2" t="s">
        <v>17</v>
      </c>
      <c r="C643" s="35"/>
      <c r="D643" s="147">
        <v>0.245</v>
      </c>
      <c r="E643" s="82">
        <v>3.48</v>
      </c>
      <c r="F643" s="82">
        <f t="shared" si="134"/>
        <v>8.525999999999998</v>
      </c>
      <c r="G643" s="82">
        <v>30.2</v>
      </c>
      <c r="H643" s="82">
        <f t="shared" si="132"/>
        <v>73.989999999999995</v>
      </c>
      <c r="I643" s="25"/>
      <c r="K643" s="2" t="s">
        <v>17</v>
      </c>
      <c r="L643" s="35"/>
      <c r="M643" s="147">
        <v>1.7</v>
      </c>
      <c r="N643" s="82">
        <v>3.48</v>
      </c>
      <c r="O643" s="82">
        <f t="shared" si="135"/>
        <v>59.16</v>
      </c>
      <c r="P643" s="82">
        <v>30.2</v>
      </c>
      <c r="Q643" s="82">
        <f t="shared" si="133"/>
        <v>513.4</v>
      </c>
      <c r="R643" s="25"/>
    </row>
    <row r="644" spans="2:18" x14ac:dyDescent="0.25">
      <c r="B644" s="4" t="s">
        <v>21</v>
      </c>
      <c r="C644" s="41"/>
      <c r="D644" s="147">
        <v>0</v>
      </c>
      <c r="E644" s="82">
        <v>0</v>
      </c>
      <c r="F644" s="82">
        <f t="shared" si="134"/>
        <v>0</v>
      </c>
      <c r="G644" s="82">
        <v>85.3</v>
      </c>
      <c r="H644" s="82">
        <f t="shared" si="132"/>
        <v>0</v>
      </c>
      <c r="I644" s="25"/>
      <c r="K644" s="4" t="s">
        <v>21</v>
      </c>
      <c r="L644" s="41"/>
      <c r="M644" s="147">
        <v>0.2</v>
      </c>
      <c r="N644" s="82">
        <v>0</v>
      </c>
      <c r="O644" s="82">
        <f t="shared" si="135"/>
        <v>0</v>
      </c>
      <c r="P644" s="82">
        <v>85.3</v>
      </c>
      <c r="Q644" s="82">
        <f t="shared" si="133"/>
        <v>170.6</v>
      </c>
      <c r="R644" s="25"/>
    </row>
    <row r="645" spans="2:18" x14ac:dyDescent="0.25">
      <c r="B645" s="4" t="s">
        <v>174</v>
      </c>
      <c r="C645" s="41"/>
      <c r="D645" s="148">
        <v>6.7</v>
      </c>
      <c r="E645" s="82">
        <v>3.09</v>
      </c>
      <c r="F645" s="82">
        <f t="shared" si="134"/>
        <v>207.03</v>
      </c>
      <c r="G645" s="82">
        <v>44.3</v>
      </c>
      <c r="H645" s="82">
        <f t="shared" si="132"/>
        <v>2968.1</v>
      </c>
      <c r="I645" s="25"/>
      <c r="K645" s="4" t="s">
        <v>174</v>
      </c>
      <c r="L645" s="41"/>
      <c r="M645" s="147">
        <v>6.5</v>
      </c>
      <c r="N645" s="82">
        <v>3.27</v>
      </c>
      <c r="O645" s="82">
        <f t="shared" si="135"/>
        <v>212.54999999999998</v>
      </c>
      <c r="P645" s="82">
        <v>42.6</v>
      </c>
      <c r="Q645" s="82">
        <f t="shared" si="133"/>
        <v>2769</v>
      </c>
      <c r="R645" s="25"/>
    </row>
    <row r="646" spans="2:18" x14ac:dyDescent="0.25">
      <c r="B646" s="4" t="s">
        <v>23</v>
      </c>
      <c r="C646" s="41"/>
      <c r="D646" s="141">
        <v>1.7000000000000001E-2</v>
      </c>
      <c r="E646" s="13">
        <v>20.5</v>
      </c>
      <c r="F646" s="5">
        <f t="shared" si="134"/>
        <v>3.4850000000000003</v>
      </c>
      <c r="G646" s="5">
        <v>0</v>
      </c>
      <c r="H646" s="5">
        <f t="shared" si="132"/>
        <v>0</v>
      </c>
      <c r="I646" s="25"/>
      <c r="K646" s="4" t="s">
        <v>23</v>
      </c>
      <c r="L646" s="41"/>
      <c r="M646" s="141">
        <v>0.05</v>
      </c>
      <c r="N646" s="13">
        <v>20.5</v>
      </c>
      <c r="O646" s="5">
        <f t="shared" si="135"/>
        <v>10.25</v>
      </c>
      <c r="P646" s="5">
        <v>0</v>
      </c>
      <c r="Q646" s="5">
        <f t="shared" si="133"/>
        <v>0</v>
      </c>
      <c r="R646" s="25"/>
    </row>
    <row r="647" spans="2:18" x14ac:dyDescent="0.25">
      <c r="B647" s="9" t="s">
        <v>26</v>
      </c>
      <c r="C647" s="42"/>
      <c r="D647" s="143">
        <f>SUM(D639:D646)</f>
        <v>28.462</v>
      </c>
      <c r="E647" s="9"/>
      <c r="F647" s="11">
        <f>SUM(F639:F646)</f>
        <v>418.54100000000005</v>
      </c>
      <c r="G647" s="9"/>
      <c r="H647" s="11">
        <f>SUM(H639:H646)</f>
        <v>5269.8899999999994</v>
      </c>
      <c r="I647" s="185" t="s">
        <v>6</v>
      </c>
      <c r="K647" s="9" t="s">
        <v>26</v>
      </c>
      <c r="L647" s="42"/>
      <c r="M647" s="143">
        <f>SUM(M639:M646)</f>
        <v>31.11</v>
      </c>
      <c r="N647" s="9"/>
      <c r="O647" s="11">
        <f>SUM(O639:O646)</f>
        <v>459.23999999999995</v>
      </c>
      <c r="P647" s="9"/>
      <c r="Q647" s="11">
        <f>SUM(Q639:Q646)</f>
        <v>5543.46</v>
      </c>
      <c r="R647" s="183" t="s">
        <v>6</v>
      </c>
    </row>
    <row r="648" spans="2:18" x14ac:dyDescent="0.25">
      <c r="B648" s="230" t="s">
        <v>175</v>
      </c>
      <c r="C648" s="231"/>
      <c r="D648" s="231"/>
      <c r="E648" s="232"/>
      <c r="F648" s="8">
        <f>F647/D647/10</f>
        <v>1.4705256130981661</v>
      </c>
      <c r="G648" s="12"/>
      <c r="H648" s="8">
        <f>H647/D647/10</f>
        <v>18.515529477900355</v>
      </c>
      <c r="I648" s="11">
        <f>((100-H648)*0.5)/F648</f>
        <v>27.705899780427721</v>
      </c>
      <c r="K648" s="230" t="s">
        <v>175</v>
      </c>
      <c r="L648" s="231"/>
      <c r="M648" s="231"/>
      <c r="N648" s="232"/>
      <c r="O648" s="8">
        <f>O647/M647/10</f>
        <v>1.4761812921890065</v>
      </c>
      <c r="P648" s="12"/>
      <c r="Q648" s="8">
        <f>Q647/M647/10</f>
        <v>17.818900675024107</v>
      </c>
      <c r="R648" s="11">
        <f>((100-Q648)*0.5)/O648</f>
        <v>27.83570681996342</v>
      </c>
    </row>
    <row r="650" spans="2:18" x14ac:dyDescent="0.25">
      <c r="B650" s="224" t="s">
        <v>179</v>
      </c>
      <c r="C650" s="225"/>
      <c r="D650" s="225"/>
      <c r="E650" s="225"/>
      <c r="F650" s="225"/>
      <c r="G650" s="225"/>
      <c r="H650" s="225"/>
      <c r="I650" s="226"/>
      <c r="K650" s="224" t="s">
        <v>180</v>
      </c>
      <c r="L650" s="225"/>
      <c r="M650" s="225"/>
      <c r="N650" s="225"/>
      <c r="O650" s="225"/>
      <c r="P650" s="225"/>
      <c r="Q650" s="225"/>
      <c r="R650" s="226"/>
    </row>
    <row r="651" spans="2:18" x14ac:dyDescent="0.25">
      <c r="B651" s="217" t="s">
        <v>0</v>
      </c>
      <c r="C651" s="227" t="s">
        <v>1</v>
      </c>
      <c r="D651" s="217" t="s">
        <v>47</v>
      </c>
      <c r="E651" s="221" t="s">
        <v>46</v>
      </c>
      <c r="F651" s="222"/>
      <c r="G651" s="222"/>
      <c r="H651" s="223"/>
      <c r="I651" s="229" t="s">
        <v>102</v>
      </c>
      <c r="K651" s="217" t="s">
        <v>0</v>
      </c>
      <c r="L651" s="227" t="s">
        <v>1</v>
      </c>
      <c r="M651" s="217" t="s">
        <v>47</v>
      </c>
      <c r="N651" s="221" t="s">
        <v>46</v>
      </c>
      <c r="O651" s="222"/>
      <c r="P651" s="222"/>
      <c r="Q651" s="223"/>
      <c r="R651" s="229" t="s">
        <v>102</v>
      </c>
    </row>
    <row r="652" spans="2:18" x14ac:dyDescent="0.25">
      <c r="B652" s="218"/>
      <c r="C652" s="228"/>
      <c r="D652" s="218"/>
      <c r="E652" s="2" t="s">
        <v>42</v>
      </c>
      <c r="F652" s="2" t="s">
        <v>43</v>
      </c>
      <c r="G652" s="2" t="s">
        <v>44</v>
      </c>
      <c r="H652" s="2" t="s">
        <v>45</v>
      </c>
      <c r="I652" s="229"/>
      <c r="K652" s="218"/>
      <c r="L652" s="228"/>
      <c r="M652" s="218"/>
      <c r="N652" s="2" t="s">
        <v>42</v>
      </c>
      <c r="O652" s="2" t="s">
        <v>43</v>
      </c>
      <c r="P652" s="2" t="s">
        <v>44</v>
      </c>
      <c r="Q652" s="2" t="s">
        <v>45</v>
      </c>
      <c r="R652" s="229"/>
    </row>
    <row r="653" spans="2:18" x14ac:dyDescent="0.25">
      <c r="B653" s="2" t="s">
        <v>122</v>
      </c>
      <c r="C653" s="196">
        <f>D653/(D653+D654+D655)*100</f>
        <v>71.111111111111114</v>
      </c>
      <c r="D653" s="145">
        <v>16</v>
      </c>
      <c r="E653" s="82">
        <v>0.94</v>
      </c>
      <c r="F653" s="82">
        <f>(D653*E653%)*1000</f>
        <v>150.39999999999998</v>
      </c>
      <c r="G653" s="82">
        <v>12.1</v>
      </c>
      <c r="H653" s="146">
        <f>(D653*G653%)*1000</f>
        <v>1936</v>
      </c>
      <c r="I653" s="51">
        <f>D653+D654+D655</f>
        <v>22.5</v>
      </c>
      <c r="K653" s="2" t="s">
        <v>8</v>
      </c>
      <c r="L653" s="196">
        <f>M653/(M653+M654+M655)*100</f>
        <v>72.340425531914903</v>
      </c>
      <c r="M653" s="145">
        <v>17</v>
      </c>
      <c r="N653" s="82">
        <v>0.94</v>
      </c>
      <c r="O653" s="82">
        <f>(M653*N653%)*1000</f>
        <v>159.79999999999998</v>
      </c>
      <c r="P653" s="82">
        <v>12.1</v>
      </c>
      <c r="Q653" s="146">
        <f>(M653*P653%)*1000</f>
        <v>2057</v>
      </c>
      <c r="R653" s="51">
        <f>M653+M654+M655</f>
        <v>23.5</v>
      </c>
    </row>
    <row r="654" spans="2:18" x14ac:dyDescent="0.25">
      <c r="B654" s="4" t="s">
        <v>110</v>
      </c>
      <c r="C654" s="196">
        <f>D654/(D653+D654+D655)*100</f>
        <v>0</v>
      </c>
      <c r="D654" s="147">
        <v>0</v>
      </c>
      <c r="E654" s="82">
        <v>0.7</v>
      </c>
      <c r="F654" s="82">
        <f t="shared" ref="F654:F660" si="136">(D654*E654%)*1000</f>
        <v>0</v>
      </c>
      <c r="G654" s="82">
        <v>0</v>
      </c>
      <c r="H654" s="82">
        <f t="shared" ref="H654:H660" si="137">(D654*G654%)*1000</f>
        <v>0</v>
      </c>
      <c r="I654" s="25"/>
      <c r="K654" s="4" t="s">
        <v>110</v>
      </c>
      <c r="L654" s="196">
        <f>M654/(M653+M654+M655)*100</f>
        <v>0</v>
      </c>
      <c r="M654" s="147">
        <v>0</v>
      </c>
      <c r="N654" s="82">
        <v>0.7</v>
      </c>
      <c r="O654" s="82">
        <f t="shared" ref="O654:O660" si="138">(M654*N654%)*1000</f>
        <v>0</v>
      </c>
      <c r="P654" s="82">
        <v>0</v>
      </c>
      <c r="Q654" s="82">
        <f t="shared" ref="Q654:Q660" si="139">(M654*P654%)*1000</f>
        <v>0</v>
      </c>
      <c r="R654" s="25"/>
    </row>
    <row r="655" spans="2:18" x14ac:dyDescent="0.25">
      <c r="B655" s="2" t="s">
        <v>162</v>
      </c>
      <c r="C655" s="196">
        <f>D655/(D653+D654+D655)*100</f>
        <v>28.888888888888886</v>
      </c>
      <c r="D655" s="147">
        <v>6.5</v>
      </c>
      <c r="E655" s="82">
        <v>0.42</v>
      </c>
      <c r="F655" s="82">
        <f t="shared" si="136"/>
        <v>27.299999999999997</v>
      </c>
      <c r="G655" s="82">
        <v>1.8</v>
      </c>
      <c r="H655" s="82">
        <f t="shared" si="137"/>
        <v>117.00000000000001</v>
      </c>
      <c r="I655" s="25"/>
      <c r="K655" s="2" t="s">
        <v>162</v>
      </c>
      <c r="L655" s="196">
        <f>M655/(M653+M654+M655)*100</f>
        <v>27.659574468085108</v>
      </c>
      <c r="M655" s="147">
        <v>6.5</v>
      </c>
      <c r="N655" s="82">
        <v>0.42</v>
      </c>
      <c r="O655" s="82">
        <f t="shared" si="138"/>
        <v>27.299999999999997</v>
      </c>
      <c r="P655" s="82">
        <v>1.8</v>
      </c>
      <c r="Q655" s="82">
        <f t="shared" si="139"/>
        <v>117.00000000000001</v>
      </c>
      <c r="R655" s="25"/>
    </row>
    <row r="656" spans="2:18" x14ac:dyDescent="0.25">
      <c r="B656" s="2" t="s">
        <v>176</v>
      </c>
      <c r="C656" s="35"/>
      <c r="D656" s="140">
        <v>0</v>
      </c>
      <c r="E656" s="82">
        <v>0</v>
      </c>
      <c r="F656" s="82">
        <f t="shared" si="136"/>
        <v>0</v>
      </c>
      <c r="G656" s="82">
        <v>30.2</v>
      </c>
      <c r="H656" s="5">
        <f t="shared" si="137"/>
        <v>0</v>
      </c>
      <c r="I656" s="25"/>
      <c r="K656" s="2" t="s">
        <v>176</v>
      </c>
      <c r="L656" s="35"/>
      <c r="M656" s="140">
        <v>0.32</v>
      </c>
      <c r="N656" s="82">
        <v>0</v>
      </c>
      <c r="O656" s="82">
        <f t="shared" si="138"/>
        <v>0</v>
      </c>
      <c r="P656" s="82">
        <v>30.2</v>
      </c>
      <c r="Q656" s="5">
        <f t="shared" si="139"/>
        <v>96.64</v>
      </c>
      <c r="R656" s="25"/>
    </row>
    <row r="657" spans="2:18" x14ac:dyDescent="0.25">
      <c r="B657" s="2" t="s">
        <v>17</v>
      </c>
      <c r="C657" s="35"/>
      <c r="D657" s="147">
        <v>0.4</v>
      </c>
      <c r="E657" s="82">
        <v>3.48</v>
      </c>
      <c r="F657" s="82">
        <f t="shared" si="136"/>
        <v>13.92</v>
      </c>
      <c r="G657" s="82">
        <v>30.2</v>
      </c>
      <c r="H657" s="82">
        <f t="shared" si="137"/>
        <v>120.80000000000001</v>
      </c>
      <c r="I657" s="25"/>
      <c r="K657" s="2" t="s">
        <v>17</v>
      </c>
      <c r="L657" s="35"/>
      <c r="M657" s="147">
        <v>4.3</v>
      </c>
      <c r="N657" s="82">
        <v>3.48</v>
      </c>
      <c r="O657" s="82">
        <f t="shared" si="138"/>
        <v>149.63999999999999</v>
      </c>
      <c r="P657" s="82">
        <v>30.2</v>
      </c>
      <c r="Q657" s="82">
        <f t="shared" si="139"/>
        <v>1298.5999999999999</v>
      </c>
      <c r="R657" s="25"/>
    </row>
    <row r="658" spans="2:18" x14ac:dyDescent="0.25">
      <c r="B658" s="4" t="s">
        <v>21</v>
      </c>
      <c r="C658" s="41"/>
      <c r="D658" s="147">
        <v>0</v>
      </c>
      <c r="E658" s="82">
        <v>0</v>
      </c>
      <c r="F658" s="82">
        <f t="shared" si="136"/>
        <v>0</v>
      </c>
      <c r="G658" s="82">
        <v>85.3</v>
      </c>
      <c r="H658" s="82">
        <f t="shared" si="137"/>
        <v>0</v>
      </c>
      <c r="I658" s="25"/>
      <c r="K658" s="4" t="s">
        <v>21</v>
      </c>
      <c r="L658" s="41"/>
      <c r="M658" s="147">
        <v>0.9</v>
      </c>
      <c r="N658" s="82">
        <v>0</v>
      </c>
      <c r="O658" s="82">
        <f t="shared" si="138"/>
        <v>0</v>
      </c>
      <c r="P658" s="82">
        <v>85.3</v>
      </c>
      <c r="Q658" s="82">
        <f t="shared" si="139"/>
        <v>767.7</v>
      </c>
      <c r="R658" s="25"/>
    </row>
    <row r="659" spans="2:18" x14ac:dyDescent="0.25">
      <c r="B659" s="4" t="s">
        <v>174</v>
      </c>
      <c r="C659" s="41"/>
      <c r="D659" s="147">
        <v>8.6</v>
      </c>
      <c r="E659" s="82">
        <v>3.22</v>
      </c>
      <c r="F659" s="82">
        <f t="shared" si="136"/>
        <v>276.92</v>
      </c>
      <c r="G659" s="82">
        <v>42.8</v>
      </c>
      <c r="H659" s="82">
        <f t="shared" si="137"/>
        <v>3680.7999999999997</v>
      </c>
      <c r="I659" s="25"/>
      <c r="K659" s="4" t="s">
        <v>174</v>
      </c>
      <c r="L659" s="41"/>
      <c r="M659" s="147">
        <v>4.0999999999999996</v>
      </c>
      <c r="N659" s="82">
        <v>3.22</v>
      </c>
      <c r="O659" s="82">
        <f t="shared" si="138"/>
        <v>132.02000000000001</v>
      </c>
      <c r="P659" s="82">
        <v>42.8</v>
      </c>
      <c r="Q659" s="82">
        <f t="shared" si="139"/>
        <v>1754.8</v>
      </c>
      <c r="R659" s="25"/>
    </row>
    <row r="660" spans="2:18" x14ac:dyDescent="0.25">
      <c r="B660" s="4" t="s">
        <v>23</v>
      </c>
      <c r="C660" s="41"/>
      <c r="D660" s="141">
        <v>0</v>
      </c>
      <c r="E660" s="13">
        <v>20.5</v>
      </c>
      <c r="F660" s="5">
        <f t="shared" si="136"/>
        <v>0</v>
      </c>
      <c r="G660" s="5">
        <v>0</v>
      </c>
      <c r="H660" s="5">
        <f t="shared" si="137"/>
        <v>0</v>
      </c>
      <c r="I660" s="25"/>
      <c r="K660" s="4" t="s">
        <v>23</v>
      </c>
      <c r="L660" s="41"/>
      <c r="M660" s="141">
        <v>0.1</v>
      </c>
      <c r="N660" s="13">
        <v>20.5</v>
      </c>
      <c r="O660" s="5">
        <f t="shared" si="138"/>
        <v>20.5</v>
      </c>
      <c r="P660" s="5">
        <v>0</v>
      </c>
      <c r="Q660" s="5">
        <f t="shared" si="139"/>
        <v>0</v>
      </c>
      <c r="R660" s="25"/>
    </row>
    <row r="661" spans="2:18" x14ac:dyDescent="0.25">
      <c r="B661" s="9" t="s">
        <v>26</v>
      </c>
      <c r="C661" s="42"/>
      <c r="D661" s="143">
        <f>SUM(D653:D660)</f>
        <v>31.5</v>
      </c>
      <c r="E661" s="9"/>
      <c r="F661" s="11">
        <f>SUM(F653:F660)</f>
        <v>468.53999999999996</v>
      </c>
      <c r="G661" s="9"/>
      <c r="H661" s="11">
        <f>SUM(H653:H660)</f>
        <v>5854.6</v>
      </c>
      <c r="I661" s="185" t="s">
        <v>6</v>
      </c>
      <c r="K661" s="9" t="s">
        <v>26</v>
      </c>
      <c r="L661" s="42"/>
      <c r="M661" s="143">
        <f>SUM(M653:M660)</f>
        <v>33.22</v>
      </c>
      <c r="N661" s="9"/>
      <c r="O661" s="11">
        <f>SUM(O653:O660)</f>
        <v>489.26</v>
      </c>
      <c r="P661" s="9"/>
      <c r="Q661" s="11">
        <f>SUM(Q653:Q660)</f>
        <v>6091.74</v>
      </c>
      <c r="R661" s="185" t="s">
        <v>6</v>
      </c>
    </row>
    <row r="662" spans="2:18" x14ac:dyDescent="0.25">
      <c r="B662" s="230" t="s">
        <v>175</v>
      </c>
      <c r="C662" s="231"/>
      <c r="D662" s="231"/>
      <c r="E662" s="232"/>
      <c r="F662" s="8">
        <f>F661/D661/10</f>
        <v>1.4874285714285713</v>
      </c>
      <c r="G662" s="12"/>
      <c r="H662" s="8">
        <f>H661/D661/10</f>
        <v>18.586031746031747</v>
      </c>
      <c r="I662" s="11">
        <f>((100-H662)*0.5)/F662</f>
        <v>27.367353907884066</v>
      </c>
      <c r="K662" s="230"/>
      <c r="L662" s="231"/>
      <c r="M662" s="231"/>
      <c r="N662" s="232"/>
      <c r="O662" s="8">
        <f>O661/M661/10</f>
        <v>1.472787477423239</v>
      </c>
      <c r="P662" s="12"/>
      <c r="Q662" s="8">
        <f>Q661/M661/10</f>
        <v>18.337567730282963</v>
      </c>
      <c r="R662" s="11">
        <f>((100-Q662)*0.5)/O662</f>
        <v>27.723766504517027</v>
      </c>
    </row>
    <row r="665" spans="2:18" x14ac:dyDescent="0.25">
      <c r="B665" s="224" t="s">
        <v>181</v>
      </c>
      <c r="C665" s="225"/>
      <c r="D665" s="225"/>
      <c r="E665" s="225"/>
      <c r="F665" s="225"/>
      <c r="G665" s="225"/>
      <c r="H665" s="225"/>
      <c r="I665" s="226"/>
      <c r="K665" s="224" t="s">
        <v>182</v>
      </c>
      <c r="L665" s="225"/>
      <c r="M665" s="225"/>
      <c r="N665" s="225"/>
      <c r="O665" s="225"/>
      <c r="P665" s="225"/>
      <c r="Q665" s="225"/>
      <c r="R665" s="226"/>
    </row>
    <row r="666" spans="2:18" x14ac:dyDescent="0.25">
      <c r="B666" s="187" t="s">
        <v>0</v>
      </c>
      <c r="C666" s="193" t="s">
        <v>1</v>
      </c>
      <c r="D666" s="187" t="s">
        <v>47</v>
      </c>
      <c r="E666" s="221" t="s">
        <v>46</v>
      </c>
      <c r="F666" s="222"/>
      <c r="G666" s="222"/>
      <c r="H666" s="223"/>
      <c r="I666" s="195" t="s">
        <v>102</v>
      </c>
      <c r="K666" s="217" t="s">
        <v>0</v>
      </c>
      <c r="L666" s="227" t="s">
        <v>1</v>
      </c>
      <c r="M666" s="217" t="s">
        <v>47</v>
      </c>
      <c r="N666" s="221" t="s">
        <v>46</v>
      </c>
      <c r="O666" s="222"/>
      <c r="P666" s="222"/>
      <c r="Q666" s="223"/>
      <c r="R666" s="229" t="s">
        <v>102</v>
      </c>
    </row>
    <row r="667" spans="2:18" x14ac:dyDescent="0.25">
      <c r="B667" s="188"/>
      <c r="C667" s="194"/>
      <c r="D667" s="188"/>
      <c r="E667" s="2" t="s">
        <v>42</v>
      </c>
      <c r="F667" s="2" t="s">
        <v>43</v>
      </c>
      <c r="G667" s="2" t="s">
        <v>44</v>
      </c>
      <c r="H667" s="2" t="s">
        <v>45</v>
      </c>
      <c r="I667" s="195"/>
      <c r="K667" s="218"/>
      <c r="L667" s="228"/>
      <c r="M667" s="218"/>
      <c r="N667" s="2" t="s">
        <v>42</v>
      </c>
      <c r="O667" s="2" t="s">
        <v>43</v>
      </c>
      <c r="P667" s="2" t="s">
        <v>44</v>
      </c>
      <c r="Q667" s="2" t="s">
        <v>45</v>
      </c>
      <c r="R667" s="229"/>
    </row>
    <row r="668" spans="2:18" x14ac:dyDescent="0.25">
      <c r="B668" s="2" t="s">
        <v>8</v>
      </c>
      <c r="C668" s="196">
        <f>D668/(D668+D669+D670)*100</f>
        <v>71.489361702127667</v>
      </c>
      <c r="D668" s="145">
        <v>16.8</v>
      </c>
      <c r="E668" s="82">
        <v>1.2</v>
      </c>
      <c r="F668" s="82">
        <f>(D668*E668%)*1000</f>
        <v>201.6</v>
      </c>
      <c r="G668" s="82">
        <v>12.6</v>
      </c>
      <c r="H668" s="146">
        <f>(D668*G668%)*1000</f>
        <v>2116.8000000000002</v>
      </c>
      <c r="I668" s="51">
        <f>D668+D669+D670</f>
        <v>23.5</v>
      </c>
      <c r="K668" s="2" t="s">
        <v>8</v>
      </c>
      <c r="L668" s="196">
        <f>M668/(M668+M669+M670)*100</f>
        <v>70.212765957446805</v>
      </c>
      <c r="M668" s="145">
        <v>16.5</v>
      </c>
      <c r="N668" s="82">
        <v>1.2</v>
      </c>
      <c r="O668" s="82">
        <f t="shared" ref="O668:O675" si="140">(M668*N668%)*1000</f>
        <v>198</v>
      </c>
      <c r="P668" s="82">
        <v>12.6</v>
      </c>
      <c r="Q668" s="146">
        <f t="shared" ref="Q668:Q675" si="141">(M668*P668%)*1000</f>
        <v>2079</v>
      </c>
      <c r="R668" s="51">
        <f>M668+M669+M670</f>
        <v>23.5</v>
      </c>
    </row>
    <row r="669" spans="2:18" x14ac:dyDescent="0.25">
      <c r="B669" s="4" t="s">
        <v>110</v>
      </c>
      <c r="C669" s="196">
        <f>D669/(D668+D669+D670+D671)*100</f>
        <v>0</v>
      </c>
      <c r="D669" s="147">
        <v>0</v>
      </c>
      <c r="E669" s="82">
        <v>0.7</v>
      </c>
      <c r="F669" s="82">
        <f t="shared" ref="F669:F675" si="142">(D669*E669%)*1000</f>
        <v>0</v>
      </c>
      <c r="G669" s="82">
        <v>0</v>
      </c>
      <c r="H669" s="82">
        <f t="shared" ref="H669:H675" si="143">(D669*G669%)*1000</f>
        <v>0</v>
      </c>
      <c r="I669" s="25"/>
      <c r="K669" s="4" t="s">
        <v>110</v>
      </c>
      <c r="L669" s="196">
        <f>M669/(M668+M669+M670+M671)*100</f>
        <v>0</v>
      </c>
      <c r="M669" s="147">
        <v>0</v>
      </c>
      <c r="N669" s="82">
        <v>0.7</v>
      </c>
      <c r="O669" s="82">
        <f t="shared" si="140"/>
        <v>0</v>
      </c>
      <c r="P669" s="82">
        <v>0</v>
      </c>
      <c r="Q669" s="82">
        <f t="shared" si="141"/>
        <v>0</v>
      </c>
      <c r="R669" s="25"/>
    </row>
    <row r="670" spans="2:18" x14ac:dyDescent="0.25">
      <c r="B670" s="2" t="s">
        <v>162</v>
      </c>
      <c r="C670" s="196">
        <f>D670/(D668+D669+D670)*100</f>
        <v>28.510638297872344</v>
      </c>
      <c r="D670" s="147">
        <v>6.7</v>
      </c>
      <c r="E670" s="82">
        <v>0.35</v>
      </c>
      <c r="F670" s="82">
        <f t="shared" si="142"/>
        <v>23.45</v>
      </c>
      <c r="G670" s="82">
        <v>2.2000000000000002</v>
      </c>
      <c r="H670" s="82">
        <f t="shared" si="143"/>
        <v>147.40000000000003</v>
      </c>
      <c r="I670" s="25"/>
      <c r="K670" s="2" t="s">
        <v>162</v>
      </c>
      <c r="L670" s="196">
        <f>M670/(M668+M669+M670)*100</f>
        <v>29.787234042553191</v>
      </c>
      <c r="M670" s="147">
        <v>7</v>
      </c>
      <c r="N670" s="82">
        <v>0.28999999999999998</v>
      </c>
      <c r="O670" s="82">
        <f t="shared" si="140"/>
        <v>20.299999999999997</v>
      </c>
      <c r="P670" s="82">
        <v>2.2000000000000002</v>
      </c>
      <c r="Q670" s="82">
        <f t="shared" si="141"/>
        <v>154.00000000000003</v>
      </c>
      <c r="R670" s="25"/>
    </row>
    <row r="671" spans="2:18" x14ac:dyDescent="0.25">
      <c r="B671" s="2" t="s">
        <v>176</v>
      </c>
      <c r="C671" s="35"/>
      <c r="D671" s="140">
        <v>0.32</v>
      </c>
      <c r="E671" s="82">
        <v>0</v>
      </c>
      <c r="F671" s="82">
        <f t="shared" si="142"/>
        <v>0</v>
      </c>
      <c r="G671" s="82">
        <v>30.2</v>
      </c>
      <c r="H671" s="5">
        <f t="shared" si="143"/>
        <v>96.64</v>
      </c>
      <c r="I671" s="25"/>
      <c r="K671" s="2" t="s">
        <v>176</v>
      </c>
      <c r="L671" s="35"/>
      <c r="M671" s="140">
        <v>0.35</v>
      </c>
      <c r="N671" s="82">
        <v>0</v>
      </c>
      <c r="O671" s="82">
        <f t="shared" si="140"/>
        <v>0</v>
      </c>
      <c r="P671" s="82">
        <v>30.2</v>
      </c>
      <c r="Q671" s="5">
        <f t="shared" si="141"/>
        <v>105.69999999999999</v>
      </c>
      <c r="R671" s="25"/>
    </row>
    <row r="672" spans="2:18" x14ac:dyDescent="0.25">
      <c r="B672" s="2" t="s">
        <v>17</v>
      </c>
      <c r="C672" s="35"/>
      <c r="D672" s="147">
        <v>7.6</v>
      </c>
      <c r="E672" s="82">
        <v>3.54</v>
      </c>
      <c r="F672" s="82">
        <f t="shared" si="142"/>
        <v>269.04000000000002</v>
      </c>
      <c r="G672" s="82">
        <v>28.5</v>
      </c>
      <c r="H672" s="82">
        <f t="shared" si="143"/>
        <v>2166</v>
      </c>
      <c r="I672" s="25"/>
      <c r="K672" s="2" t="s">
        <v>17</v>
      </c>
      <c r="L672" s="35"/>
      <c r="M672" s="147">
        <v>7.6</v>
      </c>
      <c r="N672" s="82">
        <v>3.57</v>
      </c>
      <c r="O672" s="82">
        <f t="shared" si="140"/>
        <v>271.31999999999994</v>
      </c>
      <c r="P672" s="82">
        <v>27.1</v>
      </c>
      <c r="Q672" s="82">
        <f t="shared" si="141"/>
        <v>2059.6</v>
      </c>
      <c r="R672" s="25"/>
    </row>
    <row r="673" spans="2:18" x14ac:dyDescent="0.25">
      <c r="B673" s="4" t="s">
        <v>21</v>
      </c>
      <c r="C673" s="41"/>
      <c r="D673" s="147">
        <v>1.8</v>
      </c>
      <c r="E673" s="82">
        <v>0</v>
      </c>
      <c r="F673" s="82">
        <f t="shared" si="142"/>
        <v>0</v>
      </c>
      <c r="G673" s="82">
        <v>85.3</v>
      </c>
      <c r="H673" s="82">
        <f t="shared" si="143"/>
        <v>1535.4</v>
      </c>
      <c r="I673" s="25"/>
      <c r="K673" s="4" t="s">
        <v>21</v>
      </c>
      <c r="L673" s="41"/>
      <c r="M673" s="147">
        <v>1.8</v>
      </c>
      <c r="N673" s="82">
        <v>0</v>
      </c>
      <c r="O673" s="82">
        <f t="shared" si="140"/>
        <v>0</v>
      </c>
      <c r="P673" s="82">
        <v>85.3</v>
      </c>
      <c r="Q673" s="82">
        <f t="shared" si="141"/>
        <v>1535.4</v>
      </c>
      <c r="R673" s="25"/>
    </row>
    <row r="674" spans="2:18" x14ac:dyDescent="0.25">
      <c r="B674" s="4" t="s">
        <v>174</v>
      </c>
      <c r="C674" s="41"/>
      <c r="D674" s="147">
        <v>0</v>
      </c>
      <c r="E674" s="82">
        <v>3.22</v>
      </c>
      <c r="F674" s="82">
        <f t="shared" si="142"/>
        <v>0</v>
      </c>
      <c r="G674" s="82">
        <v>42.8</v>
      </c>
      <c r="H674" s="82">
        <f t="shared" si="143"/>
        <v>0</v>
      </c>
      <c r="I674" s="25"/>
      <c r="K674" s="4" t="s">
        <v>174</v>
      </c>
      <c r="L674" s="41"/>
      <c r="M674" s="147">
        <v>0</v>
      </c>
      <c r="N674" s="82">
        <v>3.22</v>
      </c>
      <c r="O674" s="82">
        <f t="shared" si="140"/>
        <v>0</v>
      </c>
      <c r="P674" s="82">
        <v>42.8</v>
      </c>
      <c r="Q674" s="82">
        <f t="shared" si="141"/>
        <v>0</v>
      </c>
      <c r="R674" s="25"/>
    </row>
    <row r="675" spans="2:18" x14ac:dyDescent="0.25">
      <c r="B675" s="4" t="s">
        <v>23</v>
      </c>
      <c r="C675" s="41"/>
      <c r="D675" s="141">
        <v>0</v>
      </c>
      <c r="E675" s="13">
        <v>20.5</v>
      </c>
      <c r="F675" s="5">
        <f t="shared" si="142"/>
        <v>0</v>
      </c>
      <c r="G675" s="5">
        <v>0</v>
      </c>
      <c r="H675" s="5">
        <f t="shared" si="143"/>
        <v>0</v>
      </c>
      <c r="I675" s="25"/>
      <c r="K675" s="4" t="s">
        <v>23</v>
      </c>
      <c r="L675" s="41"/>
      <c r="M675" s="141">
        <v>0</v>
      </c>
      <c r="N675" s="13">
        <v>20.5</v>
      </c>
      <c r="O675" s="5">
        <f t="shared" si="140"/>
        <v>0</v>
      </c>
      <c r="P675" s="5">
        <v>0</v>
      </c>
      <c r="Q675" s="5">
        <f t="shared" si="141"/>
        <v>0</v>
      </c>
      <c r="R675" s="25"/>
    </row>
    <row r="676" spans="2:18" x14ac:dyDescent="0.25">
      <c r="B676" s="9" t="s">
        <v>26</v>
      </c>
      <c r="C676" s="42"/>
      <c r="D676" s="143">
        <f>SUM(D668:D675)</f>
        <v>33.22</v>
      </c>
      <c r="E676" s="9"/>
      <c r="F676" s="11">
        <f>SUM(F668:F675)</f>
        <v>494.09000000000003</v>
      </c>
      <c r="G676" s="9"/>
      <c r="H676" s="11">
        <f>SUM(H668:H675)</f>
        <v>6062.24</v>
      </c>
      <c r="I676" s="189" t="s">
        <v>6</v>
      </c>
      <c r="K676" s="9" t="s">
        <v>26</v>
      </c>
      <c r="L676" s="42"/>
      <c r="M676" s="143">
        <f>SUM(M668:M675)</f>
        <v>33.25</v>
      </c>
      <c r="N676" s="9"/>
      <c r="O676" s="11">
        <f>SUM(O668:O675)</f>
        <v>489.61999999999995</v>
      </c>
      <c r="P676" s="9"/>
      <c r="Q676" s="11">
        <f>SUM(Q668:Q675)</f>
        <v>5933.6999999999989</v>
      </c>
      <c r="R676" s="189" t="s">
        <v>6</v>
      </c>
    </row>
    <row r="677" spans="2:18" x14ac:dyDescent="0.25">
      <c r="B677" s="190"/>
      <c r="C677" s="191"/>
      <c r="D677" s="191"/>
      <c r="E677" s="192"/>
      <c r="F677" s="8">
        <f>F676/D676/10</f>
        <v>1.487326911499097</v>
      </c>
      <c r="G677" s="12"/>
      <c r="H677" s="8">
        <f>H676/D676/10</f>
        <v>18.248765803732692</v>
      </c>
      <c r="I677" s="11">
        <f>((100-H677)*0.5)/F677</f>
        <v>27.48260438381671</v>
      </c>
      <c r="K677" s="230"/>
      <c r="L677" s="231"/>
      <c r="M677" s="231"/>
      <c r="N677" s="232"/>
      <c r="O677" s="8">
        <f>O676/M676/10</f>
        <v>1.4725413533834586</v>
      </c>
      <c r="P677" s="12"/>
      <c r="Q677" s="8">
        <f>Q676/M676/10</f>
        <v>17.845714285714283</v>
      </c>
      <c r="R677" s="11">
        <f>((100-Q677)*0.5)/O677</f>
        <v>27.895408684285776</v>
      </c>
    </row>
    <row r="680" spans="2:18" x14ac:dyDescent="0.25">
      <c r="B680" s="224" t="s">
        <v>183</v>
      </c>
      <c r="C680" s="225"/>
      <c r="D680" s="225"/>
      <c r="E680" s="225"/>
      <c r="F680" s="225"/>
      <c r="G680" s="225"/>
      <c r="H680" s="225"/>
      <c r="I680" s="226"/>
      <c r="K680" s="224" t="s">
        <v>184</v>
      </c>
      <c r="L680" s="225"/>
      <c r="M680" s="225"/>
      <c r="N680" s="225"/>
      <c r="O680" s="225"/>
      <c r="P680" s="225"/>
      <c r="Q680" s="225"/>
      <c r="R680" s="226"/>
    </row>
    <row r="681" spans="2:18" x14ac:dyDescent="0.25">
      <c r="B681" s="217" t="s">
        <v>0</v>
      </c>
      <c r="C681" s="227" t="s">
        <v>1</v>
      </c>
      <c r="D681" s="217" t="s">
        <v>47</v>
      </c>
      <c r="E681" s="221" t="s">
        <v>46</v>
      </c>
      <c r="F681" s="222"/>
      <c r="G681" s="222"/>
      <c r="H681" s="223"/>
      <c r="I681" s="229" t="s">
        <v>102</v>
      </c>
      <c r="K681" s="217" t="s">
        <v>0</v>
      </c>
      <c r="L681" s="227" t="s">
        <v>1</v>
      </c>
      <c r="M681" s="217" t="s">
        <v>47</v>
      </c>
      <c r="N681" s="221" t="s">
        <v>46</v>
      </c>
      <c r="O681" s="222"/>
      <c r="P681" s="222"/>
      <c r="Q681" s="223"/>
      <c r="R681" s="229" t="s">
        <v>102</v>
      </c>
    </row>
    <row r="682" spans="2:18" x14ac:dyDescent="0.25">
      <c r="B682" s="218"/>
      <c r="C682" s="228"/>
      <c r="D682" s="218"/>
      <c r="E682" s="2" t="s">
        <v>42</v>
      </c>
      <c r="F682" s="2" t="s">
        <v>43</v>
      </c>
      <c r="G682" s="2" t="s">
        <v>44</v>
      </c>
      <c r="H682" s="2" t="s">
        <v>45</v>
      </c>
      <c r="I682" s="229"/>
      <c r="K682" s="218"/>
      <c r="L682" s="228"/>
      <c r="M682" s="218"/>
      <c r="N682" s="2" t="s">
        <v>42</v>
      </c>
      <c r="O682" s="2" t="s">
        <v>43</v>
      </c>
      <c r="P682" s="2" t="s">
        <v>44</v>
      </c>
      <c r="Q682" s="2" t="s">
        <v>45</v>
      </c>
      <c r="R682" s="229"/>
    </row>
    <row r="683" spans="2:18" x14ac:dyDescent="0.25">
      <c r="B683" s="2" t="s">
        <v>8</v>
      </c>
      <c r="C683" s="196">
        <f>D683/(D683+D684+D685)*100</f>
        <v>72.314049586776861</v>
      </c>
      <c r="D683" s="145">
        <v>17.5</v>
      </c>
      <c r="E683" s="82">
        <v>1.2</v>
      </c>
      <c r="F683" s="82">
        <f t="shared" ref="F683:F689" si="144">(D683*E683%)*1000</f>
        <v>210</v>
      </c>
      <c r="G683" s="82">
        <v>12.6</v>
      </c>
      <c r="H683" s="146">
        <f t="shared" ref="H683:H689" si="145">(D683*G683%)*1000</f>
        <v>2205</v>
      </c>
      <c r="I683" s="51">
        <f>D683+D684+D685</f>
        <v>24.2</v>
      </c>
      <c r="K683" s="2" t="s">
        <v>8</v>
      </c>
      <c r="L683" s="196">
        <f>M683/(M683+M685)*100</f>
        <v>70.212765957446805</v>
      </c>
      <c r="M683" s="145">
        <v>16.5</v>
      </c>
      <c r="N683" s="82">
        <v>1.22</v>
      </c>
      <c r="O683" s="82">
        <f t="shared" ref="O683:O689" si="146">(M683*N683%)*1000</f>
        <v>201.29999999999998</v>
      </c>
      <c r="P683" s="82">
        <v>12.8</v>
      </c>
      <c r="Q683" s="146">
        <f t="shared" ref="Q683:Q689" si="147">(M683*P683%)*1000</f>
        <v>2112</v>
      </c>
      <c r="R683" s="51">
        <f>M683+M684+M685</f>
        <v>23.5</v>
      </c>
    </row>
    <row r="684" spans="2:18" x14ac:dyDescent="0.25">
      <c r="B684" s="4" t="s">
        <v>110</v>
      </c>
      <c r="C684" s="35">
        <f>D684/(D683+D684+D685+D686)*100</f>
        <v>0</v>
      </c>
      <c r="D684" s="147">
        <v>0</v>
      </c>
      <c r="E684" s="82">
        <v>0.7</v>
      </c>
      <c r="F684" s="82">
        <f t="shared" si="144"/>
        <v>0</v>
      </c>
      <c r="G684" s="82">
        <v>0</v>
      </c>
      <c r="H684" s="82">
        <f t="shared" si="145"/>
        <v>0</v>
      </c>
      <c r="I684" s="25"/>
      <c r="K684" s="4" t="s">
        <v>110</v>
      </c>
      <c r="L684" s="35">
        <f>M684/(M683+M684+M685+M686)*100</f>
        <v>0</v>
      </c>
      <c r="M684" s="147">
        <v>0</v>
      </c>
      <c r="N684" s="82">
        <v>0.7</v>
      </c>
      <c r="O684" s="82">
        <f t="shared" si="146"/>
        <v>0</v>
      </c>
      <c r="P684" s="82">
        <v>0</v>
      </c>
      <c r="Q684" s="82">
        <f t="shared" si="147"/>
        <v>0</v>
      </c>
      <c r="R684" s="25"/>
    </row>
    <row r="685" spans="2:18" x14ac:dyDescent="0.25">
      <c r="B685" s="2" t="s">
        <v>162</v>
      </c>
      <c r="C685" s="196">
        <f>D685/(D683+D684+D685)*100</f>
        <v>27.685950413223143</v>
      </c>
      <c r="D685" s="147">
        <v>6.7</v>
      </c>
      <c r="E685" s="82">
        <v>0.28999999999999998</v>
      </c>
      <c r="F685" s="82">
        <f t="shared" si="144"/>
        <v>19.43</v>
      </c>
      <c r="G685" s="82">
        <v>2.2000000000000002</v>
      </c>
      <c r="H685" s="82">
        <f t="shared" si="145"/>
        <v>147.40000000000003</v>
      </c>
      <c r="I685" s="25"/>
      <c r="K685" s="2" t="s">
        <v>162</v>
      </c>
      <c r="L685" s="196">
        <f>M685/(M683+M685)*100</f>
        <v>29.787234042553191</v>
      </c>
      <c r="M685" s="147">
        <v>7</v>
      </c>
      <c r="N685" s="82">
        <v>0.35</v>
      </c>
      <c r="O685" s="82">
        <f t="shared" si="146"/>
        <v>24.499999999999996</v>
      </c>
      <c r="P685" s="82">
        <v>2.2999999999999998</v>
      </c>
      <c r="Q685" s="82">
        <f t="shared" si="147"/>
        <v>161</v>
      </c>
      <c r="R685" s="25"/>
    </row>
    <row r="686" spans="2:18" x14ac:dyDescent="0.25">
      <c r="B686" s="2" t="s">
        <v>176</v>
      </c>
      <c r="C686" s="35"/>
      <c r="D686" s="140">
        <v>0</v>
      </c>
      <c r="E686" s="82">
        <v>0</v>
      </c>
      <c r="F686" s="82">
        <f t="shared" si="144"/>
        <v>0</v>
      </c>
      <c r="G686" s="82">
        <v>30.2</v>
      </c>
      <c r="H686" s="5">
        <f t="shared" si="145"/>
        <v>0</v>
      </c>
      <c r="I686" s="25"/>
      <c r="K686" s="2" t="s">
        <v>176</v>
      </c>
      <c r="L686" s="35"/>
      <c r="M686" s="140">
        <v>0</v>
      </c>
      <c r="N686" s="82">
        <v>0</v>
      </c>
      <c r="O686" s="82">
        <f t="shared" si="146"/>
        <v>0</v>
      </c>
      <c r="P686" s="82">
        <v>30.2</v>
      </c>
      <c r="Q686" s="5">
        <f t="shared" si="147"/>
        <v>0</v>
      </c>
      <c r="R686" s="25"/>
    </row>
    <row r="687" spans="2:18" x14ac:dyDescent="0.25">
      <c r="B687" s="2" t="s">
        <v>17</v>
      </c>
      <c r="C687" s="35"/>
      <c r="D687" s="147">
        <v>7.5</v>
      </c>
      <c r="E687" s="82">
        <v>3.5</v>
      </c>
      <c r="F687" s="82">
        <f t="shared" si="144"/>
        <v>262.5</v>
      </c>
      <c r="G687" s="82">
        <v>27.5</v>
      </c>
      <c r="H687" s="82">
        <f t="shared" si="145"/>
        <v>2062.5</v>
      </c>
      <c r="I687" s="25"/>
      <c r="K687" s="2" t="s">
        <v>17</v>
      </c>
      <c r="L687" s="35"/>
      <c r="M687" s="147">
        <v>7</v>
      </c>
      <c r="N687" s="82">
        <v>3.57</v>
      </c>
      <c r="O687" s="82">
        <f t="shared" si="146"/>
        <v>249.89999999999995</v>
      </c>
      <c r="P687" s="82">
        <v>28.7</v>
      </c>
      <c r="Q687" s="82">
        <f t="shared" si="147"/>
        <v>2009</v>
      </c>
      <c r="R687" s="25"/>
    </row>
    <row r="688" spans="2:18" x14ac:dyDescent="0.25">
      <c r="B688" s="4" t="s">
        <v>21</v>
      </c>
      <c r="C688" s="41"/>
      <c r="D688" s="147">
        <v>1.8</v>
      </c>
      <c r="E688" s="82">
        <v>0</v>
      </c>
      <c r="F688" s="82">
        <f t="shared" si="144"/>
        <v>0</v>
      </c>
      <c r="G688" s="82">
        <v>85.3</v>
      </c>
      <c r="H688" s="82">
        <f t="shared" si="145"/>
        <v>1535.4</v>
      </c>
      <c r="I688" s="25"/>
      <c r="K688" s="4" t="s">
        <v>21</v>
      </c>
      <c r="L688" s="41"/>
      <c r="M688" s="147">
        <v>1.8</v>
      </c>
      <c r="N688" s="82">
        <v>0</v>
      </c>
      <c r="O688" s="82">
        <f t="shared" si="146"/>
        <v>0</v>
      </c>
      <c r="P688" s="82">
        <v>85</v>
      </c>
      <c r="Q688" s="82">
        <f t="shared" si="147"/>
        <v>1530</v>
      </c>
      <c r="R688" s="25"/>
    </row>
    <row r="689" spans="2:18" x14ac:dyDescent="0.25">
      <c r="B689" s="4" t="s">
        <v>23</v>
      </c>
      <c r="C689" s="41"/>
      <c r="D689" s="141">
        <v>0</v>
      </c>
      <c r="E689" s="13">
        <v>20.5</v>
      </c>
      <c r="F689" s="5">
        <f t="shared" si="144"/>
        <v>0</v>
      </c>
      <c r="G689" s="5">
        <v>0</v>
      </c>
      <c r="H689" s="5">
        <f t="shared" si="145"/>
        <v>0</v>
      </c>
      <c r="I689" s="25"/>
      <c r="K689" s="4" t="s">
        <v>23</v>
      </c>
      <c r="L689" s="41"/>
      <c r="M689" s="141">
        <v>0</v>
      </c>
      <c r="N689" s="13">
        <v>20.5</v>
      </c>
      <c r="O689" s="5">
        <f t="shared" si="146"/>
        <v>0</v>
      </c>
      <c r="P689" s="5">
        <v>0</v>
      </c>
      <c r="Q689" s="5">
        <f t="shared" si="147"/>
        <v>0</v>
      </c>
      <c r="R689" s="25"/>
    </row>
    <row r="690" spans="2:18" x14ac:dyDescent="0.25">
      <c r="B690" s="9" t="s">
        <v>26</v>
      </c>
      <c r="C690" s="42"/>
      <c r="D690" s="143">
        <f>SUM(D683:D689)</f>
        <v>33.5</v>
      </c>
      <c r="E690" s="9"/>
      <c r="F690" s="11">
        <f>SUM(F683:F689)</f>
        <v>491.93</v>
      </c>
      <c r="G690" s="9"/>
      <c r="H690" s="11">
        <f>SUM(H683:H689)</f>
        <v>5950.2999999999993</v>
      </c>
      <c r="I690" s="189" t="s">
        <v>6</v>
      </c>
      <c r="K690" s="9" t="s">
        <v>26</v>
      </c>
      <c r="L690" s="42"/>
      <c r="M690" s="143">
        <f>SUM(M683:M689)</f>
        <v>32.299999999999997</v>
      </c>
      <c r="N690" s="9"/>
      <c r="O690" s="11">
        <f>SUM(O683:O689)</f>
        <v>475.69999999999993</v>
      </c>
      <c r="P690" s="9"/>
      <c r="Q690" s="11">
        <f>SUM(Q683:Q689)</f>
        <v>5812</v>
      </c>
      <c r="R690" s="197" t="s">
        <v>6</v>
      </c>
    </row>
    <row r="691" spans="2:18" x14ac:dyDescent="0.25">
      <c r="B691" s="230"/>
      <c r="C691" s="231"/>
      <c r="D691" s="231"/>
      <c r="E691" s="232"/>
      <c r="F691" s="8">
        <f>F690/D690/10</f>
        <v>1.4684477611940299</v>
      </c>
      <c r="G691" s="12"/>
      <c r="H691" s="8">
        <f>H690/D690/10</f>
        <v>17.762089552238802</v>
      </c>
      <c r="I691" s="11">
        <f>((100-H691)*0.5)/F691</f>
        <v>28.00164657573232</v>
      </c>
      <c r="K691" s="230"/>
      <c r="L691" s="231"/>
      <c r="M691" s="231"/>
      <c r="N691" s="232"/>
      <c r="O691" s="8">
        <f>O690/M690/10</f>
        <v>1.4727554179566562</v>
      </c>
      <c r="P691" s="12"/>
      <c r="Q691" s="8">
        <f>Q690/M690/10</f>
        <v>17.993808049535605</v>
      </c>
      <c r="R691" s="11">
        <f>((100-Q691)*0.5)/O691</f>
        <v>27.841076308597859</v>
      </c>
    </row>
    <row r="693" spans="2:18" x14ac:dyDescent="0.25">
      <c r="K693" s="206"/>
    </row>
    <row r="694" spans="2:18" x14ac:dyDescent="0.25">
      <c r="C694" s="34"/>
      <c r="D694" s="61"/>
    </row>
    <row r="695" spans="2:18" x14ac:dyDescent="0.25">
      <c r="B695" s="224" t="s">
        <v>185</v>
      </c>
      <c r="C695" s="225"/>
      <c r="D695" s="225"/>
      <c r="E695" s="225"/>
      <c r="F695" s="225"/>
      <c r="G695" s="225"/>
      <c r="H695" s="225"/>
      <c r="I695" s="226"/>
      <c r="K695" s="224" t="s">
        <v>195</v>
      </c>
      <c r="L695" s="225"/>
      <c r="M695" s="225"/>
      <c r="N695" s="225"/>
      <c r="O695" s="225"/>
      <c r="P695" s="225"/>
      <c r="Q695" s="225"/>
      <c r="R695" s="226"/>
    </row>
    <row r="696" spans="2:18" x14ac:dyDescent="0.25">
      <c r="B696" s="217" t="s">
        <v>0</v>
      </c>
      <c r="C696" s="227" t="s">
        <v>1</v>
      </c>
      <c r="D696" s="217" t="s">
        <v>47</v>
      </c>
      <c r="E696" s="221" t="s">
        <v>46</v>
      </c>
      <c r="F696" s="222"/>
      <c r="G696" s="222"/>
      <c r="H696" s="223"/>
      <c r="I696" s="229" t="s">
        <v>102</v>
      </c>
      <c r="K696" s="217" t="s">
        <v>0</v>
      </c>
      <c r="L696" s="227" t="s">
        <v>1</v>
      </c>
      <c r="M696" s="217" t="s">
        <v>47</v>
      </c>
      <c r="N696" s="221" t="s">
        <v>46</v>
      </c>
      <c r="O696" s="222"/>
      <c r="P696" s="222"/>
      <c r="Q696" s="223"/>
      <c r="R696" s="229" t="s">
        <v>102</v>
      </c>
    </row>
    <row r="697" spans="2:18" x14ac:dyDescent="0.25">
      <c r="B697" s="218"/>
      <c r="C697" s="228"/>
      <c r="D697" s="218"/>
      <c r="E697" s="2" t="s">
        <v>42</v>
      </c>
      <c r="F697" s="2" t="s">
        <v>43</v>
      </c>
      <c r="G697" s="2" t="s">
        <v>44</v>
      </c>
      <c r="H697" s="2" t="s">
        <v>45</v>
      </c>
      <c r="I697" s="229"/>
      <c r="K697" s="218"/>
      <c r="L697" s="228"/>
      <c r="M697" s="218"/>
      <c r="N697" s="2" t="s">
        <v>42</v>
      </c>
      <c r="O697" s="2" t="s">
        <v>43</v>
      </c>
      <c r="P697" s="2" t="s">
        <v>44</v>
      </c>
      <c r="Q697" s="2" t="s">
        <v>45</v>
      </c>
      <c r="R697" s="229"/>
    </row>
    <row r="698" spans="2:18" x14ac:dyDescent="0.25">
      <c r="B698" s="2" t="s">
        <v>190</v>
      </c>
      <c r="C698" s="196">
        <f>D698/(D698+D699+D700)*100</f>
        <v>70.212765957446805</v>
      </c>
      <c r="D698" s="145">
        <v>16.5</v>
      </c>
      <c r="E698" s="82">
        <v>1.2</v>
      </c>
      <c r="F698" s="82">
        <f t="shared" ref="F698:F704" si="148">(D698*E698%)*1000</f>
        <v>198</v>
      </c>
      <c r="G698" s="82">
        <v>12.6</v>
      </c>
      <c r="H698" s="146">
        <f t="shared" ref="H698:H704" si="149">(D698*G698%)*1000</f>
        <v>2079</v>
      </c>
      <c r="I698" s="51">
        <f>D698+D699+D700</f>
        <v>23.5</v>
      </c>
      <c r="K698" s="2" t="s">
        <v>186</v>
      </c>
      <c r="L698" s="196">
        <f>M698/(M698+M699+M700)*100</f>
        <v>70.212765957446805</v>
      </c>
      <c r="M698" s="145">
        <v>16.5</v>
      </c>
      <c r="N698" s="82">
        <v>0.84</v>
      </c>
      <c r="O698" s="82">
        <f t="shared" ref="O698:O704" si="150">(M698*N698%)*1000</f>
        <v>138.6</v>
      </c>
      <c r="P698" s="82">
        <v>15.5</v>
      </c>
      <c r="Q698" s="146">
        <f t="shared" ref="Q698:Q704" si="151">(M698*P698%)*1000</f>
        <v>2557.5</v>
      </c>
      <c r="R698" s="51">
        <f>M698+M699+M700</f>
        <v>23.5</v>
      </c>
    </row>
    <row r="699" spans="2:18" x14ac:dyDescent="0.25">
      <c r="B699" s="4" t="s">
        <v>110</v>
      </c>
      <c r="C699" s="35">
        <f>D699/(D698+D699+D700+D701)*100</f>
        <v>0</v>
      </c>
      <c r="D699" s="147">
        <v>0</v>
      </c>
      <c r="E699" s="82">
        <v>0.7</v>
      </c>
      <c r="F699" s="82">
        <f t="shared" si="148"/>
        <v>0</v>
      </c>
      <c r="G699" s="82">
        <v>0</v>
      </c>
      <c r="H699" s="82">
        <f t="shared" si="149"/>
        <v>0</v>
      </c>
      <c r="I699" s="25"/>
      <c r="K699" s="4" t="s">
        <v>110</v>
      </c>
      <c r="L699" s="35">
        <f>M699/(M698+M699+M700+M701)*100</f>
        <v>0</v>
      </c>
      <c r="M699" s="147">
        <v>0</v>
      </c>
      <c r="N699" s="82">
        <v>0.7</v>
      </c>
      <c r="O699" s="82">
        <f t="shared" si="150"/>
        <v>0</v>
      </c>
      <c r="P699" s="82">
        <v>0</v>
      </c>
      <c r="Q699" s="82">
        <f t="shared" si="151"/>
        <v>0</v>
      </c>
      <c r="R699" s="25"/>
    </row>
    <row r="700" spans="2:18" x14ac:dyDescent="0.25">
      <c r="B700" s="2" t="s">
        <v>162</v>
      </c>
      <c r="C700" s="196">
        <f>D700/(D698+D699+D700)*100</f>
        <v>29.787234042553191</v>
      </c>
      <c r="D700" s="147">
        <v>7</v>
      </c>
      <c r="E700" s="82">
        <v>0.35</v>
      </c>
      <c r="F700" s="82">
        <f t="shared" si="148"/>
        <v>24.499999999999996</v>
      </c>
      <c r="G700" s="82">
        <v>2.2999999999999998</v>
      </c>
      <c r="H700" s="82">
        <f t="shared" si="149"/>
        <v>161</v>
      </c>
      <c r="I700" s="25"/>
      <c r="K700" s="2" t="s">
        <v>162</v>
      </c>
      <c r="L700" s="196">
        <f>M700/(M698+M699+M700)*100</f>
        <v>29.787234042553191</v>
      </c>
      <c r="M700" s="147">
        <v>7</v>
      </c>
      <c r="N700" s="82">
        <v>0.35</v>
      </c>
      <c r="O700" s="82">
        <f t="shared" si="150"/>
        <v>24.499999999999996</v>
      </c>
      <c r="P700" s="82">
        <v>2.2999999999999998</v>
      </c>
      <c r="Q700" s="82">
        <f t="shared" si="151"/>
        <v>161</v>
      </c>
      <c r="R700" s="25"/>
    </row>
    <row r="701" spans="2:18" x14ac:dyDescent="0.25">
      <c r="B701" s="2" t="s">
        <v>176</v>
      </c>
      <c r="C701" s="35"/>
      <c r="D701" s="140">
        <v>0</v>
      </c>
      <c r="E701" s="82">
        <v>0</v>
      </c>
      <c r="F701" s="82">
        <f t="shared" si="148"/>
        <v>0</v>
      </c>
      <c r="G701" s="82">
        <v>30.2</v>
      </c>
      <c r="H701" s="5">
        <f t="shared" si="149"/>
        <v>0</v>
      </c>
      <c r="I701" s="25"/>
      <c r="K701" s="2" t="s">
        <v>176</v>
      </c>
      <c r="L701" s="35"/>
      <c r="M701" s="140">
        <v>0</v>
      </c>
      <c r="N701" s="82">
        <v>0</v>
      </c>
      <c r="O701" s="82">
        <f t="shared" si="150"/>
        <v>0</v>
      </c>
      <c r="P701" s="82">
        <v>30.2</v>
      </c>
      <c r="Q701" s="5">
        <f t="shared" si="151"/>
        <v>0</v>
      </c>
      <c r="R701" s="25"/>
    </row>
    <row r="702" spans="2:18" x14ac:dyDescent="0.25">
      <c r="B702" s="2" t="s">
        <v>17</v>
      </c>
      <c r="C702" s="35"/>
      <c r="D702" s="147">
        <v>7</v>
      </c>
      <c r="E702" s="82">
        <v>3.64</v>
      </c>
      <c r="F702" s="82">
        <f t="shared" si="148"/>
        <v>254.80000000000004</v>
      </c>
      <c r="G702" s="82">
        <v>28.9</v>
      </c>
      <c r="H702" s="82">
        <f t="shared" si="149"/>
        <v>2022.9999999999998</v>
      </c>
      <c r="I702" s="25"/>
      <c r="K702" s="2" t="s">
        <v>17</v>
      </c>
      <c r="L702" s="35"/>
      <c r="M702" s="147">
        <v>7.8</v>
      </c>
      <c r="N702" s="82">
        <v>3.64</v>
      </c>
      <c r="O702" s="82">
        <f t="shared" si="150"/>
        <v>283.92</v>
      </c>
      <c r="P702" s="82">
        <v>27.2</v>
      </c>
      <c r="Q702" s="82">
        <f t="shared" si="151"/>
        <v>2121.6</v>
      </c>
      <c r="R702" s="25"/>
    </row>
    <row r="703" spans="2:18" x14ac:dyDescent="0.25">
      <c r="B703" s="4" t="s">
        <v>21</v>
      </c>
      <c r="C703" s="41"/>
      <c r="D703" s="147">
        <v>1.8</v>
      </c>
      <c r="E703" s="82">
        <v>0</v>
      </c>
      <c r="F703" s="82">
        <f t="shared" si="148"/>
        <v>0</v>
      </c>
      <c r="G703" s="82">
        <v>85.3</v>
      </c>
      <c r="H703" s="82">
        <f t="shared" si="149"/>
        <v>1535.4</v>
      </c>
      <c r="I703" s="25"/>
      <c r="K703" s="4" t="s">
        <v>21</v>
      </c>
      <c r="L703" s="41"/>
      <c r="M703" s="147">
        <v>1.8</v>
      </c>
      <c r="N703" s="82">
        <v>0</v>
      </c>
      <c r="O703" s="82">
        <f t="shared" si="150"/>
        <v>0</v>
      </c>
      <c r="P703" s="82">
        <v>85.3</v>
      </c>
      <c r="Q703" s="82">
        <f t="shared" si="151"/>
        <v>1535.4</v>
      </c>
      <c r="R703" s="25"/>
    </row>
    <row r="704" spans="2:18" x14ac:dyDescent="0.25">
      <c r="B704" s="4" t="s">
        <v>23</v>
      </c>
      <c r="C704" s="41"/>
      <c r="D704" s="141">
        <v>0</v>
      </c>
      <c r="E704" s="13">
        <v>20.5</v>
      </c>
      <c r="F704" s="5">
        <f t="shared" si="148"/>
        <v>0</v>
      </c>
      <c r="G704" s="5">
        <v>0</v>
      </c>
      <c r="H704" s="5">
        <f t="shared" si="149"/>
        <v>0</v>
      </c>
      <c r="I704" s="25"/>
      <c r="K704" s="4" t="s">
        <v>23</v>
      </c>
      <c r="L704" s="41"/>
      <c r="M704" s="141">
        <v>0.1</v>
      </c>
      <c r="N704" s="13">
        <v>20.5</v>
      </c>
      <c r="O704" s="5">
        <f t="shared" si="150"/>
        <v>20.5</v>
      </c>
      <c r="P704" s="5">
        <v>0</v>
      </c>
      <c r="Q704" s="5">
        <f t="shared" si="151"/>
        <v>0</v>
      </c>
      <c r="R704" s="25"/>
    </row>
    <row r="705" spans="2:18" x14ac:dyDescent="0.25">
      <c r="B705" s="9" t="s">
        <v>26</v>
      </c>
      <c r="C705" s="42"/>
      <c r="D705" s="143">
        <f>SUM(D698:D704)</f>
        <v>32.299999999999997</v>
      </c>
      <c r="E705" s="9"/>
      <c r="F705" s="11">
        <f>SUM(F698:F704)</f>
        <v>477.30000000000007</v>
      </c>
      <c r="G705" s="9"/>
      <c r="H705" s="11">
        <f>SUM(H698:H704)</f>
        <v>5798.4</v>
      </c>
      <c r="I705" s="198" t="s">
        <v>6</v>
      </c>
      <c r="K705" s="9" t="s">
        <v>26</v>
      </c>
      <c r="L705" s="42"/>
      <c r="M705" s="143">
        <f>SUM(M698:M704)</f>
        <v>33.200000000000003</v>
      </c>
      <c r="N705" s="9"/>
      <c r="O705" s="11">
        <f>SUM(O698:O704)</f>
        <v>467.52</v>
      </c>
      <c r="P705" s="9"/>
      <c r="Q705" s="11">
        <f>SUM(Q698:Q704)</f>
        <v>6375.5</v>
      </c>
      <c r="R705" s="199" t="s">
        <v>6</v>
      </c>
    </row>
    <row r="706" spans="2:18" x14ac:dyDescent="0.25">
      <c r="B706" s="230"/>
      <c r="C706" s="231"/>
      <c r="D706" s="231"/>
      <c r="E706" s="232"/>
      <c r="F706" s="8">
        <f>F705/D705/10</f>
        <v>1.4777089783281736</v>
      </c>
      <c r="G706" s="12"/>
      <c r="H706" s="8">
        <f>H705/D705/10</f>
        <v>17.951702786377709</v>
      </c>
      <c r="I706" s="11">
        <f>((100-H706)*0.5)/F706</f>
        <v>27.761994552692222</v>
      </c>
      <c r="K706" s="230"/>
      <c r="L706" s="231"/>
      <c r="M706" s="231"/>
      <c r="N706" s="232"/>
      <c r="O706" s="8">
        <f>O705/M705/10</f>
        <v>1.4081927710843372</v>
      </c>
      <c r="P706" s="12"/>
      <c r="Q706" s="8">
        <f>Q705/M705/10</f>
        <v>19.203313253012048</v>
      </c>
      <c r="R706" s="11">
        <f>((100-Q706)*0.5)/O706</f>
        <v>28.688077515400412</v>
      </c>
    </row>
    <row r="707" spans="2:18" x14ac:dyDescent="0.25">
      <c r="C707" s="34"/>
      <c r="D707" s="61"/>
    </row>
    <row r="709" spans="2:18" x14ac:dyDescent="0.25">
      <c r="B709" s="224" t="s">
        <v>187</v>
      </c>
      <c r="C709" s="225"/>
      <c r="D709" s="225"/>
      <c r="E709" s="225"/>
      <c r="F709" s="225"/>
      <c r="G709" s="225"/>
      <c r="H709" s="225"/>
      <c r="I709" s="226"/>
      <c r="K709" s="224" t="s">
        <v>194</v>
      </c>
      <c r="L709" s="225"/>
      <c r="M709" s="225"/>
      <c r="N709" s="225"/>
      <c r="O709" s="225"/>
      <c r="P709" s="225"/>
      <c r="Q709" s="225"/>
      <c r="R709" s="226"/>
    </row>
    <row r="710" spans="2:18" x14ac:dyDescent="0.25">
      <c r="B710" s="217" t="s">
        <v>0</v>
      </c>
      <c r="C710" s="227" t="s">
        <v>1</v>
      </c>
      <c r="D710" s="217" t="s">
        <v>47</v>
      </c>
      <c r="E710" s="221" t="s">
        <v>46</v>
      </c>
      <c r="F710" s="222"/>
      <c r="G710" s="222"/>
      <c r="H710" s="223"/>
      <c r="I710" s="229" t="s">
        <v>102</v>
      </c>
      <c r="K710" s="217" t="s">
        <v>0</v>
      </c>
      <c r="L710" s="227" t="s">
        <v>1</v>
      </c>
      <c r="M710" s="217" t="s">
        <v>47</v>
      </c>
      <c r="N710" s="221" t="s">
        <v>46</v>
      </c>
      <c r="O710" s="222"/>
      <c r="P710" s="222"/>
      <c r="Q710" s="223"/>
      <c r="R710" s="229" t="s">
        <v>102</v>
      </c>
    </row>
    <row r="711" spans="2:18" x14ac:dyDescent="0.25">
      <c r="B711" s="218"/>
      <c r="C711" s="228"/>
      <c r="D711" s="218"/>
      <c r="E711" s="2" t="s">
        <v>42</v>
      </c>
      <c r="F711" s="2" t="s">
        <v>43</v>
      </c>
      <c r="G711" s="2" t="s">
        <v>44</v>
      </c>
      <c r="H711" s="2" t="s">
        <v>45</v>
      </c>
      <c r="I711" s="229"/>
      <c r="K711" s="218"/>
      <c r="L711" s="228"/>
      <c r="M711" s="218"/>
      <c r="N711" s="2" t="s">
        <v>42</v>
      </c>
      <c r="O711" s="2" t="s">
        <v>43</v>
      </c>
      <c r="P711" s="2" t="s">
        <v>44</v>
      </c>
      <c r="Q711" s="2" t="s">
        <v>45</v>
      </c>
      <c r="R711" s="229"/>
    </row>
    <row r="712" spans="2:18" x14ac:dyDescent="0.25">
      <c r="B712" s="2" t="s">
        <v>190</v>
      </c>
      <c r="C712" s="196">
        <f>D712/(D712+D713+D714)*100</f>
        <v>71.299712997129973</v>
      </c>
      <c r="D712" s="145">
        <f>16.5+0.89</f>
        <v>17.39</v>
      </c>
      <c r="E712" s="82">
        <v>1.2</v>
      </c>
      <c r="F712" s="82">
        <f t="shared" ref="F712:F718" si="152">(D712*E712%)*1000</f>
        <v>208.68</v>
      </c>
      <c r="G712" s="82">
        <v>13.2</v>
      </c>
      <c r="H712" s="146">
        <f t="shared" ref="H712:H718" si="153">(D712*G712%)*1000</f>
        <v>2295.48</v>
      </c>
      <c r="I712" s="51">
        <f>D712+D713+D714</f>
        <v>24.39</v>
      </c>
      <c r="K712" s="2" t="s">
        <v>186</v>
      </c>
      <c r="L712" s="196">
        <f>M712/(M712+M713+M714)*100</f>
        <v>76.92307692307692</v>
      </c>
      <c r="M712" s="145">
        <v>16</v>
      </c>
      <c r="N712" s="82">
        <v>1</v>
      </c>
      <c r="O712" s="82">
        <f t="shared" ref="O712:O718" si="154">(M712*N712%)*1000</f>
        <v>160</v>
      </c>
      <c r="P712" s="82">
        <v>13.4</v>
      </c>
      <c r="Q712" s="146">
        <f t="shared" ref="Q712:Q718" si="155">(M712*P712%)*1000</f>
        <v>2144</v>
      </c>
      <c r="R712" s="51">
        <f>M712+M713+M714</f>
        <v>20.8</v>
      </c>
    </row>
    <row r="713" spans="2:18" x14ac:dyDescent="0.25">
      <c r="B713" s="4" t="s">
        <v>110</v>
      </c>
      <c r="C713" s="35">
        <f>D713/(D712+D713+D714+D715)*100</f>
        <v>0</v>
      </c>
      <c r="D713" s="147">
        <v>0</v>
      </c>
      <c r="E713" s="82">
        <v>0.7</v>
      </c>
      <c r="F713" s="82">
        <f t="shared" si="152"/>
        <v>0</v>
      </c>
      <c r="G713" s="82">
        <v>0</v>
      </c>
      <c r="H713" s="82">
        <f t="shared" si="153"/>
        <v>0</v>
      </c>
      <c r="I713" s="25"/>
      <c r="K713" s="4" t="s">
        <v>110</v>
      </c>
      <c r="L713" s="35">
        <f>M713/(M712+M713+M714+M715)*100</f>
        <v>0</v>
      </c>
      <c r="M713" s="147">
        <v>0</v>
      </c>
      <c r="N713" s="82">
        <v>0.7</v>
      </c>
      <c r="O713" s="82">
        <f t="shared" si="154"/>
        <v>0</v>
      </c>
      <c r="P713" s="82">
        <v>0</v>
      </c>
      <c r="Q713" s="82">
        <f t="shared" si="155"/>
        <v>0</v>
      </c>
      <c r="R713" s="25"/>
    </row>
    <row r="714" spans="2:18" x14ac:dyDescent="0.25">
      <c r="B714" s="2" t="s">
        <v>162</v>
      </c>
      <c r="C714" s="196">
        <f>D714/(D712+D713+D714)*100</f>
        <v>28.700287002870027</v>
      </c>
      <c r="D714" s="147">
        <v>7</v>
      </c>
      <c r="E714" s="82">
        <v>0.35</v>
      </c>
      <c r="F714" s="82">
        <f t="shared" si="152"/>
        <v>24.499999999999996</v>
      </c>
      <c r="G714" s="82">
        <v>2.2999999999999998</v>
      </c>
      <c r="H714" s="82">
        <f t="shared" si="153"/>
        <v>161</v>
      </c>
      <c r="I714" s="25"/>
      <c r="K714" s="2" t="s">
        <v>162</v>
      </c>
      <c r="L714" s="196">
        <f>M714/(M712+M713+M714)*100</f>
        <v>23.076923076923077</v>
      </c>
      <c r="M714" s="147">
        <f>14.4/3</f>
        <v>4.8</v>
      </c>
      <c r="N714" s="82">
        <v>0.35</v>
      </c>
      <c r="O714" s="82">
        <f t="shared" si="154"/>
        <v>16.8</v>
      </c>
      <c r="P714" s="82">
        <v>2.2999999999999998</v>
      </c>
      <c r="Q714" s="82">
        <f t="shared" si="155"/>
        <v>110.39999999999999</v>
      </c>
      <c r="R714" s="25"/>
    </row>
    <row r="715" spans="2:18" x14ac:dyDescent="0.25">
      <c r="B715" s="2" t="s">
        <v>176</v>
      </c>
      <c r="C715" s="35"/>
      <c r="D715" s="140">
        <v>0</v>
      </c>
      <c r="E715" s="82">
        <v>0</v>
      </c>
      <c r="F715" s="82">
        <f t="shared" si="152"/>
        <v>0</v>
      </c>
      <c r="G715" s="82">
        <v>30.2</v>
      </c>
      <c r="H715" s="5">
        <f t="shared" si="153"/>
        <v>0</v>
      </c>
      <c r="I715" s="25"/>
      <c r="K715" s="2" t="s">
        <v>176</v>
      </c>
      <c r="L715" s="35"/>
      <c r="M715" s="140">
        <v>0</v>
      </c>
      <c r="N715" s="82">
        <v>0</v>
      </c>
      <c r="O715" s="82">
        <f t="shared" si="154"/>
        <v>0</v>
      </c>
      <c r="P715" s="82">
        <v>30.2</v>
      </c>
      <c r="Q715" s="5">
        <f t="shared" si="155"/>
        <v>0</v>
      </c>
      <c r="R715" s="25"/>
    </row>
    <row r="716" spans="2:18" x14ac:dyDescent="0.25">
      <c r="B716" s="2" t="s">
        <v>17</v>
      </c>
      <c r="C716" s="35"/>
      <c r="D716" s="147">
        <v>7.5</v>
      </c>
      <c r="E716" s="82">
        <v>3.48</v>
      </c>
      <c r="F716" s="82">
        <f t="shared" si="152"/>
        <v>261</v>
      </c>
      <c r="G716" s="82">
        <v>30</v>
      </c>
      <c r="H716" s="82">
        <f t="shared" si="153"/>
        <v>2250</v>
      </c>
      <c r="I716" s="25"/>
      <c r="K716" s="2" t="s">
        <v>17</v>
      </c>
      <c r="L716" s="35"/>
      <c r="M716" s="147">
        <v>7</v>
      </c>
      <c r="N716" s="82">
        <v>2.94</v>
      </c>
      <c r="O716" s="82">
        <f t="shared" si="154"/>
        <v>205.79999999999998</v>
      </c>
      <c r="P716" s="82">
        <v>32.200000000000003</v>
      </c>
      <c r="Q716" s="82">
        <f t="shared" si="155"/>
        <v>2254</v>
      </c>
      <c r="R716" s="25"/>
    </row>
    <row r="717" spans="2:18" x14ac:dyDescent="0.25">
      <c r="B717" s="4" t="s">
        <v>21</v>
      </c>
      <c r="C717" s="41"/>
      <c r="D717" s="147">
        <v>1.8</v>
      </c>
      <c r="E717" s="82">
        <v>0</v>
      </c>
      <c r="F717" s="82">
        <f t="shared" si="152"/>
        <v>0</v>
      </c>
      <c r="G717" s="82">
        <v>85.3</v>
      </c>
      <c r="H717" s="82">
        <f t="shared" si="153"/>
        <v>1535.4</v>
      </c>
      <c r="I717" s="25"/>
      <c r="K717" s="4" t="s">
        <v>21</v>
      </c>
      <c r="L717" s="41"/>
      <c r="M717" s="147">
        <v>1.5</v>
      </c>
      <c r="N717" s="82">
        <v>0</v>
      </c>
      <c r="O717" s="82">
        <f t="shared" si="154"/>
        <v>0</v>
      </c>
      <c r="P717" s="82">
        <v>85.3</v>
      </c>
      <c r="Q717" s="82">
        <f t="shared" si="155"/>
        <v>1279.5</v>
      </c>
      <c r="R717" s="25"/>
    </row>
    <row r="718" spans="2:18" x14ac:dyDescent="0.25">
      <c r="B718" s="4" t="s">
        <v>23</v>
      </c>
      <c r="C718" s="41"/>
      <c r="D718" s="141">
        <v>0.08</v>
      </c>
      <c r="E718" s="13">
        <v>20.5</v>
      </c>
      <c r="F718" s="5">
        <f t="shared" si="152"/>
        <v>16.399999999999999</v>
      </c>
      <c r="G718" s="5">
        <v>0</v>
      </c>
      <c r="H718" s="5">
        <f t="shared" si="153"/>
        <v>0</v>
      </c>
      <c r="I718" s="25"/>
      <c r="K718" s="4" t="s">
        <v>23</v>
      </c>
      <c r="L718" s="41"/>
      <c r="M718" s="141">
        <v>0.2</v>
      </c>
      <c r="N718" s="13">
        <v>20.5</v>
      </c>
      <c r="O718" s="5">
        <f t="shared" si="154"/>
        <v>41</v>
      </c>
      <c r="P718" s="5">
        <v>0</v>
      </c>
      <c r="Q718" s="5">
        <f t="shared" si="155"/>
        <v>0</v>
      </c>
      <c r="R718" s="25"/>
    </row>
    <row r="719" spans="2:18" x14ac:dyDescent="0.25">
      <c r="B719" s="9" t="s">
        <v>26</v>
      </c>
      <c r="C719" s="42"/>
      <c r="D719" s="143">
        <f>SUM(D712:D718)</f>
        <v>33.769999999999996</v>
      </c>
      <c r="E719" s="9"/>
      <c r="F719" s="11">
        <f>SUM(F712:F718)</f>
        <v>510.58</v>
      </c>
      <c r="G719" s="9"/>
      <c r="H719" s="11">
        <f>SUM(H712:H718)</f>
        <v>6241.8799999999992</v>
      </c>
      <c r="I719" s="200" t="s">
        <v>6</v>
      </c>
      <c r="K719" s="9" t="s">
        <v>26</v>
      </c>
      <c r="L719" s="42"/>
      <c r="M719" s="143">
        <f>SUM(M712:M718)</f>
        <v>29.5</v>
      </c>
      <c r="N719" s="9"/>
      <c r="O719" s="11">
        <f>SUM(O712:O718)</f>
        <v>423.6</v>
      </c>
      <c r="P719" s="9"/>
      <c r="Q719" s="11">
        <f>SUM(Q712:Q718)</f>
        <v>5787.9</v>
      </c>
      <c r="R719" s="200" t="s">
        <v>6</v>
      </c>
    </row>
    <row r="720" spans="2:18" x14ac:dyDescent="0.25">
      <c r="B720" s="230"/>
      <c r="C720" s="231"/>
      <c r="D720" s="231"/>
      <c r="E720" s="232"/>
      <c r="F720" s="8">
        <f>F719/D719/10</f>
        <v>1.5119336689369265</v>
      </c>
      <c r="G720" s="12"/>
      <c r="H720" s="8">
        <f>H719/D719/10</f>
        <v>18.483506070476757</v>
      </c>
      <c r="I720" s="11">
        <f>((100-H720)*0.5)/F720</f>
        <v>26.957695170198594</v>
      </c>
      <c r="K720" s="230"/>
      <c r="L720" s="231"/>
      <c r="M720" s="231"/>
      <c r="N720" s="232"/>
      <c r="O720" s="8">
        <f>O719/M719/10</f>
        <v>1.4359322033898305</v>
      </c>
      <c r="P720" s="12"/>
      <c r="Q720" s="8">
        <f>Q719/M719/10</f>
        <v>19.619999999999997</v>
      </c>
      <c r="R720" s="11">
        <f>((100-Q720)*0.5)/O720</f>
        <v>27.988786591123699</v>
      </c>
    </row>
    <row r="721" spans="2:18" x14ac:dyDescent="0.25">
      <c r="B721" s="201" t="s">
        <v>188</v>
      </c>
      <c r="C721" s="201">
        <f>0.89*3</f>
        <v>2.67</v>
      </c>
      <c r="D721" s="201"/>
      <c r="E721" s="201"/>
      <c r="F721" s="202"/>
      <c r="G721" s="203"/>
      <c r="H721" s="202"/>
      <c r="I721" s="204"/>
      <c r="K721" s="201"/>
      <c r="L721" s="201"/>
      <c r="M721" s="201"/>
      <c r="N721" s="201"/>
      <c r="O721" s="202"/>
      <c r="P721" s="203"/>
      <c r="Q721" s="202"/>
      <c r="R721" s="204"/>
    </row>
    <row r="722" spans="2:18" x14ac:dyDescent="0.25">
      <c r="B722" s="61" t="s">
        <v>189</v>
      </c>
      <c r="C722" s="205">
        <v>3.2</v>
      </c>
    </row>
    <row r="723" spans="2:18" x14ac:dyDescent="0.25">
      <c r="B723" s="224" t="s">
        <v>193</v>
      </c>
      <c r="C723" s="225"/>
      <c r="D723" s="225"/>
      <c r="E723" s="225"/>
      <c r="F723" s="225"/>
      <c r="G723" s="225"/>
      <c r="H723" s="225"/>
      <c r="I723" s="226"/>
      <c r="K723" s="224" t="s">
        <v>191</v>
      </c>
      <c r="L723" s="225"/>
      <c r="M723" s="225"/>
      <c r="N723" s="225"/>
      <c r="O723" s="225"/>
      <c r="P723" s="225"/>
      <c r="Q723" s="225"/>
      <c r="R723" s="226"/>
    </row>
    <row r="724" spans="2:18" x14ac:dyDescent="0.25">
      <c r="B724" s="217" t="s">
        <v>0</v>
      </c>
      <c r="C724" s="227" t="s">
        <v>1</v>
      </c>
      <c r="D724" s="217" t="s">
        <v>47</v>
      </c>
      <c r="E724" s="221" t="s">
        <v>46</v>
      </c>
      <c r="F724" s="222"/>
      <c r="G724" s="222"/>
      <c r="H724" s="223"/>
      <c r="I724" s="229" t="s">
        <v>102</v>
      </c>
      <c r="K724" s="217" t="s">
        <v>0</v>
      </c>
      <c r="L724" s="227" t="s">
        <v>1</v>
      </c>
      <c r="M724" s="217" t="s">
        <v>47</v>
      </c>
      <c r="N724" s="221" t="s">
        <v>46</v>
      </c>
      <c r="O724" s="222"/>
      <c r="P724" s="222"/>
      <c r="Q724" s="223"/>
      <c r="R724" s="229" t="s">
        <v>102</v>
      </c>
    </row>
    <row r="725" spans="2:18" x14ac:dyDescent="0.25">
      <c r="B725" s="218"/>
      <c r="C725" s="228"/>
      <c r="D725" s="218"/>
      <c r="E725" s="2" t="s">
        <v>42</v>
      </c>
      <c r="F725" s="2" t="s">
        <v>43</v>
      </c>
      <c r="G725" s="2" t="s">
        <v>44</v>
      </c>
      <c r="H725" s="2" t="s">
        <v>45</v>
      </c>
      <c r="I725" s="229"/>
      <c r="K725" s="218"/>
      <c r="L725" s="228"/>
      <c r="M725" s="218"/>
      <c r="N725" s="2" t="s">
        <v>42</v>
      </c>
      <c r="O725" s="2" t="s">
        <v>43</v>
      </c>
      <c r="P725" s="2" t="s">
        <v>44</v>
      </c>
      <c r="Q725" s="2" t="s">
        <v>45</v>
      </c>
      <c r="R725" s="229"/>
    </row>
    <row r="726" spans="2:18" x14ac:dyDescent="0.25">
      <c r="B726" s="2" t="s">
        <v>186</v>
      </c>
      <c r="C726" s="196">
        <f>D726/(D726+D727+D728)*100</f>
        <v>71.428571428571431</v>
      </c>
      <c r="D726" s="145">
        <v>17.5</v>
      </c>
      <c r="E726" s="82">
        <v>1.2</v>
      </c>
      <c r="F726" s="82">
        <f t="shared" ref="F726:F732" si="156">(D726*E726%)*1000</f>
        <v>210</v>
      </c>
      <c r="G726" s="82">
        <v>13</v>
      </c>
      <c r="H726" s="146">
        <f t="shared" ref="H726:H732" si="157">(D726*G726%)*1000</f>
        <v>2275</v>
      </c>
      <c r="I726" s="51">
        <f>D726+D727+D728</f>
        <v>24.5</v>
      </c>
      <c r="K726" s="2" t="s">
        <v>190</v>
      </c>
      <c r="L726" s="196">
        <f>M726/(M726+M727+M728)*100</f>
        <v>72.340425531914903</v>
      </c>
      <c r="M726" s="145">
        <v>17</v>
      </c>
      <c r="N726" s="82">
        <v>1.2</v>
      </c>
      <c r="O726" s="82">
        <f t="shared" ref="O726:O732" si="158">(M726*N726%)*1000</f>
        <v>204.00000000000003</v>
      </c>
      <c r="P726" s="82">
        <v>13.4</v>
      </c>
      <c r="Q726" s="146">
        <f t="shared" ref="Q726:Q732" si="159">(M726*P726%)*1000</f>
        <v>2278</v>
      </c>
      <c r="R726" s="51">
        <f>M726+M727+M728</f>
        <v>23.5</v>
      </c>
    </row>
    <row r="727" spans="2:18" x14ac:dyDescent="0.25">
      <c r="B727" s="4" t="s">
        <v>110</v>
      </c>
      <c r="C727" s="35">
        <f>D727/(D726+D727+D728+D729)*100</f>
        <v>0</v>
      </c>
      <c r="D727" s="147">
        <v>0</v>
      </c>
      <c r="E727" s="82">
        <v>0.7</v>
      </c>
      <c r="F727" s="82">
        <f t="shared" si="156"/>
        <v>0</v>
      </c>
      <c r="G727" s="82">
        <v>0</v>
      </c>
      <c r="H727" s="82">
        <f t="shared" si="157"/>
        <v>0</v>
      </c>
      <c r="I727" s="25"/>
      <c r="K727" s="4" t="s">
        <v>110</v>
      </c>
      <c r="L727" s="35">
        <f>M727/(M726+M727+M728+M729)*100</f>
        <v>0</v>
      </c>
      <c r="M727" s="147">
        <v>0</v>
      </c>
      <c r="N727" s="82">
        <v>0.7</v>
      </c>
      <c r="O727" s="82">
        <f t="shared" si="158"/>
        <v>0</v>
      </c>
      <c r="P727" s="82">
        <v>0</v>
      </c>
      <c r="Q727" s="82">
        <f t="shared" si="159"/>
        <v>0</v>
      </c>
      <c r="R727" s="25"/>
    </row>
    <row r="728" spans="2:18" x14ac:dyDescent="0.25">
      <c r="B728" s="2" t="s">
        <v>162</v>
      </c>
      <c r="C728" s="196">
        <f>D728/(D726+D727+D728)*100</f>
        <v>28.571428571428569</v>
      </c>
      <c r="D728" s="147">
        <v>7</v>
      </c>
      <c r="E728" s="82">
        <v>0.43</v>
      </c>
      <c r="F728" s="82">
        <f t="shared" si="156"/>
        <v>30.1</v>
      </c>
      <c r="G728" s="82">
        <v>3.1</v>
      </c>
      <c r="H728" s="82">
        <f t="shared" si="157"/>
        <v>217</v>
      </c>
      <c r="I728" s="25"/>
      <c r="K728" s="2" t="s">
        <v>162</v>
      </c>
      <c r="L728" s="196">
        <f>M728/(M726+M727+M728)*100</f>
        <v>27.659574468085108</v>
      </c>
      <c r="M728" s="147">
        <v>6.5</v>
      </c>
      <c r="N728" s="82">
        <v>0.4</v>
      </c>
      <c r="O728" s="82">
        <f t="shared" si="158"/>
        <v>26.000000000000004</v>
      </c>
      <c r="P728" s="82">
        <v>2.2999999999999998</v>
      </c>
      <c r="Q728" s="82">
        <f t="shared" si="159"/>
        <v>149.5</v>
      </c>
      <c r="R728" s="25"/>
    </row>
    <row r="729" spans="2:18" x14ac:dyDescent="0.25">
      <c r="B729" s="2" t="s">
        <v>176</v>
      </c>
      <c r="C729" s="35"/>
      <c r="D729" s="140">
        <v>0</v>
      </c>
      <c r="E729" s="82">
        <v>0</v>
      </c>
      <c r="F729" s="82">
        <f t="shared" si="156"/>
        <v>0</v>
      </c>
      <c r="G729" s="82">
        <v>30.2</v>
      </c>
      <c r="H729" s="5">
        <f t="shared" si="157"/>
        <v>0</v>
      </c>
      <c r="I729" s="25"/>
      <c r="K729" s="2" t="s">
        <v>176</v>
      </c>
      <c r="L729" s="35"/>
      <c r="M729" s="140">
        <v>0</v>
      </c>
      <c r="N729" s="82">
        <v>0</v>
      </c>
      <c r="O729" s="82">
        <f t="shared" si="158"/>
        <v>0</v>
      </c>
      <c r="P729" s="82">
        <v>30.2</v>
      </c>
      <c r="Q729" s="5">
        <f t="shared" si="159"/>
        <v>0</v>
      </c>
      <c r="R729" s="25"/>
    </row>
    <row r="730" spans="2:18" x14ac:dyDescent="0.25">
      <c r="B730" s="2" t="s">
        <v>17</v>
      </c>
      <c r="C730" s="35"/>
      <c r="D730" s="147">
        <v>8.5</v>
      </c>
      <c r="E730" s="82">
        <v>2.98</v>
      </c>
      <c r="F730" s="82">
        <f t="shared" si="156"/>
        <v>253.3</v>
      </c>
      <c r="G730" s="82">
        <v>27.9</v>
      </c>
      <c r="H730" s="82">
        <f t="shared" si="157"/>
        <v>2371.4999999999995</v>
      </c>
      <c r="I730" s="25"/>
      <c r="K730" s="2" t="s">
        <v>17</v>
      </c>
      <c r="L730" s="35"/>
      <c r="M730" s="147">
        <v>8</v>
      </c>
      <c r="N730" s="82">
        <v>3</v>
      </c>
      <c r="O730" s="82">
        <f t="shared" si="158"/>
        <v>240</v>
      </c>
      <c r="P730" s="82">
        <v>30</v>
      </c>
      <c r="Q730" s="82">
        <f t="shared" si="159"/>
        <v>2400</v>
      </c>
      <c r="R730" s="25"/>
    </row>
    <row r="731" spans="2:18" x14ac:dyDescent="0.25">
      <c r="B731" s="4" t="s">
        <v>21</v>
      </c>
      <c r="C731" s="41"/>
      <c r="D731" s="147">
        <v>1.8</v>
      </c>
      <c r="E731" s="82">
        <v>0</v>
      </c>
      <c r="F731" s="82">
        <f t="shared" si="156"/>
        <v>0</v>
      </c>
      <c r="G731" s="82">
        <v>85.3</v>
      </c>
      <c r="H731" s="82">
        <f t="shared" si="157"/>
        <v>1535.4</v>
      </c>
      <c r="I731" s="25"/>
      <c r="K731" s="4" t="s">
        <v>21</v>
      </c>
      <c r="L731" s="41"/>
      <c r="M731" s="147">
        <v>1.7</v>
      </c>
      <c r="N731" s="82">
        <v>0</v>
      </c>
      <c r="O731" s="82">
        <f t="shared" si="158"/>
        <v>0</v>
      </c>
      <c r="P731" s="82">
        <v>85.3</v>
      </c>
      <c r="Q731" s="82">
        <f t="shared" si="159"/>
        <v>1450.1</v>
      </c>
      <c r="R731" s="25"/>
    </row>
    <row r="732" spans="2:18" x14ac:dyDescent="0.25">
      <c r="B732" s="4" t="s">
        <v>23</v>
      </c>
      <c r="C732" s="41"/>
      <c r="D732" s="141">
        <v>0.1</v>
      </c>
      <c r="E732" s="13">
        <v>20.5</v>
      </c>
      <c r="F732" s="5">
        <f t="shared" si="156"/>
        <v>20.5</v>
      </c>
      <c r="G732" s="5">
        <v>0</v>
      </c>
      <c r="H732" s="5">
        <f t="shared" si="157"/>
        <v>0</v>
      </c>
      <c r="I732" s="25"/>
      <c r="K732" s="4" t="s">
        <v>23</v>
      </c>
      <c r="L732" s="41"/>
      <c r="M732" s="141">
        <v>0.1</v>
      </c>
      <c r="N732" s="13">
        <v>20.5</v>
      </c>
      <c r="O732" s="5">
        <f t="shared" si="158"/>
        <v>20.5</v>
      </c>
      <c r="P732" s="5">
        <v>0</v>
      </c>
      <c r="Q732" s="5">
        <f t="shared" si="159"/>
        <v>0</v>
      </c>
      <c r="R732" s="25"/>
    </row>
    <row r="733" spans="2:18" x14ac:dyDescent="0.25">
      <c r="B733" s="9" t="s">
        <v>26</v>
      </c>
      <c r="C733" s="42"/>
      <c r="D733" s="143">
        <f>SUM(D726:D732)</f>
        <v>34.9</v>
      </c>
      <c r="E733" s="9"/>
      <c r="F733" s="11">
        <f>SUM(F726:F732)</f>
        <v>513.9</v>
      </c>
      <c r="G733" s="9"/>
      <c r="H733" s="11">
        <f>SUM(H726:H732)</f>
        <v>6398.9</v>
      </c>
      <c r="I733" s="200" t="s">
        <v>6</v>
      </c>
      <c r="K733" s="9" t="s">
        <v>26</v>
      </c>
      <c r="L733" s="42"/>
      <c r="M733" s="143">
        <f>SUM(M726:M732)</f>
        <v>33.300000000000004</v>
      </c>
      <c r="N733" s="9"/>
      <c r="O733" s="11">
        <f>SUM(O726:O732)</f>
        <v>490.5</v>
      </c>
      <c r="P733" s="9"/>
      <c r="Q733" s="11">
        <f>SUM(Q726:Q732)</f>
        <v>6277.6</v>
      </c>
      <c r="R733" s="207" t="s">
        <v>6</v>
      </c>
    </row>
    <row r="734" spans="2:18" x14ac:dyDescent="0.25">
      <c r="B734" s="230"/>
      <c r="C734" s="231"/>
      <c r="D734" s="231"/>
      <c r="E734" s="232"/>
      <c r="F734" s="8">
        <f>F733/D733/10</f>
        <v>1.4724928366762178</v>
      </c>
      <c r="G734" s="12"/>
      <c r="H734" s="8">
        <f>H733/D733/10</f>
        <v>18.334957020057306</v>
      </c>
      <c r="I734" s="11">
        <f>((100-H734)*0.5)/F734</f>
        <v>27.730200428098854</v>
      </c>
      <c r="K734" s="230"/>
      <c r="L734" s="231"/>
      <c r="M734" s="231"/>
      <c r="N734" s="232"/>
      <c r="O734" s="8">
        <f>O733/M733/10</f>
        <v>1.4729729729729728</v>
      </c>
      <c r="P734" s="12"/>
      <c r="Q734" s="8">
        <f>Q733/M733/10</f>
        <v>18.85165165165165</v>
      </c>
      <c r="R734" s="11">
        <f>((100-Q734)*0.5)/O734</f>
        <v>27.545769622833845</v>
      </c>
    </row>
    <row r="737" spans="2:18" x14ac:dyDescent="0.25">
      <c r="B737" s="224" t="s">
        <v>196</v>
      </c>
      <c r="C737" s="225"/>
      <c r="D737" s="225"/>
      <c r="E737" s="225"/>
      <c r="F737" s="225"/>
      <c r="G737" s="225"/>
      <c r="H737" s="225"/>
      <c r="I737" s="226"/>
      <c r="K737" s="224" t="s">
        <v>197</v>
      </c>
      <c r="L737" s="225"/>
      <c r="M737" s="225"/>
      <c r="N737" s="225"/>
      <c r="O737" s="225"/>
      <c r="P737" s="225"/>
      <c r="Q737" s="225"/>
      <c r="R737" s="226"/>
    </row>
    <row r="738" spans="2:18" x14ac:dyDescent="0.25">
      <c r="B738" s="217" t="s">
        <v>0</v>
      </c>
      <c r="C738" s="227" t="s">
        <v>1</v>
      </c>
      <c r="D738" s="217" t="s">
        <v>47</v>
      </c>
      <c r="E738" s="221" t="s">
        <v>46</v>
      </c>
      <c r="F738" s="222"/>
      <c r="G738" s="222"/>
      <c r="H738" s="223"/>
      <c r="I738" s="229" t="s">
        <v>102</v>
      </c>
      <c r="K738" s="217" t="s">
        <v>0</v>
      </c>
      <c r="L738" s="227" t="s">
        <v>1</v>
      </c>
      <c r="M738" s="217" t="s">
        <v>47</v>
      </c>
      <c r="N738" s="221" t="s">
        <v>46</v>
      </c>
      <c r="O738" s="222"/>
      <c r="P738" s="222"/>
      <c r="Q738" s="223"/>
      <c r="R738" s="229" t="s">
        <v>102</v>
      </c>
    </row>
    <row r="739" spans="2:18" x14ac:dyDescent="0.25">
      <c r="B739" s="218"/>
      <c r="C739" s="228"/>
      <c r="D739" s="218"/>
      <c r="E739" s="2" t="s">
        <v>42</v>
      </c>
      <c r="F739" s="2" t="s">
        <v>43</v>
      </c>
      <c r="G739" s="2" t="s">
        <v>44</v>
      </c>
      <c r="H739" s="2" t="s">
        <v>45</v>
      </c>
      <c r="I739" s="229"/>
      <c r="K739" s="218"/>
      <c r="L739" s="228"/>
      <c r="M739" s="218"/>
      <c r="N739" s="2" t="s">
        <v>42</v>
      </c>
      <c r="O739" s="2" t="s">
        <v>43</v>
      </c>
      <c r="P739" s="2" t="s">
        <v>44</v>
      </c>
      <c r="Q739" s="2" t="s">
        <v>45</v>
      </c>
      <c r="R739" s="229"/>
    </row>
    <row r="740" spans="2:18" x14ac:dyDescent="0.25">
      <c r="B740" s="2" t="s">
        <v>186</v>
      </c>
      <c r="C740" s="196">
        <f>D740/(D740+D741+D742)*100</f>
        <v>77.732053040695021</v>
      </c>
      <c r="D740" s="145">
        <v>17</v>
      </c>
      <c r="E740" s="82">
        <v>1</v>
      </c>
      <c r="F740" s="82">
        <f t="shared" ref="F740:F746" si="160">(D740*E740%)*1000</f>
        <v>170</v>
      </c>
      <c r="G740" s="82">
        <v>13</v>
      </c>
      <c r="H740" s="146">
        <f t="shared" ref="H740:H746" si="161">(D740*G740%)*1000</f>
        <v>2210</v>
      </c>
      <c r="I740" s="51">
        <f>D740+D741+D742</f>
        <v>21.87</v>
      </c>
      <c r="K740" s="2" t="s">
        <v>190</v>
      </c>
      <c r="L740" s="196">
        <f>M740/(M740+M741+M742)*100</f>
        <v>73.91304347826086</v>
      </c>
      <c r="M740" s="145">
        <v>17</v>
      </c>
      <c r="N740" s="82">
        <v>1.2</v>
      </c>
      <c r="O740" s="82">
        <f t="shared" ref="O740:O746" si="162">(M740*N740%)*1000</f>
        <v>204.00000000000003</v>
      </c>
      <c r="P740" s="82">
        <v>13.4</v>
      </c>
      <c r="Q740" s="146">
        <f t="shared" ref="Q740:Q746" si="163">(M740*P740%)*1000</f>
        <v>2278</v>
      </c>
      <c r="R740" s="51">
        <f>M740+M741+M742</f>
        <v>23</v>
      </c>
    </row>
    <row r="741" spans="2:18" x14ac:dyDescent="0.25">
      <c r="B741" s="4" t="s">
        <v>110</v>
      </c>
      <c r="C741" s="35">
        <f>D741/(D740+D741+D742+D743)*100</f>
        <v>0</v>
      </c>
      <c r="D741" s="147">
        <v>0</v>
      </c>
      <c r="E741" s="82">
        <v>0.7</v>
      </c>
      <c r="F741" s="82">
        <f t="shared" si="160"/>
        <v>0</v>
      </c>
      <c r="G741" s="82">
        <v>0</v>
      </c>
      <c r="H741" s="82">
        <f t="shared" si="161"/>
        <v>0</v>
      </c>
      <c r="I741" s="25"/>
      <c r="K741" s="4" t="s">
        <v>110</v>
      </c>
      <c r="L741" s="35">
        <f>M741/(M740+M741+M742+M743)*100</f>
        <v>0</v>
      </c>
      <c r="M741" s="147">
        <v>0</v>
      </c>
      <c r="N741" s="82">
        <v>0.7</v>
      </c>
      <c r="O741" s="82">
        <f t="shared" si="162"/>
        <v>0</v>
      </c>
      <c r="P741" s="82">
        <v>0</v>
      </c>
      <c r="Q741" s="82">
        <f t="shared" si="163"/>
        <v>0</v>
      </c>
      <c r="R741" s="25"/>
    </row>
    <row r="742" spans="2:18" x14ac:dyDescent="0.25">
      <c r="B742" s="2" t="s">
        <v>162</v>
      </c>
      <c r="C742" s="196">
        <f>D742/(D740+D741+D742)*100</f>
        <v>22.267946959304982</v>
      </c>
      <c r="D742" s="147">
        <v>4.87</v>
      </c>
      <c r="E742" s="82">
        <v>0.35</v>
      </c>
      <c r="F742" s="82">
        <f t="shared" si="160"/>
        <v>17.044999999999998</v>
      </c>
      <c r="G742" s="82">
        <v>2</v>
      </c>
      <c r="H742" s="82">
        <f t="shared" si="161"/>
        <v>97.4</v>
      </c>
      <c r="I742" s="25"/>
      <c r="K742" s="2" t="s">
        <v>162</v>
      </c>
      <c r="L742" s="196">
        <f>M742/(M740+M741+M742)*100</f>
        <v>26.086956521739129</v>
      </c>
      <c r="M742" s="147">
        <v>6</v>
      </c>
      <c r="N742" s="82">
        <v>0.48</v>
      </c>
      <c r="O742" s="82">
        <f t="shared" si="162"/>
        <v>28.8</v>
      </c>
      <c r="P742" s="82">
        <v>2</v>
      </c>
      <c r="Q742" s="82">
        <f t="shared" si="163"/>
        <v>120</v>
      </c>
      <c r="R742" s="25"/>
    </row>
    <row r="743" spans="2:18" x14ac:dyDescent="0.25">
      <c r="B743" s="2" t="s">
        <v>176</v>
      </c>
      <c r="C743" s="35"/>
      <c r="D743" s="140">
        <v>0</v>
      </c>
      <c r="E743" s="82">
        <v>0</v>
      </c>
      <c r="F743" s="82">
        <f t="shared" si="160"/>
        <v>0</v>
      </c>
      <c r="G743" s="82">
        <v>30.2</v>
      </c>
      <c r="H743" s="5">
        <f t="shared" si="161"/>
        <v>0</v>
      </c>
      <c r="I743" s="25"/>
      <c r="K743" s="2" t="s">
        <v>176</v>
      </c>
      <c r="L743" s="35"/>
      <c r="M743" s="140">
        <v>0</v>
      </c>
      <c r="N743" s="82">
        <v>0</v>
      </c>
      <c r="O743" s="82">
        <f t="shared" si="162"/>
        <v>0</v>
      </c>
      <c r="P743" s="82">
        <v>30.2</v>
      </c>
      <c r="Q743" s="5">
        <f t="shared" si="163"/>
        <v>0</v>
      </c>
      <c r="R743" s="25"/>
    </row>
    <row r="744" spans="2:18" x14ac:dyDescent="0.25">
      <c r="B744" s="2" t="s">
        <v>17</v>
      </c>
      <c r="C744" s="196">
        <f>(D744/I740)*100</f>
        <v>29.721079103795152</v>
      </c>
      <c r="D744" s="147">
        <v>6.5</v>
      </c>
      <c r="E744" s="82">
        <v>3</v>
      </c>
      <c r="F744" s="82">
        <f t="shared" si="160"/>
        <v>195</v>
      </c>
      <c r="G744" s="82">
        <v>30</v>
      </c>
      <c r="H744" s="82">
        <f t="shared" si="161"/>
        <v>1950</v>
      </c>
      <c r="I744" s="25"/>
      <c r="K744" s="2" t="s">
        <v>17</v>
      </c>
      <c r="L744" s="196">
        <f>(M744/R740)*100</f>
        <v>26.521739130434778</v>
      </c>
      <c r="M744" s="147">
        <v>6.1</v>
      </c>
      <c r="N744" s="82">
        <v>3</v>
      </c>
      <c r="O744" s="82">
        <f t="shared" si="162"/>
        <v>183</v>
      </c>
      <c r="P744" s="82">
        <v>30</v>
      </c>
      <c r="Q744" s="82">
        <f t="shared" si="163"/>
        <v>1829.9999999999998</v>
      </c>
      <c r="R744" s="25"/>
    </row>
    <row r="745" spans="2:18" x14ac:dyDescent="0.25">
      <c r="B745" s="4" t="s">
        <v>21</v>
      </c>
      <c r="C745" s="41"/>
      <c r="D745" s="147">
        <v>1.7</v>
      </c>
      <c r="E745" s="82">
        <v>0</v>
      </c>
      <c r="F745" s="82">
        <f t="shared" si="160"/>
        <v>0</v>
      </c>
      <c r="G745" s="82">
        <v>84.8</v>
      </c>
      <c r="H745" s="82">
        <f t="shared" si="161"/>
        <v>1441.6</v>
      </c>
      <c r="I745" s="25"/>
      <c r="K745" s="4" t="s">
        <v>21</v>
      </c>
      <c r="L745" s="41"/>
      <c r="M745" s="147">
        <v>1.6</v>
      </c>
      <c r="N745" s="82">
        <v>0</v>
      </c>
      <c r="O745" s="82">
        <f t="shared" si="162"/>
        <v>0</v>
      </c>
      <c r="P745" s="82">
        <v>84.8</v>
      </c>
      <c r="Q745" s="82">
        <f t="shared" si="163"/>
        <v>1356.8</v>
      </c>
      <c r="R745" s="25"/>
    </row>
    <row r="746" spans="2:18" x14ac:dyDescent="0.25">
      <c r="B746" s="4" t="s">
        <v>23</v>
      </c>
      <c r="C746" s="41"/>
      <c r="D746" s="141">
        <v>0.2</v>
      </c>
      <c r="E746" s="13">
        <v>20.5</v>
      </c>
      <c r="F746" s="5">
        <f t="shared" si="160"/>
        <v>41</v>
      </c>
      <c r="G746" s="5">
        <v>0</v>
      </c>
      <c r="H746" s="5">
        <f t="shared" si="161"/>
        <v>0</v>
      </c>
      <c r="I746" s="25"/>
      <c r="K746" s="4" t="s">
        <v>23</v>
      </c>
      <c r="L746" s="41"/>
      <c r="M746" s="141">
        <v>0.15</v>
      </c>
      <c r="N746" s="13">
        <v>20.5</v>
      </c>
      <c r="O746" s="5">
        <f t="shared" si="162"/>
        <v>30.749999999999996</v>
      </c>
      <c r="P746" s="5">
        <v>0</v>
      </c>
      <c r="Q746" s="5">
        <f t="shared" si="163"/>
        <v>0</v>
      </c>
      <c r="R746" s="25"/>
    </row>
    <row r="747" spans="2:18" x14ac:dyDescent="0.25">
      <c r="B747" s="9" t="s">
        <v>26</v>
      </c>
      <c r="C747" s="42"/>
      <c r="D747" s="143">
        <f>SUM(D740:D746)</f>
        <v>30.27</v>
      </c>
      <c r="E747" s="9"/>
      <c r="F747" s="11">
        <f>SUM(F740:F746)</f>
        <v>423.04499999999996</v>
      </c>
      <c r="G747" s="9"/>
      <c r="H747" s="11">
        <f>SUM(H740:H746)</f>
        <v>5699</v>
      </c>
      <c r="I747" s="208" t="s">
        <v>6</v>
      </c>
      <c r="K747" s="9" t="s">
        <v>26</v>
      </c>
      <c r="L747" s="42"/>
      <c r="M747" s="143">
        <f>SUM(M740:M746)</f>
        <v>30.85</v>
      </c>
      <c r="N747" s="9"/>
      <c r="O747" s="11">
        <f>SUM(O740:O746)</f>
        <v>446.55000000000007</v>
      </c>
      <c r="P747" s="9"/>
      <c r="Q747" s="11">
        <f>SUM(Q740:Q746)</f>
        <v>5584.8</v>
      </c>
      <c r="R747" s="209" t="s">
        <v>6</v>
      </c>
    </row>
    <row r="748" spans="2:18" x14ac:dyDescent="0.25">
      <c r="B748" s="230"/>
      <c r="C748" s="231"/>
      <c r="D748" s="231"/>
      <c r="E748" s="232"/>
      <c r="F748" s="8">
        <f>F747/D747/10</f>
        <v>1.3975718533201189</v>
      </c>
      <c r="G748" s="12"/>
      <c r="H748" s="8">
        <f>H747/D747/10</f>
        <v>18.82722167162207</v>
      </c>
      <c r="I748" s="11">
        <f>((100-H748)*0.5)/F748</f>
        <v>29.040645794182652</v>
      </c>
      <c r="K748" s="230"/>
      <c r="L748" s="231"/>
      <c r="M748" s="231"/>
      <c r="N748" s="232"/>
      <c r="O748" s="8">
        <f>O747/M747/10</f>
        <v>1.447487844408428</v>
      </c>
      <c r="P748" s="12"/>
      <c r="Q748" s="8">
        <f>Q747/M747/10</f>
        <v>18.103079416531607</v>
      </c>
      <c r="R748" s="11">
        <f>((100-Q748)*0.5)/O748</f>
        <v>28.289329302429731</v>
      </c>
    </row>
    <row r="749" spans="2:18" x14ac:dyDescent="0.25">
      <c r="L749" s="45"/>
      <c r="M749" s="132"/>
    </row>
    <row r="751" spans="2:18" x14ac:dyDescent="0.25">
      <c r="B751" s="224" t="s">
        <v>198</v>
      </c>
      <c r="C751" s="225"/>
      <c r="D751" s="225"/>
      <c r="E751" s="225"/>
      <c r="F751" s="225"/>
      <c r="G751" s="225"/>
      <c r="H751" s="225"/>
      <c r="I751" s="226"/>
      <c r="K751" s="224" t="s">
        <v>199</v>
      </c>
      <c r="L751" s="225"/>
      <c r="M751" s="225"/>
      <c r="N751" s="225"/>
      <c r="O751" s="225"/>
      <c r="P751" s="225"/>
      <c r="Q751" s="225"/>
      <c r="R751" s="226"/>
    </row>
    <row r="752" spans="2:18" x14ac:dyDescent="0.25">
      <c r="B752" s="217" t="s">
        <v>0</v>
      </c>
      <c r="C752" s="227" t="s">
        <v>1</v>
      </c>
      <c r="D752" s="217" t="s">
        <v>47</v>
      </c>
      <c r="E752" s="221" t="s">
        <v>46</v>
      </c>
      <c r="F752" s="222"/>
      <c r="G752" s="222"/>
      <c r="H752" s="223"/>
      <c r="I752" s="229" t="s">
        <v>102</v>
      </c>
      <c r="K752" s="217" t="s">
        <v>0</v>
      </c>
      <c r="L752" s="227" t="s">
        <v>1</v>
      </c>
      <c r="M752" s="217" t="s">
        <v>47</v>
      </c>
      <c r="N752" s="221" t="s">
        <v>46</v>
      </c>
      <c r="O752" s="222"/>
      <c r="P752" s="222"/>
      <c r="Q752" s="223"/>
      <c r="R752" s="229" t="s">
        <v>102</v>
      </c>
    </row>
    <row r="753" spans="2:18" x14ac:dyDescent="0.25">
      <c r="B753" s="218"/>
      <c r="C753" s="228"/>
      <c r="D753" s="218"/>
      <c r="E753" s="2" t="s">
        <v>42</v>
      </c>
      <c r="F753" s="2" t="s">
        <v>43</v>
      </c>
      <c r="G753" s="2" t="s">
        <v>44</v>
      </c>
      <c r="H753" s="2" t="s">
        <v>45</v>
      </c>
      <c r="I753" s="229"/>
      <c r="K753" s="218"/>
      <c r="L753" s="228"/>
      <c r="M753" s="218"/>
      <c r="N753" s="2" t="s">
        <v>42</v>
      </c>
      <c r="O753" s="2" t="s">
        <v>43</v>
      </c>
      <c r="P753" s="2" t="s">
        <v>44</v>
      </c>
      <c r="Q753" s="2" t="s">
        <v>45</v>
      </c>
      <c r="R753" s="229"/>
    </row>
    <row r="754" spans="2:18" x14ac:dyDescent="0.25">
      <c r="B754" s="2" t="s">
        <v>186</v>
      </c>
      <c r="C754" s="196">
        <f>D754/(D754+D755+D756)*100</f>
        <v>74.074074074074076</v>
      </c>
      <c r="D754" s="145">
        <v>16</v>
      </c>
      <c r="E754" s="82">
        <v>1</v>
      </c>
      <c r="F754" s="82">
        <f t="shared" ref="F754:F760" si="164">(D754*E754%)*1000</f>
        <v>160</v>
      </c>
      <c r="G754" s="82">
        <v>13</v>
      </c>
      <c r="H754" s="146">
        <f t="shared" ref="H754:H760" si="165">(D754*G754%)*1000</f>
        <v>2080</v>
      </c>
      <c r="I754" s="51">
        <f>D754+D755+D756</f>
        <v>21.6</v>
      </c>
      <c r="K754" s="2" t="s">
        <v>190</v>
      </c>
      <c r="L754" s="196">
        <f>M754/(M754+M755+M756)*100</f>
        <v>70.046082949308754</v>
      </c>
      <c r="M754" s="145">
        <v>15.2</v>
      </c>
      <c r="N754" s="82">
        <v>1.2</v>
      </c>
      <c r="O754" s="82">
        <f t="shared" ref="O754:O760" si="166">(M754*N754%)*1000</f>
        <v>182.4</v>
      </c>
      <c r="P754" s="82">
        <v>13.4</v>
      </c>
      <c r="Q754" s="146">
        <f t="shared" ref="Q754:Q760" si="167">(M754*P754%)*1000</f>
        <v>2036.8</v>
      </c>
      <c r="R754" s="51">
        <f>M754+M755+M756</f>
        <v>21.7</v>
      </c>
    </row>
    <row r="755" spans="2:18" x14ac:dyDescent="0.25">
      <c r="B755" s="4" t="s">
        <v>110</v>
      </c>
      <c r="C755" s="35">
        <f>D755/(D754+D755+D756+D757)*100</f>
        <v>0</v>
      </c>
      <c r="D755" s="147">
        <v>0</v>
      </c>
      <c r="E755" s="82">
        <v>0.7</v>
      </c>
      <c r="F755" s="82">
        <f t="shared" si="164"/>
        <v>0</v>
      </c>
      <c r="G755" s="82">
        <v>0</v>
      </c>
      <c r="H755" s="82">
        <f t="shared" si="165"/>
        <v>0</v>
      </c>
      <c r="I755" s="25"/>
      <c r="K755" s="4" t="s">
        <v>110</v>
      </c>
      <c r="L755" s="35">
        <f>M755/(M754+M755+M756+M757)*100</f>
        <v>0</v>
      </c>
      <c r="M755" s="147">
        <v>0</v>
      </c>
      <c r="N755" s="82">
        <v>0.7</v>
      </c>
      <c r="O755" s="82">
        <f t="shared" si="166"/>
        <v>0</v>
      </c>
      <c r="P755" s="82">
        <v>0</v>
      </c>
      <c r="Q755" s="82">
        <f t="shared" si="167"/>
        <v>0</v>
      </c>
      <c r="R755" s="25"/>
    </row>
    <row r="756" spans="2:18" x14ac:dyDescent="0.25">
      <c r="B756" s="2" t="s">
        <v>162</v>
      </c>
      <c r="C756" s="196">
        <f>D756/(D754+D755+D756)*100</f>
        <v>25.925925925925924</v>
      </c>
      <c r="D756" s="147">
        <v>5.6</v>
      </c>
      <c r="E756" s="82">
        <v>0.48</v>
      </c>
      <c r="F756" s="82">
        <f t="shared" si="164"/>
        <v>26.88</v>
      </c>
      <c r="G756" s="82">
        <v>1.7</v>
      </c>
      <c r="H756" s="82">
        <f t="shared" si="165"/>
        <v>95.2</v>
      </c>
      <c r="I756" s="25"/>
      <c r="K756" s="2" t="s">
        <v>162</v>
      </c>
      <c r="L756" s="196">
        <f>M756/(M754+M755+M756)*100</f>
        <v>29.953917050691249</v>
      </c>
      <c r="M756" s="147">
        <v>6.5</v>
      </c>
      <c r="N756" s="82">
        <v>0.48</v>
      </c>
      <c r="O756" s="82">
        <f t="shared" si="166"/>
        <v>31.2</v>
      </c>
      <c r="P756" s="82">
        <v>1.7</v>
      </c>
      <c r="Q756" s="82">
        <f t="shared" si="167"/>
        <v>110.50000000000001</v>
      </c>
      <c r="R756" s="25"/>
    </row>
    <row r="757" spans="2:18" x14ac:dyDescent="0.25">
      <c r="B757" s="2" t="s">
        <v>176</v>
      </c>
      <c r="C757" s="35"/>
      <c r="D757" s="140">
        <v>0</v>
      </c>
      <c r="E757" s="82">
        <v>0</v>
      </c>
      <c r="F757" s="82">
        <f t="shared" si="164"/>
        <v>0</v>
      </c>
      <c r="G757" s="82">
        <v>30.2</v>
      </c>
      <c r="H757" s="5">
        <f t="shared" si="165"/>
        <v>0</v>
      </c>
      <c r="I757" s="25"/>
      <c r="K757" s="2" t="s">
        <v>176</v>
      </c>
      <c r="L757" s="35"/>
      <c r="M757" s="140">
        <v>0</v>
      </c>
      <c r="N757" s="82">
        <v>0</v>
      </c>
      <c r="O757" s="82">
        <f t="shared" si="166"/>
        <v>0</v>
      </c>
      <c r="P757" s="82">
        <v>30.2</v>
      </c>
      <c r="Q757" s="5">
        <f t="shared" si="167"/>
        <v>0</v>
      </c>
      <c r="R757" s="25"/>
    </row>
    <row r="758" spans="2:18" x14ac:dyDescent="0.25">
      <c r="B758" s="2" t="s">
        <v>17</v>
      </c>
      <c r="C758" s="196">
        <f>(D758/I754)*100</f>
        <v>34.722222222222221</v>
      </c>
      <c r="D758" s="147">
        <v>7.5</v>
      </c>
      <c r="E758" s="82">
        <v>3</v>
      </c>
      <c r="F758" s="82">
        <f t="shared" si="164"/>
        <v>224.99999999999997</v>
      </c>
      <c r="G758" s="82">
        <v>30</v>
      </c>
      <c r="H758" s="82">
        <f t="shared" si="165"/>
        <v>2250</v>
      </c>
      <c r="I758" s="25"/>
      <c r="K758" s="2" t="s">
        <v>17</v>
      </c>
      <c r="L758" s="196">
        <f>(M758/R754)*100</f>
        <v>33.640552995391701</v>
      </c>
      <c r="M758" s="147">
        <v>7.3</v>
      </c>
      <c r="N758" s="82">
        <v>3</v>
      </c>
      <c r="O758" s="82">
        <f t="shared" si="166"/>
        <v>219</v>
      </c>
      <c r="P758" s="82">
        <v>30</v>
      </c>
      <c r="Q758" s="82">
        <f t="shared" si="167"/>
        <v>2190</v>
      </c>
      <c r="R758" s="25"/>
    </row>
    <row r="759" spans="2:18" x14ac:dyDescent="0.25">
      <c r="B759" s="4" t="s">
        <v>21</v>
      </c>
      <c r="C759" s="41"/>
      <c r="D759" s="147">
        <v>1.5</v>
      </c>
      <c r="E759" s="82">
        <v>0</v>
      </c>
      <c r="F759" s="82">
        <f t="shared" si="164"/>
        <v>0</v>
      </c>
      <c r="G759" s="82">
        <v>84.8</v>
      </c>
      <c r="H759" s="82">
        <f t="shared" si="165"/>
        <v>1272</v>
      </c>
      <c r="I759" s="25"/>
      <c r="K759" s="4" t="s">
        <v>21</v>
      </c>
      <c r="L759" s="41"/>
      <c r="M759" s="147">
        <v>1.6</v>
      </c>
      <c r="N759" s="82">
        <v>0</v>
      </c>
      <c r="O759" s="82">
        <f t="shared" si="166"/>
        <v>0</v>
      </c>
      <c r="P759" s="82">
        <v>84.8</v>
      </c>
      <c r="Q759" s="82">
        <f t="shared" si="167"/>
        <v>1356.8</v>
      </c>
      <c r="R759" s="25"/>
    </row>
    <row r="760" spans="2:18" x14ac:dyDescent="0.25">
      <c r="B760" s="4" t="s">
        <v>23</v>
      </c>
      <c r="C760" s="41"/>
      <c r="D760" s="141">
        <v>0.15</v>
      </c>
      <c r="E760" s="13">
        <v>20.5</v>
      </c>
      <c r="F760" s="5">
        <f t="shared" si="164"/>
        <v>30.749999999999996</v>
      </c>
      <c r="G760" s="5">
        <v>0</v>
      </c>
      <c r="H760" s="5">
        <f t="shared" si="165"/>
        <v>0</v>
      </c>
      <c r="I760" s="25"/>
      <c r="K760" s="4" t="s">
        <v>23</v>
      </c>
      <c r="L760" s="41"/>
      <c r="M760" s="141">
        <v>0.08</v>
      </c>
      <c r="N760" s="13">
        <v>20.5</v>
      </c>
      <c r="O760" s="5">
        <f t="shared" si="166"/>
        <v>16.399999999999999</v>
      </c>
      <c r="P760" s="5">
        <v>0</v>
      </c>
      <c r="Q760" s="5">
        <f t="shared" si="167"/>
        <v>0</v>
      </c>
      <c r="R760" s="25"/>
    </row>
    <row r="761" spans="2:18" x14ac:dyDescent="0.25">
      <c r="B761" s="9" t="s">
        <v>26</v>
      </c>
      <c r="C761" s="42"/>
      <c r="D761" s="143">
        <f>SUM(D754:D760)</f>
        <v>30.75</v>
      </c>
      <c r="E761" s="9"/>
      <c r="F761" s="11">
        <f>SUM(F754:F760)</f>
        <v>442.63</v>
      </c>
      <c r="G761" s="9"/>
      <c r="H761" s="11">
        <f>SUM(H754:H760)</f>
        <v>5697.2</v>
      </c>
      <c r="I761" s="209" t="s">
        <v>6</v>
      </c>
      <c r="K761" s="9" t="s">
        <v>26</v>
      </c>
      <c r="L761" s="42"/>
      <c r="M761" s="143">
        <f>SUM(M754:M760)</f>
        <v>30.68</v>
      </c>
      <c r="N761" s="9"/>
      <c r="O761" s="11">
        <f>SUM(O754:O760)</f>
        <v>449</v>
      </c>
      <c r="P761" s="9"/>
      <c r="Q761" s="11">
        <f>SUM(Q754:Q760)</f>
        <v>5694.1</v>
      </c>
      <c r="R761" s="209" t="s">
        <v>6</v>
      </c>
    </row>
    <row r="762" spans="2:18" x14ac:dyDescent="0.25">
      <c r="B762" s="230"/>
      <c r="C762" s="231"/>
      <c r="D762" s="231"/>
      <c r="E762" s="232"/>
      <c r="F762" s="8">
        <f>F761/D761/10</f>
        <v>1.4394471544715448</v>
      </c>
      <c r="G762" s="12"/>
      <c r="H762" s="8">
        <f>H761/D761/10</f>
        <v>18.527479674796748</v>
      </c>
      <c r="I762" s="11">
        <f>((100-H762)*0.5)/F762</f>
        <v>28.299934482524904</v>
      </c>
      <c r="K762" s="230"/>
      <c r="L762" s="231"/>
      <c r="M762" s="231"/>
      <c r="N762" s="232"/>
      <c r="O762" s="8">
        <f>O761/M761/10</f>
        <v>1.4634941329856583</v>
      </c>
      <c r="P762" s="12"/>
      <c r="Q762" s="8">
        <f>Q761/M761/10</f>
        <v>18.559647979139505</v>
      </c>
      <c r="R762" s="11">
        <f>((100-Q762)*0.5)/O762</f>
        <v>27.823942093541206</v>
      </c>
    </row>
    <row r="765" spans="2:18" x14ac:dyDescent="0.25">
      <c r="B765" s="224" t="s">
        <v>200</v>
      </c>
      <c r="C765" s="225"/>
      <c r="D765" s="225"/>
      <c r="E765" s="225"/>
      <c r="F765" s="225"/>
      <c r="G765" s="225"/>
      <c r="H765" s="225"/>
      <c r="I765" s="226"/>
      <c r="K765" s="224" t="s">
        <v>201</v>
      </c>
      <c r="L765" s="225"/>
      <c r="M765" s="225"/>
      <c r="N765" s="225"/>
      <c r="O765" s="225"/>
      <c r="P765" s="225"/>
      <c r="Q765" s="225"/>
      <c r="R765" s="226"/>
    </row>
    <row r="766" spans="2:18" x14ac:dyDescent="0.25">
      <c r="B766" s="217" t="s">
        <v>0</v>
      </c>
      <c r="C766" s="227" t="s">
        <v>1</v>
      </c>
      <c r="D766" s="217" t="s">
        <v>47</v>
      </c>
      <c r="E766" s="221" t="s">
        <v>46</v>
      </c>
      <c r="F766" s="222"/>
      <c r="G766" s="222"/>
      <c r="H766" s="223"/>
      <c r="I766" s="229" t="s">
        <v>102</v>
      </c>
      <c r="K766" s="217" t="s">
        <v>0</v>
      </c>
      <c r="L766" s="227" t="s">
        <v>1</v>
      </c>
      <c r="M766" s="217" t="s">
        <v>47</v>
      </c>
      <c r="N766" s="221" t="s">
        <v>46</v>
      </c>
      <c r="O766" s="222"/>
      <c r="P766" s="222"/>
      <c r="Q766" s="223"/>
      <c r="R766" s="229" t="s">
        <v>102</v>
      </c>
    </row>
    <row r="767" spans="2:18" x14ac:dyDescent="0.25">
      <c r="B767" s="218"/>
      <c r="C767" s="228"/>
      <c r="D767" s="218"/>
      <c r="E767" s="2" t="s">
        <v>42</v>
      </c>
      <c r="F767" s="2" t="s">
        <v>43</v>
      </c>
      <c r="G767" s="2" t="s">
        <v>44</v>
      </c>
      <c r="H767" s="2" t="s">
        <v>45</v>
      </c>
      <c r="I767" s="229"/>
      <c r="K767" s="218"/>
      <c r="L767" s="228"/>
      <c r="M767" s="218"/>
      <c r="N767" s="2" t="s">
        <v>42</v>
      </c>
      <c r="O767" s="2" t="s">
        <v>43</v>
      </c>
      <c r="P767" s="2" t="s">
        <v>44</v>
      </c>
      <c r="Q767" s="2" t="s">
        <v>45</v>
      </c>
      <c r="R767" s="229"/>
    </row>
    <row r="768" spans="2:18" x14ac:dyDescent="0.25">
      <c r="B768" s="2" t="s">
        <v>186</v>
      </c>
      <c r="C768" s="196">
        <f>D768/(D768+D769+D770)*100</f>
        <v>70.046082949308754</v>
      </c>
      <c r="D768" s="145">
        <v>15.2</v>
      </c>
      <c r="E768" s="82">
        <v>1</v>
      </c>
      <c r="F768" s="82">
        <f t="shared" ref="F768:F774" si="168">(D768*E768%)*1000</f>
        <v>152</v>
      </c>
      <c r="G768" s="82">
        <v>13</v>
      </c>
      <c r="H768" s="146">
        <f t="shared" ref="H768:H774" si="169">(D768*G768%)*1000</f>
        <v>1976</v>
      </c>
      <c r="I768" s="51">
        <f>D768+D769+D770</f>
        <v>21.7</v>
      </c>
      <c r="K768" s="2" t="s">
        <v>190</v>
      </c>
      <c r="L768" s="196">
        <f>M768/(M768+M769+M770)*100</f>
        <v>70.046082949308754</v>
      </c>
      <c r="M768" s="145">
        <v>15.2</v>
      </c>
      <c r="N768" s="82">
        <v>1.2</v>
      </c>
      <c r="O768" s="82">
        <f t="shared" ref="O768:O774" si="170">(M768*N768%)*1000</f>
        <v>182.4</v>
      </c>
      <c r="P768" s="82">
        <v>13.4</v>
      </c>
      <c r="Q768" s="146">
        <f t="shared" ref="Q768:Q774" si="171">(M768*P768%)*1000</f>
        <v>2036.8</v>
      </c>
      <c r="R768" s="51">
        <f>M768+M769+M770</f>
        <v>21.7</v>
      </c>
    </row>
    <row r="769" spans="2:18" x14ac:dyDescent="0.25">
      <c r="B769" s="4" t="s">
        <v>110</v>
      </c>
      <c r="C769" s="35">
        <f>D769/(D768+D769+D770+D771)*100</f>
        <v>0</v>
      </c>
      <c r="D769" s="147">
        <v>0</v>
      </c>
      <c r="E769" s="82">
        <v>0.7</v>
      </c>
      <c r="F769" s="82">
        <f t="shared" si="168"/>
        <v>0</v>
      </c>
      <c r="G769" s="82">
        <v>0</v>
      </c>
      <c r="H769" s="82">
        <f t="shared" si="169"/>
        <v>0</v>
      </c>
      <c r="I769" s="25"/>
      <c r="K769" s="4" t="s">
        <v>110</v>
      </c>
      <c r="L769" s="35">
        <f>M769/(M768+M769+M770+M771)*100</f>
        <v>0</v>
      </c>
      <c r="M769" s="147">
        <v>0</v>
      </c>
      <c r="N769" s="82">
        <v>0.7</v>
      </c>
      <c r="O769" s="82">
        <f t="shared" si="170"/>
        <v>0</v>
      </c>
      <c r="P769" s="82">
        <v>0</v>
      </c>
      <c r="Q769" s="82">
        <f t="shared" si="171"/>
        <v>0</v>
      </c>
      <c r="R769" s="25"/>
    </row>
    <row r="770" spans="2:18" x14ac:dyDescent="0.25">
      <c r="B770" s="2" t="s">
        <v>162</v>
      </c>
      <c r="C770" s="196">
        <f>D770/(D768+D769+D770)*100</f>
        <v>29.953917050691249</v>
      </c>
      <c r="D770" s="147">
        <v>6.5</v>
      </c>
      <c r="E770" s="82">
        <v>0.48</v>
      </c>
      <c r="F770" s="82">
        <f t="shared" si="168"/>
        <v>31.2</v>
      </c>
      <c r="G770" s="82">
        <v>1.7</v>
      </c>
      <c r="H770" s="82">
        <f t="shared" si="169"/>
        <v>110.50000000000001</v>
      </c>
      <c r="I770" s="25"/>
      <c r="K770" s="2" t="s">
        <v>162</v>
      </c>
      <c r="L770" s="196">
        <f>M770/(M768+M769+M770)*100</f>
        <v>29.953917050691249</v>
      </c>
      <c r="M770" s="147">
        <v>6.5</v>
      </c>
      <c r="N770" s="82">
        <v>0.48</v>
      </c>
      <c r="O770" s="82">
        <f t="shared" si="170"/>
        <v>31.2</v>
      </c>
      <c r="P770" s="82">
        <v>1.7</v>
      </c>
      <c r="Q770" s="82">
        <f t="shared" si="171"/>
        <v>110.50000000000001</v>
      </c>
      <c r="R770" s="25"/>
    </row>
    <row r="771" spans="2:18" x14ac:dyDescent="0.25">
      <c r="B771" s="2" t="s">
        <v>176</v>
      </c>
      <c r="C771" s="35"/>
      <c r="D771" s="140">
        <v>0</v>
      </c>
      <c r="E771" s="82">
        <v>0</v>
      </c>
      <c r="F771" s="82">
        <f t="shared" si="168"/>
        <v>0</v>
      </c>
      <c r="G771" s="82">
        <v>30.2</v>
      </c>
      <c r="H771" s="5">
        <f t="shared" si="169"/>
        <v>0</v>
      </c>
      <c r="I771" s="25"/>
      <c r="K771" s="2" t="s">
        <v>176</v>
      </c>
      <c r="L771" s="35"/>
      <c r="M771" s="140">
        <v>0</v>
      </c>
      <c r="N771" s="82">
        <v>0</v>
      </c>
      <c r="O771" s="82">
        <f t="shared" si="170"/>
        <v>0</v>
      </c>
      <c r="P771" s="82">
        <v>30.2</v>
      </c>
      <c r="Q771" s="5">
        <f t="shared" si="171"/>
        <v>0</v>
      </c>
      <c r="R771" s="25"/>
    </row>
    <row r="772" spans="2:18" x14ac:dyDescent="0.25">
      <c r="B772" s="2" t="s">
        <v>17</v>
      </c>
      <c r="C772" s="196">
        <f>(D772/I768)*100</f>
        <v>33.640552995391701</v>
      </c>
      <c r="D772" s="147">
        <v>7.3</v>
      </c>
      <c r="E772" s="82">
        <v>3</v>
      </c>
      <c r="F772" s="82">
        <f t="shared" si="168"/>
        <v>219</v>
      </c>
      <c r="G772" s="82">
        <v>30</v>
      </c>
      <c r="H772" s="82">
        <f t="shared" si="169"/>
        <v>2190</v>
      </c>
      <c r="I772" s="25"/>
      <c r="K772" s="2" t="s">
        <v>17</v>
      </c>
      <c r="L772" s="196">
        <f>(M772/R768)*100</f>
        <v>33.640552995391701</v>
      </c>
      <c r="M772" s="147">
        <v>7.3</v>
      </c>
      <c r="N772" s="82">
        <v>3</v>
      </c>
      <c r="O772" s="82">
        <f t="shared" si="170"/>
        <v>219</v>
      </c>
      <c r="P772" s="82">
        <v>30</v>
      </c>
      <c r="Q772" s="82">
        <f t="shared" si="171"/>
        <v>2190</v>
      </c>
      <c r="R772" s="25"/>
    </row>
    <row r="773" spans="2:18" x14ac:dyDescent="0.25">
      <c r="B773" s="4" t="s">
        <v>21</v>
      </c>
      <c r="C773" s="41"/>
      <c r="D773" s="147">
        <v>1.6</v>
      </c>
      <c r="E773" s="82">
        <v>0</v>
      </c>
      <c r="F773" s="82">
        <f t="shared" si="168"/>
        <v>0</v>
      </c>
      <c r="G773" s="82">
        <v>84.8</v>
      </c>
      <c r="H773" s="82">
        <f t="shared" si="169"/>
        <v>1356.8</v>
      </c>
      <c r="I773" s="25"/>
      <c r="K773" s="4" t="s">
        <v>21</v>
      </c>
      <c r="L773" s="41"/>
      <c r="M773" s="147">
        <v>1.5</v>
      </c>
      <c r="N773" s="82">
        <v>0</v>
      </c>
      <c r="O773" s="82">
        <f t="shared" si="170"/>
        <v>0</v>
      </c>
      <c r="P773" s="82">
        <v>84.8</v>
      </c>
      <c r="Q773" s="82">
        <f t="shared" si="171"/>
        <v>1272</v>
      </c>
      <c r="R773" s="25"/>
    </row>
    <row r="774" spans="2:18" x14ac:dyDescent="0.25">
      <c r="B774" s="4" t="s">
        <v>23</v>
      </c>
      <c r="C774" s="41"/>
      <c r="D774" s="141">
        <v>0.2</v>
      </c>
      <c r="E774" s="13">
        <v>20.5</v>
      </c>
      <c r="F774" s="5">
        <f t="shared" si="168"/>
        <v>41</v>
      </c>
      <c r="G774" s="5">
        <v>0</v>
      </c>
      <c r="H774" s="5">
        <f t="shared" si="169"/>
        <v>0</v>
      </c>
      <c r="I774" s="25"/>
      <c r="K774" s="4" t="s">
        <v>23</v>
      </c>
      <c r="L774" s="41"/>
      <c r="M774" s="141">
        <v>0.08</v>
      </c>
      <c r="N774" s="13">
        <v>20.5</v>
      </c>
      <c r="O774" s="5">
        <f t="shared" si="170"/>
        <v>16.399999999999999</v>
      </c>
      <c r="P774" s="5">
        <v>0</v>
      </c>
      <c r="Q774" s="5">
        <f t="shared" si="171"/>
        <v>0</v>
      </c>
      <c r="R774" s="25"/>
    </row>
    <row r="775" spans="2:18" x14ac:dyDescent="0.25">
      <c r="B775" s="9" t="s">
        <v>26</v>
      </c>
      <c r="C775" s="42"/>
      <c r="D775" s="143">
        <f>SUM(D768:D774)</f>
        <v>30.8</v>
      </c>
      <c r="E775" s="9"/>
      <c r="F775" s="11">
        <f>SUM(F768:F774)</f>
        <v>443.2</v>
      </c>
      <c r="G775" s="9"/>
      <c r="H775" s="11">
        <f>SUM(H768:H774)</f>
        <v>5633.3</v>
      </c>
      <c r="I775" s="211" t="s">
        <v>6</v>
      </c>
      <c r="K775" s="9" t="s">
        <v>26</v>
      </c>
      <c r="L775" s="42"/>
      <c r="M775" s="143">
        <f>SUM(M768:M774)</f>
        <v>30.58</v>
      </c>
      <c r="N775" s="9"/>
      <c r="O775" s="11">
        <f>SUM(O768:O774)</f>
        <v>449</v>
      </c>
      <c r="P775" s="9"/>
      <c r="Q775" s="11">
        <f>SUM(Q768:Q774)</f>
        <v>5609.3</v>
      </c>
      <c r="R775" s="212" t="s">
        <v>6</v>
      </c>
    </row>
    <row r="776" spans="2:18" x14ac:dyDescent="0.25">
      <c r="B776" s="230"/>
      <c r="C776" s="231"/>
      <c r="D776" s="231"/>
      <c r="E776" s="232"/>
      <c r="F776" s="8">
        <f>F775/D775/10</f>
        <v>1.438961038961039</v>
      </c>
      <c r="G776" s="12"/>
      <c r="H776" s="8">
        <f>H775/D775/10</f>
        <v>18.289935064935065</v>
      </c>
      <c r="I776" s="11">
        <f>((100-H776)*0.5)/F776</f>
        <v>28.392035198555956</v>
      </c>
      <c r="K776" s="230"/>
      <c r="L776" s="231"/>
      <c r="M776" s="231"/>
      <c r="N776" s="232"/>
      <c r="O776" s="8">
        <f>O775/M775/10</f>
        <v>1.4682799215173317</v>
      </c>
      <c r="P776" s="12"/>
      <c r="Q776" s="8">
        <f>Q775/M775/10</f>
        <v>18.34303466317855</v>
      </c>
      <c r="R776" s="11">
        <f>((100-Q776)*0.5)/O776</f>
        <v>27.807015590200447</v>
      </c>
    </row>
    <row r="779" spans="2:18" x14ac:dyDescent="0.25">
      <c r="B779" s="224" t="s">
        <v>202</v>
      </c>
      <c r="C779" s="225"/>
      <c r="D779" s="225"/>
      <c r="E779" s="225"/>
      <c r="F779" s="225"/>
      <c r="G779" s="225"/>
      <c r="H779" s="225"/>
      <c r="I779" s="226"/>
    </row>
    <row r="780" spans="2:18" x14ac:dyDescent="0.25">
      <c r="B780" s="217" t="s">
        <v>0</v>
      </c>
      <c r="C780" s="227" t="s">
        <v>1</v>
      </c>
      <c r="D780" s="217" t="s">
        <v>47</v>
      </c>
      <c r="E780" s="221" t="s">
        <v>46</v>
      </c>
      <c r="F780" s="222"/>
      <c r="G780" s="222"/>
      <c r="H780" s="223"/>
      <c r="I780" s="229" t="s">
        <v>102</v>
      </c>
    </row>
    <row r="781" spans="2:18" x14ac:dyDescent="0.25">
      <c r="B781" s="218"/>
      <c r="C781" s="228"/>
      <c r="D781" s="218"/>
      <c r="E781" s="2" t="s">
        <v>42</v>
      </c>
      <c r="F781" s="2" t="s">
        <v>43</v>
      </c>
      <c r="G781" s="2" t="s">
        <v>44</v>
      </c>
      <c r="H781" s="2" t="s">
        <v>45</v>
      </c>
      <c r="I781" s="229"/>
    </row>
    <row r="782" spans="2:18" x14ac:dyDescent="0.25">
      <c r="B782" s="2" t="s">
        <v>190</v>
      </c>
      <c r="C782" s="196">
        <f>D782/(D782+D783+D784)*100</f>
        <v>70.046082949308754</v>
      </c>
      <c r="D782" s="145">
        <v>15.2</v>
      </c>
      <c r="E782" s="82">
        <v>1.2</v>
      </c>
      <c r="F782" s="82">
        <f t="shared" ref="F782:F788" si="172">(D782*E782%)*1000</f>
        <v>182.4</v>
      </c>
      <c r="G782" s="82">
        <v>13.4</v>
      </c>
      <c r="H782" s="146">
        <f t="shared" ref="H782:H788" si="173">(D782*G782%)*1000</f>
        <v>2036.8</v>
      </c>
      <c r="I782" s="51">
        <f>D782+D783+D784</f>
        <v>21.7</v>
      </c>
    </row>
    <row r="783" spans="2:18" x14ac:dyDescent="0.25">
      <c r="B783" s="4" t="s">
        <v>110</v>
      </c>
      <c r="C783" s="35">
        <f>D783/(D782+D783+D784+D785)*100</f>
        <v>0</v>
      </c>
      <c r="D783" s="147">
        <v>0</v>
      </c>
      <c r="E783" s="82">
        <v>0.7</v>
      </c>
      <c r="F783" s="82">
        <f t="shared" si="172"/>
        <v>0</v>
      </c>
      <c r="G783" s="82">
        <v>0</v>
      </c>
      <c r="H783" s="82">
        <f t="shared" si="173"/>
        <v>0</v>
      </c>
      <c r="I783" s="25"/>
    </row>
    <row r="784" spans="2:18" x14ac:dyDescent="0.25">
      <c r="B784" s="2" t="s">
        <v>162</v>
      </c>
      <c r="C784" s="196">
        <f>D784/(D782+D783+D784)*100</f>
        <v>29.953917050691249</v>
      </c>
      <c r="D784" s="147">
        <v>6.5</v>
      </c>
      <c r="E784" s="82">
        <v>0.48</v>
      </c>
      <c r="F784" s="82">
        <f t="shared" si="172"/>
        <v>31.2</v>
      </c>
      <c r="G784" s="82">
        <v>1.7</v>
      </c>
      <c r="H784" s="82">
        <f t="shared" si="173"/>
        <v>110.50000000000001</v>
      </c>
      <c r="I784" s="25"/>
    </row>
    <row r="785" spans="2:9" x14ac:dyDescent="0.25">
      <c r="B785" s="2" t="s">
        <v>176</v>
      </c>
      <c r="C785" s="35"/>
      <c r="D785" s="140">
        <v>0</v>
      </c>
      <c r="E785" s="82">
        <v>0</v>
      </c>
      <c r="F785" s="82">
        <f t="shared" si="172"/>
        <v>0</v>
      </c>
      <c r="G785" s="82">
        <v>30.2</v>
      </c>
      <c r="H785" s="5">
        <f t="shared" si="173"/>
        <v>0</v>
      </c>
      <c r="I785" s="25"/>
    </row>
    <row r="786" spans="2:9" x14ac:dyDescent="0.25">
      <c r="B786" s="2" t="s">
        <v>17</v>
      </c>
      <c r="C786" s="196">
        <f>(D786/I782)*100</f>
        <v>33.640552995391701</v>
      </c>
      <c r="D786" s="147">
        <v>7.3</v>
      </c>
      <c r="E786" s="82">
        <v>3</v>
      </c>
      <c r="F786" s="82">
        <f t="shared" si="172"/>
        <v>219</v>
      </c>
      <c r="G786" s="82">
        <v>30</v>
      </c>
      <c r="H786" s="82">
        <f t="shared" si="173"/>
        <v>2190</v>
      </c>
      <c r="I786" s="25"/>
    </row>
    <row r="787" spans="2:9" x14ac:dyDescent="0.25">
      <c r="B787" s="4" t="s">
        <v>21</v>
      </c>
      <c r="C787" s="41"/>
      <c r="D787" s="147">
        <v>1.5</v>
      </c>
      <c r="E787" s="82">
        <v>0</v>
      </c>
      <c r="F787" s="82">
        <f t="shared" si="172"/>
        <v>0</v>
      </c>
      <c r="G787" s="82">
        <v>84.8</v>
      </c>
      <c r="H787" s="82">
        <f t="shared" si="173"/>
        <v>1272</v>
      </c>
      <c r="I787" s="25"/>
    </row>
    <row r="788" spans="2:9" x14ac:dyDescent="0.25">
      <c r="B788" s="4" t="s">
        <v>23</v>
      </c>
      <c r="C788" s="41"/>
      <c r="D788" s="141">
        <v>0.08</v>
      </c>
      <c r="E788" s="13">
        <v>20.5</v>
      </c>
      <c r="F788" s="5">
        <f t="shared" si="172"/>
        <v>16.399999999999999</v>
      </c>
      <c r="G788" s="5">
        <v>0</v>
      </c>
      <c r="H788" s="5">
        <f t="shared" si="173"/>
        <v>0</v>
      </c>
      <c r="I788" s="25"/>
    </row>
    <row r="789" spans="2:9" x14ac:dyDescent="0.25">
      <c r="B789" s="9" t="s">
        <v>26</v>
      </c>
      <c r="C789" s="42"/>
      <c r="D789" s="143">
        <f>SUM(D782:D788)</f>
        <v>30.58</v>
      </c>
      <c r="E789" s="9"/>
      <c r="F789" s="11">
        <f>SUM(F782:F788)</f>
        <v>449</v>
      </c>
      <c r="G789" s="9"/>
      <c r="H789" s="11">
        <f>SUM(H782:H788)</f>
        <v>5609.3</v>
      </c>
      <c r="I789" s="213" t="s">
        <v>6</v>
      </c>
    </row>
    <row r="790" spans="2:9" x14ac:dyDescent="0.25">
      <c r="B790" s="230"/>
      <c r="C790" s="231"/>
      <c r="D790" s="231"/>
      <c r="E790" s="232"/>
      <c r="F790" s="8">
        <f>F789/D789/10</f>
        <v>1.4682799215173317</v>
      </c>
      <c r="G790" s="12"/>
      <c r="H790" s="8">
        <f>H789/D789/10</f>
        <v>18.34303466317855</v>
      </c>
      <c r="I790" s="11">
        <f>((100-H790)*0.5)/F790</f>
        <v>27.807015590200447</v>
      </c>
    </row>
  </sheetData>
  <mergeCells count="645">
    <mergeCell ref="B779:I779"/>
    <mergeCell ref="B780:B781"/>
    <mergeCell ref="C780:C781"/>
    <mergeCell ref="D780:D781"/>
    <mergeCell ref="E780:H780"/>
    <mergeCell ref="I780:I781"/>
    <mergeCell ref="B790:E790"/>
    <mergeCell ref="K765:R765"/>
    <mergeCell ref="K766:K767"/>
    <mergeCell ref="L766:L767"/>
    <mergeCell ref="M766:M767"/>
    <mergeCell ref="N766:Q766"/>
    <mergeCell ref="R766:R767"/>
    <mergeCell ref="K776:N776"/>
    <mergeCell ref="B765:I765"/>
    <mergeCell ref="B766:B767"/>
    <mergeCell ref="C766:C767"/>
    <mergeCell ref="D766:D767"/>
    <mergeCell ref="E766:H766"/>
    <mergeCell ref="I766:I767"/>
    <mergeCell ref="B776:E776"/>
    <mergeCell ref="B751:I751"/>
    <mergeCell ref="B752:B753"/>
    <mergeCell ref="C752:C753"/>
    <mergeCell ref="D752:D753"/>
    <mergeCell ref="E752:H752"/>
    <mergeCell ref="I752:I753"/>
    <mergeCell ref="B762:E762"/>
    <mergeCell ref="K751:R751"/>
    <mergeCell ref="K752:K753"/>
    <mergeCell ref="L752:L753"/>
    <mergeCell ref="M752:M753"/>
    <mergeCell ref="N752:Q752"/>
    <mergeCell ref="R752:R753"/>
    <mergeCell ref="K762:N762"/>
    <mergeCell ref="K695:R695"/>
    <mergeCell ref="K696:K697"/>
    <mergeCell ref="K706:N706"/>
    <mergeCell ref="K709:R709"/>
    <mergeCell ref="K710:K711"/>
    <mergeCell ref="L710:L711"/>
    <mergeCell ref="M710:M711"/>
    <mergeCell ref="N710:Q710"/>
    <mergeCell ref="R710:R711"/>
    <mergeCell ref="B723:I723"/>
    <mergeCell ref="B724:B725"/>
    <mergeCell ref="C724:C725"/>
    <mergeCell ref="D724:D725"/>
    <mergeCell ref="E724:H724"/>
    <mergeCell ref="I724:I725"/>
    <mergeCell ref="B734:E734"/>
    <mergeCell ref="B709:I709"/>
    <mergeCell ref="B710:B711"/>
    <mergeCell ref="C710:C711"/>
    <mergeCell ref="D710:D711"/>
    <mergeCell ref="E710:H710"/>
    <mergeCell ref="I710:I711"/>
    <mergeCell ref="B720:E720"/>
    <mergeCell ref="B695:I695"/>
    <mergeCell ref="B696:B697"/>
    <mergeCell ref="C696:C697"/>
    <mergeCell ref="D696:D697"/>
    <mergeCell ref="E696:H696"/>
    <mergeCell ref="I696:I697"/>
    <mergeCell ref="B706:E706"/>
    <mergeCell ref="K723:R723"/>
    <mergeCell ref="K677:N677"/>
    <mergeCell ref="B680:I680"/>
    <mergeCell ref="B681:B682"/>
    <mergeCell ref="C681:C682"/>
    <mergeCell ref="D681:D682"/>
    <mergeCell ref="E681:H681"/>
    <mergeCell ref="I681:I682"/>
    <mergeCell ref="B691:E691"/>
    <mergeCell ref="K680:R680"/>
    <mergeCell ref="K681:K682"/>
    <mergeCell ref="L681:L682"/>
    <mergeCell ref="M681:M682"/>
    <mergeCell ref="N681:Q681"/>
    <mergeCell ref="R681:R682"/>
    <mergeCell ref="K691:N691"/>
    <mergeCell ref="K720:N720"/>
    <mergeCell ref="D651:D652"/>
    <mergeCell ref="E651:H651"/>
    <mergeCell ref="I651:I652"/>
    <mergeCell ref="K665:R665"/>
    <mergeCell ref="E666:H666"/>
    <mergeCell ref="K666:K667"/>
    <mergeCell ref="L666:L667"/>
    <mergeCell ref="M666:M667"/>
    <mergeCell ref="N666:Q666"/>
    <mergeCell ref="R666:R667"/>
    <mergeCell ref="B662:E662"/>
    <mergeCell ref="K662:N662"/>
    <mergeCell ref="L577:L578"/>
    <mergeCell ref="M577:M578"/>
    <mergeCell ref="N577:Q577"/>
    <mergeCell ref="B621:I621"/>
    <mergeCell ref="B622:B623"/>
    <mergeCell ref="C622:C623"/>
    <mergeCell ref="D622:D623"/>
    <mergeCell ref="E622:H622"/>
    <mergeCell ref="I622:I623"/>
    <mergeCell ref="K591:R591"/>
    <mergeCell ref="K592:K593"/>
    <mergeCell ref="L592:L593"/>
    <mergeCell ref="M592:M593"/>
    <mergeCell ref="N592:Q592"/>
    <mergeCell ref="R592:R593"/>
    <mergeCell ref="K603:N603"/>
    <mergeCell ref="B591:I591"/>
    <mergeCell ref="B592:B593"/>
    <mergeCell ref="C592:C593"/>
    <mergeCell ref="D592:D593"/>
    <mergeCell ref="E592:H592"/>
    <mergeCell ref="I592:I593"/>
    <mergeCell ref="B603:E603"/>
    <mergeCell ref="K618:N618"/>
    <mergeCell ref="R533:R534"/>
    <mergeCell ref="B558:E558"/>
    <mergeCell ref="K546:R546"/>
    <mergeCell ref="K547:K548"/>
    <mergeCell ref="L547:L548"/>
    <mergeCell ref="M547:M548"/>
    <mergeCell ref="N547:Q547"/>
    <mergeCell ref="R547:R548"/>
    <mergeCell ref="K558:N558"/>
    <mergeCell ref="D533:D534"/>
    <mergeCell ref="E533:H533"/>
    <mergeCell ref="I533:I534"/>
    <mergeCell ref="L533:L534"/>
    <mergeCell ref="M533:M534"/>
    <mergeCell ref="N533:Q533"/>
    <mergeCell ref="K362:N362"/>
    <mergeCell ref="K366:R366"/>
    <mergeCell ref="K367:K368"/>
    <mergeCell ref="L367:L368"/>
    <mergeCell ref="M367:M368"/>
    <mergeCell ref="N367:Q367"/>
    <mergeCell ref="R367:R368"/>
    <mergeCell ref="K378:N378"/>
    <mergeCell ref="M473:M474"/>
    <mergeCell ref="N473:Q473"/>
    <mergeCell ref="R473:R474"/>
    <mergeCell ref="M444:M445"/>
    <mergeCell ref="R444:R445"/>
    <mergeCell ref="K470:N470"/>
    <mergeCell ref="K472:R472"/>
    <mergeCell ref="K443:R443"/>
    <mergeCell ref="N444:Q444"/>
    <mergeCell ref="K458:R458"/>
    <mergeCell ref="K459:K460"/>
    <mergeCell ref="L459:L460"/>
    <mergeCell ref="M459:M460"/>
    <mergeCell ref="N459:Q459"/>
    <mergeCell ref="R459:R460"/>
    <mergeCell ref="K444:K445"/>
    <mergeCell ref="C415:C416"/>
    <mergeCell ref="D415:D416"/>
    <mergeCell ref="E415:H415"/>
    <mergeCell ref="I415:I416"/>
    <mergeCell ref="B426:E426"/>
    <mergeCell ref="B428:I428"/>
    <mergeCell ref="E400:H400"/>
    <mergeCell ref="D400:D401"/>
    <mergeCell ref="E429:H429"/>
    <mergeCell ref="I429:I430"/>
    <mergeCell ref="B503:B504"/>
    <mergeCell ref="C503:C504"/>
    <mergeCell ref="D503:D504"/>
    <mergeCell ref="I459:I460"/>
    <mergeCell ref="E473:H473"/>
    <mergeCell ref="B470:E470"/>
    <mergeCell ref="B472:I472"/>
    <mergeCell ref="B458:I458"/>
    <mergeCell ref="B459:B460"/>
    <mergeCell ref="C459:C460"/>
    <mergeCell ref="D459:D460"/>
    <mergeCell ref="E459:H459"/>
    <mergeCell ref="B499:E499"/>
    <mergeCell ref="B443:I443"/>
    <mergeCell ref="B382:B383"/>
    <mergeCell ref="C382:C383"/>
    <mergeCell ref="D382:D383"/>
    <mergeCell ref="E382:H382"/>
    <mergeCell ref="I382:I383"/>
    <mergeCell ref="B393:E393"/>
    <mergeCell ref="I400:I401"/>
    <mergeCell ref="C367:C368"/>
    <mergeCell ref="D367:D368"/>
    <mergeCell ref="E367:H367"/>
    <mergeCell ref="I367:I368"/>
    <mergeCell ref="D429:D430"/>
    <mergeCell ref="B429:B430"/>
    <mergeCell ref="C429:C430"/>
    <mergeCell ref="B411:E411"/>
    <mergeCell ref="B381:I381"/>
    <mergeCell ref="B378:E378"/>
    <mergeCell ref="B440:E440"/>
    <mergeCell ref="B399:I399"/>
    <mergeCell ref="B400:B401"/>
    <mergeCell ref="C400:C401"/>
    <mergeCell ref="B414:I414"/>
    <mergeCell ref="B415:B416"/>
    <mergeCell ref="B158:I158"/>
    <mergeCell ref="B143:B144"/>
    <mergeCell ref="D143:D144"/>
    <mergeCell ref="B142:I142"/>
    <mergeCell ref="E128:H128"/>
    <mergeCell ref="C128:C129"/>
    <mergeCell ref="E143:H143"/>
    <mergeCell ref="C159:C160"/>
    <mergeCell ref="C143:C144"/>
    <mergeCell ref="I143:I144"/>
    <mergeCell ref="I159:I160"/>
    <mergeCell ref="B128:B129"/>
    <mergeCell ref="B159:B160"/>
    <mergeCell ref="D159:D160"/>
    <mergeCell ref="E159:H159"/>
    <mergeCell ref="B363:E363"/>
    <mergeCell ref="B366:I366"/>
    <mergeCell ref="B367:B368"/>
    <mergeCell ref="K274:N274"/>
    <mergeCell ref="K277:R277"/>
    <mergeCell ref="N278:Q278"/>
    <mergeCell ref="K289:N289"/>
    <mergeCell ref="C292:C293"/>
    <mergeCell ref="D292:D293"/>
    <mergeCell ref="B289:E289"/>
    <mergeCell ref="B277:I277"/>
    <mergeCell ref="K291:R291"/>
    <mergeCell ref="K292:K293"/>
    <mergeCell ref="L292:L293"/>
    <mergeCell ref="M292:M293"/>
    <mergeCell ref="B291:I291"/>
    <mergeCell ref="I278:I279"/>
    <mergeCell ref="M278:M279"/>
    <mergeCell ref="L278:L279"/>
    <mergeCell ref="K278:K279"/>
    <mergeCell ref="B337:B338"/>
    <mergeCell ref="C337:C338"/>
    <mergeCell ref="D337:D338"/>
    <mergeCell ref="E337:H337"/>
    <mergeCell ref="B174:B175"/>
    <mergeCell ref="K173:R173"/>
    <mergeCell ref="L248:L249"/>
    <mergeCell ref="L233:L234"/>
    <mergeCell ref="C233:C234"/>
    <mergeCell ref="K247:R247"/>
    <mergeCell ref="K248:K249"/>
    <mergeCell ref="M248:M249"/>
    <mergeCell ref="D352:D353"/>
    <mergeCell ref="E352:H352"/>
    <mergeCell ref="I352:I353"/>
    <mergeCell ref="B348:E348"/>
    <mergeCell ref="I337:I338"/>
    <mergeCell ref="B351:I351"/>
    <mergeCell ref="B352:B353"/>
    <mergeCell ref="C352:C353"/>
    <mergeCell ref="R189:R190"/>
    <mergeCell ref="B189:B190"/>
    <mergeCell ref="D189:D190"/>
    <mergeCell ref="E189:H189"/>
    <mergeCell ref="K189:K190"/>
    <mergeCell ref="M189:M190"/>
    <mergeCell ref="N189:Q189"/>
    <mergeCell ref="L189:L190"/>
    <mergeCell ref="C189:C190"/>
    <mergeCell ref="I189:I190"/>
    <mergeCell ref="R233:R234"/>
    <mergeCell ref="M233:M234"/>
    <mergeCell ref="N233:Q233"/>
    <mergeCell ref="C248:C249"/>
    <mergeCell ref="N248:Q248"/>
    <mergeCell ref="K233:K234"/>
    <mergeCell ref="D233:D234"/>
    <mergeCell ref="E233:H233"/>
    <mergeCell ref="E248:H248"/>
    <mergeCell ref="B247:I247"/>
    <mergeCell ref="I233:I234"/>
    <mergeCell ref="B248:B249"/>
    <mergeCell ref="D248:D249"/>
    <mergeCell ref="L174:L175"/>
    <mergeCell ref="B232:I232"/>
    <mergeCell ref="B233:B234"/>
    <mergeCell ref="B2:I2"/>
    <mergeCell ref="B16:I16"/>
    <mergeCell ref="B17:B18"/>
    <mergeCell ref="D17:D18"/>
    <mergeCell ref="E17:H17"/>
    <mergeCell ref="B47:I47"/>
    <mergeCell ref="B32:I32"/>
    <mergeCell ref="B33:B34"/>
    <mergeCell ref="D33:D34"/>
    <mergeCell ref="E33:H33"/>
    <mergeCell ref="B3:B4"/>
    <mergeCell ref="E3:H3"/>
    <mergeCell ref="D3:D4"/>
    <mergeCell ref="I3:I4"/>
    <mergeCell ref="I17:I18"/>
    <mergeCell ref="I33:I34"/>
    <mergeCell ref="C33:C34"/>
    <mergeCell ref="C17:C18"/>
    <mergeCell ref="B173:I173"/>
    <mergeCell ref="C174:C175"/>
    <mergeCell ref="B204:B205"/>
    <mergeCell ref="C3:C4"/>
    <mergeCell ref="I48:I49"/>
    <mergeCell ref="I64:I65"/>
    <mergeCell ref="I80:I81"/>
    <mergeCell ref="E64:H64"/>
    <mergeCell ref="B63:I63"/>
    <mergeCell ref="E112:H112"/>
    <mergeCell ref="D112:D113"/>
    <mergeCell ref="C112:C113"/>
    <mergeCell ref="C96:C97"/>
    <mergeCell ref="C80:C81"/>
    <mergeCell ref="C64:C65"/>
    <mergeCell ref="B64:B65"/>
    <mergeCell ref="D64:D65"/>
    <mergeCell ref="B127:I127"/>
    <mergeCell ref="I96:I97"/>
    <mergeCell ref="B48:B49"/>
    <mergeCell ref="D48:D49"/>
    <mergeCell ref="E48:H48"/>
    <mergeCell ref="C48:C49"/>
    <mergeCell ref="D128:D129"/>
    <mergeCell ref="K128:K129"/>
    <mergeCell ref="M128:M129"/>
    <mergeCell ref="L128:L129"/>
    <mergeCell ref="B95:I95"/>
    <mergeCell ref="B96:B97"/>
    <mergeCell ref="D96:D97"/>
    <mergeCell ref="E96:H96"/>
    <mergeCell ref="B80:B81"/>
    <mergeCell ref="D80:D81"/>
    <mergeCell ref="E80:H80"/>
    <mergeCell ref="B111:I111"/>
    <mergeCell ref="B112:B113"/>
    <mergeCell ref="K48:K49"/>
    <mergeCell ref="M48:M49"/>
    <mergeCell ref="I112:I113"/>
    <mergeCell ref="I128:I129"/>
    <mergeCell ref="B79:I79"/>
    <mergeCell ref="N48:Q48"/>
    <mergeCell ref="L33:L34"/>
    <mergeCell ref="L48:L49"/>
    <mergeCell ref="K127:Q127"/>
    <mergeCell ref="K79:Q79"/>
    <mergeCell ref="K80:K81"/>
    <mergeCell ref="M80:M81"/>
    <mergeCell ref="N80:Q80"/>
    <mergeCell ref="K63:Q63"/>
    <mergeCell ref="K64:K65"/>
    <mergeCell ref="M64:M65"/>
    <mergeCell ref="N64:Q64"/>
    <mergeCell ref="L64:L65"/>
    <mergeCell ref="L80:L81"/>
    <mergeCell ref="K2:Q2"/>
    <mergeCell ref="K3:K4"/>
    <mergeCell ref="M3:M4"/>
    <mergeCell ref="N3:Q3"/>
    <mergeCell ref="K112:K113"/>
    <mergeCell ref="M112:M113"/>
    <mergeCell ref="N112:Q112"/>
    <mergeCell ref="K16:Q16"/>
    <mergeCell ref="K17:K18"/>
    <mergeCell ref="M17:M18"/>
    <mergeCell ref="N17:Q17"/>
    <mergeCell ref="K95:Q95"/>
    <mergeCell ref="K96:K97"/>
    <mergeCell ref="M96:M97"/>
    <mergeCell ref="N96:Q96"/>
    <mergeCell ref="K111:Q111"/>
    <mergeCell ref="K32:Q32"/>
    <mergeCell ref="L3:L4"/>
    <mergeCell ref="L17:L18"/>
    <mergeCell ref="L96:L97"/>
    <mergeCell ref="L112:L113"/>
    <mergeCell ref="M33:M34"/>
    <mergeCell ref="N33:Q33"/>
    <mergeCell ref="K47:Q47"/>
    <mergeCell ref="N128:Q128"/>
    <mergeCell ref="K33:K34"/>
    <mergeCell ref="D204:D205"/>
    <mergeCell ref="E204:H204"/>
    <mergeCell ref="K219:K220"/>
    <mergeCell ref="M219:M220"/>
    <mergeCell ref="N219:Q219"/>
    <mergeCell ref="K204:K205"/>
    <mergeCell ref="M204:M205"/>
    <mergeCell ref="N204:Q204"/>
    <mergeCell ref="D219:D220"/>
    <mergeCell ref="I204:I205"/>
    <mergeCell ref="I219:I220"/>
    <mergeCell ref="D174:D175"/>
    <mergeCell ref="E174:H174"/>
    <mergeCell ref="N174:Q174"/>
    <mergeCell ref="B188:I188"/>
    <mergeCell ref="K188:R188"/>
    <mergeCell ref="I174:I175"/>
    <mergeCell ref="R174:R175"/>
    <mergeCell ref="K174:K175"/>
    <mergeCell ref="M174:M175"/>
    <mergeCell ref="B218:I218"/>
    <mergeCell ref="B219:B220"/>
    <mergeCell ref="K263:K264"/>
    <mergeCell ref="L263:L264"/>
    <mergeCell ref="R263:R264"/>
    <mergeCell ref="I248:I249"/>
    <mergeCell ref="R248:R249"/>
    <mergeCell ref="M263:M264"/>
    <mergeCell ref="B203:I203"/>
    <mergeCell ref="L204:L205"/>
    <mergeCell ref="E219:H219"/>
    <mergeCell ref="R219:R220"/>
    <mergeCell ref="L219:L220"/>
    <mergeCell ref="C219:C220"/>
    <mergeCell ref="C204:C205"/>
    <mergeCell ref="K218:R218"/>
    <mergeCell ref="E263:H263"/>
    <mergeCell ref="B263:B264"/>
    <mergeCell ref="C263:C264"/>
    <mergeCell ref="D263:D264"/>
    <mergeCell ref="K262:R262"/>
    <mergeCell ref="N263:Q263"/>
    <mergeCell ref="B262:I262"/>
    <mergeCell ref="K232:R232"/>
    <mergeCell ref="R204:R205"/>
    <mergeCell ref="K203:R203"/>
    <mergeCell ref="E278:H278"/>
    <mergeCell ref="B278:B279"/>
    <mergeCell ref="C278:C279"/>
    <mergeCell ref="D278:D279"/>
    <mergeCell ref="R278:R279"/>
    <mergeCell ref="K303:N303"/>
    <mergeCell ref="B306:I306"/>
    <mergeCell ref="B307:B308"/>
    <mergeCell ref="C307:C308"/>
    <mergeCell ref="D307:D308"/>
    <mergeCell ref="E307:H307"/>
    <mergeCell ref="I307:I308"/>
    <mergeCell ref="B303:E303"/>
    <mergeCell ref="E292:H292"/>
    <mergeCell ref="I292:I293"/>
    <mergeCell ref="B292:B293"/>
    <mergeCell ref="N292:Q292"/>
    <mergeCell ref="K306:R306"/>
    <mergeCell ref="K307:K308"/>
    <mergeCell ref="L307:L308"/>
    <mergeCell ref="M307:M308"/>
    <mergeCell ref="N307:Q307"/>
    <mergeCell ref="R307:R308"/>
    <mergeCell ref="R292:R293"/>
    <mergeCell ref="K318:N318"/>
    <mergeCell ref="B321:I321"/>
    <mergeCell ref="B318:E318"/>
    <mergeCell ref="B322:B323"/>
    <mergeCell ref="C322:C323"/>
    <mergeCell ref="D322:D323"/>
    <mergeCell ref="E322:H322"/>
    <mergeCell ref="I322:I323"/>
    <mergeCell ref="K333:N333"/>
    <mergeCell ref="K321:R321"/>
    <mergeCell ref="K322:K323"/>
    <mergeCell ref="L322:L323"/>
    <mergeCell ref="M322:M323"/>
    <mergeCell ref="N322:Q322"/>
    <mergeCell ref="R322:R323"/>
    <mergeCell ref="B333:E333"/>
    <mergeCell ref="K336:R336"/>
    <mergeCell ref="B336:I336"/>
    <mergeCell ref="K337:K338"/>
    <mergeCell ref="L337:L338"/>
    <mergeCell ref="M337:M338"/>
    <mergeCell ref="N337:Q337"/>
    <mergeCell ref="R337:R338"/>
    <mergeCell ref="K348:N348"/>
    <mergeCell ref="K351:R351"/>
    <mergeCell ref="K352:K353"/>
    <mergeCell ref="L352:L353"/>
    <mergeCell ref="R352:R353"/>
    <mergeCell ref="N352:Q352"/>
    <mergeCell ref="M352:M353"/>
    <mergeCell ref="L444:L445"/>
    <mergeCell ref="K455:N455"/>
    <mergeCell ref="B487:I487"/>
    <mergeCell ref="B488:B489"/>
    <mergeCell ref="C488:C489"/>
    <mergeCell ref="D488:D489"/>
    <mergeCell ref="E488:H488"/>
    <mergeCell ref="I488:I489"/>
    <mergeCell ref="I473:I474"/>
    <mergeCell ref="C444:C445"/>
    <mergeCell ref="D444:D445"/>
    <mergeCell ref="I444:I445"/>
    <mergeCell ref="K473:K474"/>
    <mergeCell ref="L473:L474"/>
    <mergeCell ref="K484:N484"/>
    <mergeCell ref="B484:E484"/>
    <mergeCell ref="D473:D474"/>
    <mergeCell ref="E444:H444"/>
    <mergeCell ref="C473:C474"/>
    <mergeCell ref="B455:E455"/>
    <mergeCell ref="B444:B445"/>
    <mergeCell ref="B473:B474"/>
    <mergeCell ref="L562:L563"/>
    <mergeCell ref="M562:M563"/>
    <mergeCell ref="K487:R487"/>
    <mergeCell ref="K488:K489"/>
    <mergeCell ref="L488:L489"/>
    <mergeCell ref="M488:M489"/>
    <mergeCell ref="N488:Q488"/>
    <mergeCell ref="R488:R489"/>
    <mergeCell ref="R503:R504"/>
    <mergeCell ref="K499:N499"/>
    <mergeCell ref="K502:R502"/>
    <mergeCell ref="K503:K504"/>
    <mergeCell ref="L503:L504"/>
    <mergeCell ref="M503:M504"/>
    <mergeCell ref="N503:Q503"/>
    <mergeCell ref="K544:N544"/>
    <mergeCell ref="R518:R519"/>
    <mergeCell ref="K561:R561"/>
    <mergeCell ref="K529:N529"/>
    <mergeCell ref="K532:R532"/>
    <mergeCell ref="K533:K534"/>
    <mergeCell ref="C518:C519"/>
    <mergeCell ref="D518:D519"/>
    <mergeCell ref="E518:H518"/>
    <mergeCell ref="I518:I519"/>
    <mergeCell ref="K517:R517"/>
    <mergeCell ref="K518:K519"/>
    <mergeCell ref="L518:L519"/>
    <mergeCell ref="M518:M519"/>
    <mergeCell ref="N518:Q518"/>
    <mergeCell ref="B517:I517"/>
    <mergeCell ref="B518:B519"/>
    <mergeCell ref="B514:E514"/>
    <mergeCell ref="E503:H503"/>
    <mergeCell ref="I503:I504"/>
    <mergeCell ref="B502:I502"/>
    <mergeCell ref="K514:N514"/>
    <mergeCell ref="R577:R578"/>
    <mergeCell ref="K588:N588"/>
    <mergeCell ref="B529:E529"/>
    <mergeCell ref="B546:I546"/>
    <mergeCell ref="B544:E544"/>
    <mergeCell ref="B532:I532"/>
    <mergeCell ref="B533:B534"/>
    <mergeCell ref="C533:C534"/>
    <mergeCell ref="B547:B548"/>
    <mergeCell ref="C547:C548"/>
    <mergeCell ref="D547:D548"/>
    <mergeCell ref="E547:H547"/>
    <mergeCell ref="I547:I548"/>
    <mergeCell ref="N562:Q562"/>
    <mergeCell ref="R562:R563"/>
    <mergeCell ref="K573:N573"/>
    <mergeCell ref="B573:E573"/>
    <mergeCell ref="B561:I561"/>
    <mergeCell ref="B562:B563"/>
    <mergeCell ref="C562:C563"/>
    <mergeCell ref="D562:D563"/>
    <mergeCell ref="E562:H562"/>
    <mergeCell ref="I562:I563"/>
    <mergeCell ref="K562:K563"/>
    <mergeCell ref="B636:I636"/>
    <mergeCell ref="B637:B638"/>
    <mergeCell ref="C637:C638"/>
    <mergeCell ref="D637:D638"/>
    <mergeCell ref="E637:H637"/>
    <mergeCell ref="I637:I638"/>
    <mergeCell ref="B576:I576"/>
    <mergeCell ref="B577:B578"/>
    <mergeCell ref="C577:C578"/>
    <mergeCell ref="D577:D578"/>
    <mergeCell ref="E577:H577"/>
    <mergeCell ref="I577:I578"/>
    <mergeCell ref="B588:E588"/>
    <mergeCell ref="K606:R606"/>
    <mergeCell ref="K607:K608"/>
    <mergeCell ref="L607:L608"/>
    <mergeCell ref="M607:M608"/>
    <mergeCell ref="K576:R576"/>
    <mergeCell ref="K577:K578"/>
    <mergeCell ref="B618:E618"/>
    <mergeCell ref="M622:M623"/>
    <mergeCell ref="B606:I606"/>
    <mergeCell ref="B607:B608"/>
    <mergeCell ref="C607:C608"/>
    <mergeCell ref="D607:D608"/>
    <mergeCell ref="E607:H607"/>
    <mergeCell ref="I607:I608"/>
    <mergeCell ref="K621:R621"/>
    <mergeCell ref="K622:K623"/>
    <mergeCell ref="L622:L623"/>
    <mergeCell ref="N622:Q622"/>
    <mergeCell ref="R622:R623"/>
    <mergeCell ref="N607:Q607"/>
    <mergeCell ref="R607:R608"/>
    <mergeCell ref="B634:E634"/>
    <mergeCell ref="B648:E648"/>
    <mergeCell ref="K636:R636"/>
    <mergeCell ref="K637:K638"/>
    <mergeCell ref="L637:L638"/>
    <mergeCell ref="M637:M638"/>
    <mergeCell ref="L696:L697"/>
    <mergeCell ref="M696:M697"/>
    <mergeCell ref="N696:Q696"/>
    <mergeCell ref="R696:R697"/>
    <mergeCell ref="N637:Q637"/>
    <mergeCell ref="R637:R638"/>
    <mergeCell ref="K634:N634"/>
    <mergeCell ref="K650:R650"/>
    <mergeCell ref="K651:K652"/>
    <mergeCell ref="L651:L652"/>
    <mergeCell ref="M651:M652"/>
    <mergeCell ref="N651:Q651"/>
    <mergeCell ref="R651:R652"/>
    <mergeCell ref="K648:N648"/>
    <mergeCell ref="B665:I665"/>
    <mergeCell ref="B650:I650"/>
    <mergeCell ref="B651:B652"/>
    <mergeCell ref="C651:C652"/>
    <mergeCell ref="B737:I737"/>
    <mergeCell ref="B738:B739"/>
    <mergeCell ref="C738:C739"/>
    <mergeCell ref="D738:D739"/>
    <mergeCell ref="E738:H738"/>
    <mergeCell ref="I738:I739"/>
    <mergeCell ref="B748:E748"/>
    <mergeCell ref="K724:K725"/>
    <mergeCell ref="L724:L725"/>
    <mergeCell ref="K737:R737"/>
    <mergeCell ref="K738:K739"/>
    <mergeCell ref="L738:L739"/>
    <mergeCell ref="M738:M739"/>
    <mergeCell ref="N738:Q738"/>
    <mergeCell ref="R738:R739"/>
    <mergeCell ref="K748:N748"/>
    <mergeCell ref="M724:M725"/>
    <mergeCell ref="N724:Q724"/>
    <mergeCell ref="R724:R725"/>
    <mergeCell ref="K734:N7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49" zoomScale="130" zoomScaleNormal="130" workbookViewId="0">
      <selection activeCell="M61" sqref="M61"/>
    </sheetView>
  </sheetViews>
  <sheetFormatPr defaultRowHeight="15" x14ac:dyDescent="0.25"/>
  <cols>
    <col min="1" max="1" width="21" customWidth="1"/>
    <col min="2" max="2" width="7.7109375" customWidth="1"/>
    <col min="3" max="3" width="18.5703125" bestFit="1" customWidth="1"/>
    <col min="4" max="4" width="9.140625" customWidth="1"/>
    <col min="5" max="5" width="10.7109375" bestFit="1" customWidth="1"/>
    <col min="6" max="6" width="8" customWidth="1"/>
    <col min="7" max="7" width="10.42578125" bestFit="1" customWidth="1"/>
    <col min="8" max="8" width="10.85546875" bestFit="1" customWidth="1"/>
    <col min="9" max="9" width="4.85546875" customWidth="1"/>
    <col min="10" max="10" width="4.42578125" customWidth="1"/>
    <col min="11" max="11" width="20" bestFit="1" customWidth="1"/>
    <col min="13" max="13" width="14.42578125" bestFit="1" customWidth="1"/>
    <col min="18" max="18" width="10.85546875" bestFit="1" customWidth="1"/>
  </cols>
  <sheetData>
    <row r="1" spans="1:18" x14ac:dyDescent="0.25">
      <c r="A1" s="282" t="s">
        <v>104</v>
      </c>
      <c r="B1" s="283"/>
      <c r="C1" s="283"/>
      <c r="D1" s="283"/>
      <c r="E1" s="283"/>
      <c r="F1" s="283"/>
      <c r="G1" s="283"/>
      <c r="H1" s="284"/>
      <c r="K1" s="282" t="s">
        <v>105</v>
      </c>
      <c r="L1" s="283"/>
      <c r="M1" s="283"/>
      <c r="N1" s="283"/>
      <c r="O1" s="283"/>
      <c r="P1" s="283"/>
      <c r="Q1" s="283"/>
      <c r="R1" s="284"/>
    </row>
    <row r="2" spans="1:18" x14ac:dyDescent="0.25">
      <c r="A2" s="217" t="s">
        <v>0</v>
      </c>
      <c r="B2" s="227" t="s">
        <v>1</v>
      </c>
      <c r="C2" s="217" t="s">
        <v>47</v>
      </c>
      <c r="D2" s="221" t="s">
        <v>46</v>
      </c>
      <c r="E2" s="222"/>
      <c r="F2" s="222"/>
      <c r="G2" s="223"/>
      <c r="H2" s="229" t="s">
        <v>102</v>
      </c>
      <c r="K2" s="217" t="s">
        <v>0</v>
      </c>
      <c r="L2" s="227" t="s">
        <v>1</v>
      </c>
      <c r="M2" s="217" t="s">
        <v>47</v>
      </c>
      <c r="N2" s="221" t="s">
        <v>46</v>
      </c>
      <c r="O2" s="222"/>
      <c r="P2" s="222"/>
      <c r="Q2" s="223"/>
      <c r="R2" s="229" t="s">
        <v>102</v>
      </c>
    </row>
    <row r="3" spans="1:18" ht="15" customHeight="1" x14ac:dyDescent="0.25">
      <c r="A3" s="218"/>
      <c r="B3" s="228"/>
      <c r="C3" s="218"/>
      <c r="D3" s="2" t="s">
        <v>42</v>
      </c>
      <c r="E3" s="2" t="s">
        <v>43</v>
      </c>
      <c r="F3" s="2" t="s">
        <v>44</v>
      </c>
      <c r="G3" s="2" t="s">
        <v>45</v>
      </c>
      <c r="H3" s="229"/>
      <c r="K3" s="218"/>
      <c r="L3" s="228"/>
      <c r="M3" s="218"/>
      <c r="N3" s="2" t="s">
        <v>42</v>
      </c>
      <c r="O3" s="2" t="s">
        <v>43</v>
      </c>
      <c r="P3" s="2" t="s">
        <v>44</v>
      </c>
      <c r="Q3" s="2" t="s">
        <v>45</v>
      </c>
      <c r="R3" s="229"/>
    </row>
    <row r="4" spans="1:18" x14ac:dyDescent="0.25">
      <c r="A4" s="2" t="s">
        <v>75</v>
      </c>
      <c r="B4" s="35">
        <f>C4/(C4+C5+C6+C7)*100</f>
        <v>50</v>
      </c>
      <c r="C4" s="5">
        <v>9.5</v>
      </c>
      <c r="D4" s="5">
        <v>1.33</v>
      </c>
      <c r="E4" s="5">
        <f>(C4*D4%)*1000</f>
        <v>126.35000000000002</v>
      </c>
      <c r="F4" s="5">
        <v>14.7</v>
      </c>
      <c r="G4" s="5">
        <f>(C4*F4%)*1000</f>
        <v>1396.4999999999998</v>
      </c>
      <c r="H4" s="51">
        <f>C4+C5+C6+C7</f>
        <v>19</v>
      </c>
      <c r="K4" s="2" t="s">
        <v>76</v>
      </c>
      <c r="L4" s="35">
        <f>M4/(M4+M5+M6+M7)*100</f>
        <v>44.736842105263158</v>
      </c>
      <c r="M4" s="5">
        <v>8.5</v>
      </c>
      <c r="N4" s="5">
        <v>0.84</v>
      </c>
      <c r="O4" s="5">
        <f>(M4*N4%)*1000</f>
        <v>71.399999999999991</v>
      </c>
      <c r="P4" s="5">
        <v>15.2</v>
      </c>
      <c r="Q4" s="5">
        <f>(M4*P4%)*1000</f>
        <v>1292</v>
      </c>
      <c r="R4" s="51">
        <f>M4+M5+M6+M7</f>
        <v>19</v>
      </c>
    </row>
    <row r="5" spans="1:18" x14ac:dyDescent="0.25">
      <c r="A5" s="4" t="s">
        <v>10</v>
      </c>
      <c r="B5" s="35">
        <f>C5/(C4+C5+C6+C7)*100</f>
        <v>13.157894736842104</v>
      </c>
      <c r="C5" s="5">
        <v>2.5</v>
      </c>
      <c r="D5" s="5">
        <v>1.19</v>
      </c>
      <c r="E5" s="5">
        <f t="shared" ref="E5:E11" si="0">(C5*D5%)*1000</f>
        <v>29.75</v>
      </c>
      <c r="F5" s="5">
        <v>11.6</v>
      </c>
      <c r="G5" s="5">
        <f t="shared" ref="G5:G11" si="1">(C5*F5%)*1000</f>
        <v>290</v>
      </c>
      <c r="H5" s="25"/>
      <c r="K5" s="4" t="s">
        <v>10</v>
      </c>
      <c r="L5" s="35">
        <f>M5/(M4+M5+M6+M7)*100</f>
        <v>18.421052631578945</v>
      </c>
      <c r="M5" s="5">
        <v>3.5</v>
      </c>
      <c r="N5" s="5">
        <v>1.19</v>
      </c>
      <c r="O5" s="5">
        <f t="shared" ref="O5:O11" si="2">(M5*N5%)*1000</f>
        <v>41.65</v>
      </c>
      <c r="P5" s="5">
        <v>11.6</v>
      </c>
      <c r="Q5" s="5">
        <f t="shared" ref="Q5:Q11" si="3">(M5*P5%)*1000</f>
        <v>406</v>
      </c>
      <c r="R5" s="25"/>
    </row>
    <row r="6" spans="1:18" x14ac:dyDescent="0.25">
      <c r="A6" s="2" t="s">
        <v>12</v>
      </c>
      <c r="B6" s="35">
        <f>C6/(C4+C5+C6+C7)*100</f>
        <v>36.84210526315789</v>
      </c>
      <c r="C6" s="5">
        <v>7</v>
      </c>
      <c r="D6" s="5">
        <v>0.46</v>
      </c>
      <c r="E6" s="5">
        <f t="shared" si="0"/>
        <v>32.200000000000003</v>
      </c>
      <c r="F6" s="5">
        <v>2.2000000000000002</v>
      </c>
      <c r="G6" s="5">
        <f t="shared" si="1"/>
        <v>154.00000000000003</v>
      </c>
      <c r="H6" s="25"/>
      <c r="K6" s="2" t="s">
        <v>12</v>
      </c>
      <c r="L6" s="35">
        <f>M6/(M4+M5+M6+M7)*100</f>
        <v>36.84210526315789</v>
      </c>
      <c r="M6" s="5">
        <v>7</v>
      </c>
      <c r="N6" s="5">
        <v>0.46</v>
      </c>
      <c r="O6" s="5">
        <f t="shared" si="2"/>
        <v>32.200000000000003</v>
      </c>
      <c r="P6" s="5">
        <v>2.2000000000000002</v>
      </c>
      <c r="Q6" s="5">
        <f t="shared" si="3"/>
        <v>154.00000000000003</v>
      </c>
      <c r="R6" s="25"/>
    </row>
    <row r="7" spans="1:18" x14ac:dyDescent="0.25">
      <c r="A7" s="2" t="s">
        <v>14</v>
      </c>
      <c r="B7" s="35">
        <f>C7/(C4+C5+C6+C7)*100</f>
        <v>0</v>
      </c>
      <c r="C7" s="5">
        <v>0</v>
      </c>
      <c r="D7" s="5">
        <v>0.71</v>
      </c>
      <c r="E7" s="5">
        <f t="shared" si="0"/>
        <v>0</v>
      </c>
      <c r="F7" s="5">
        <v>0</v>
      </c>
      <c r="G7" s="5">
        <f t="shared" si="1"/>
        <v>0</v>
      </c>
      <c r="H7" s="25"/>
      <c r="K7" s="2" t="s">
        <v>14</v>
      </c>
      <c r="L7" s="35">
        <f>M7/(M4+M5+M6+M7)*100</f>
        <v>0</v>
      </c>
      <c r="M7" s="5">
        <v>0</v>
      </c>
      <c r="N7" s="5">
        <v>0.71</v>
      </c>
      <c r="O7" s="5">
        <f t="shared" si="2"/>
        <v>0</v>
      </c>
      <c r="P7" s="5">
        <v>0</v>
      </c>
      <c r="Q7" s="5">
        <f t="shared" si="3"/>
        <v>0</v>
      </c>
      <c r="R7" s="25"/>
    </row>
    <row r="8" spans="1:18" x14ac:dyDescent="0.25">
      <c r="A8" s="2" t="s">
        <v>17</v>
      </c>
      <c r="B8" s="35"/>
      <c r="C8" s="5">
        <v>6</v>
      </c>
      <c r="D8" s="5">
        <v>3.3</v>
      </c>
      <c r="E8" s="5">
        <f t="shared" si="0"/>
        <v>198</v>
      </c>
      <c r="F8" s="5">
        <v>28.7</v>
      </c>
      <c r="G8" s="5">
        <f t="shared" si="1"/>
        <v>1722</v>
      </c>
      <c r="H8" s="25"/>
      <c r="K8" s="2" t="s">
        <v>17</v>
      </c>
      <c r="L8" s="35"/>
      <c r="M8" s="5">
        <v>6</v>
      </c>
      <c r="N8" s="5">
        <v>3.3</v>
      </c>
      <c r="O8" s="5">
        <f t="shared" si="2"/>
        <v>198</v>
      </c>
      <c r="P8" s="5">
        <v>28.7</v>
      </c>
      <c r="Q8" s="5">
        <f t="shared" si="3"/>
        <v>1722</v>
      </c>
      <c r="R8" s="25"/>
    </row>
    <row r="9" spans="1:18" x14ac:dyDescent="0.25">
      <c r="A9" s="4" t="s">
        <v>21</v>
      </c>
      <c r="B9" s="41"/>
      <c r="C9" s="13">
        <v>1.4</v>
      </c>
      <c r="D9" s="5">
        <v>0</v>
      </c>
      <c r="E9" s="5">
        <f t="shared" si="0"/>
        <v>0</v>
      </c>
      <c r="F9" s="5">
        <v>87.5</v>
      </c>
      <c r="G9" s="5">
        <f t="shared" si="1"/>
        <v>1224.9999999999998</v>
      </c>
      <c r="H9" s="25"/>
      <c r="K9" s="4" t="s">
        <v>21</v>
      </c>
      <c r="L9" s="41"/>
      <c r="M9" s="13">
        <v>1.4</v>
      </c>
      <c r="N9" s="5">
        <v>0</v>
      </c>
      <c r="O9" s="5">
        <f t="shared" si="2"/>
        <v>0</v>
      </c>
      <c r="P9" s="5">
        <v>87.5</v>
      </c>
      <c r="Q9" s="5">
        <f t="shared" si="3"/>
        <v>1224.9999999999998</v>
      </c>
      <c r="R9" s="25"/>
    </row>
    <row r="10" spans="1:18" x14ac:dyDescent="0.25">
      <c r="A10" s="4" t="s">
        <v>49</v>
      </c>
      <c r="B10" s="41"/>
      <c r="C10" s="15">
        <v>0</v>
      </c>
      <c r="D10" s="13">
        <v>0</v>
      </c>
      <c r="E10" s="5">
        <f t="shared" si="0"/>
        <v>0</v>
      </c>
      <c r="F10" s="5">
        <v>0</v>
      </c>
      <c r="G10" s="5">
        <f t="shared" si="1"/>
        <v>0</v>
      </c>
      <c r="H10" s="25"/>
      <c r="K10" s="4" t="s">
        <v>49</v>
      </c>
      <c r="L10" s="41"/>
      <c r="M10" s="15">
        <v>0</v>
      </c>
      <c r="N10" s="13">
        <v>0</v>
      </c>
      <c r="O10" s="5">
        <f t="shared" si="2"/>
        <v>0</v>
      </c>
      <c r="P10" s="5">
        <v>0</v>
      </c>
      <c r="Q10" s="5">
        <f t="shared" si="3"/>
        <v>0</v>
      </c>
      <c r="R10" s="25"/>
    </row>
    <row r="11" spans="1:18" x14ac:dyDescent="0.25">
      <c r="A11" s="4" t="s">
        <v>23</v>
      </c>
      <c r="B11" s="41"/>
      <c r="C11" s="13">
        <v>0.05</v>
      </c>
      <c r="D11" s="13">
        <v>20.5</v>
      </c>
      <c r="E11" s="5">
        <f t="shared" si="0"/>
        <v>10.25</v>
      </c>
      <c r="F11" s="5">
        <v>0</v>
      </c>
      <c r="G11" s="5">
        <f t="shared" si="1"/>
        <v>0</v>
      </c>
      <c r="H11" s="25"/>
      <c r="K11" s="4" t="s">
        <v>23</v>
      </c>
      <c r="L11" s="41"/>
      <c r="M11" s="13">
        <v>0.25</v>
      </c>
      <c r="N11" s="13">
        <v>20.5</v>
      </c>
      <c r="O11" s="5">
        <f t="shared" si="2"/>
        <v>51.25</v>
      </c>
      <c r="P11" s="5">
        <v>0</v>
      </c>
      <c r="Q11" s="5">
        <f t="shared" si="3"/>
        <v>0</v>
      </c>
      <c r="R11" s="25"/>
    </row>
    <row r="12" spans="1:18" x14ac:dyDescent="0.25">
      <c r="A12" s="20" t="s">
        <v>26</v>
      </c>
      <c r="B12" s="46"/>
      <c r="C12" s="21">
        <f>SUM(C4:C11)</f>
        <v>26.45</v>
      </c>
      <c r="D12" s="20"/>
      <c r="E12" s="21">
        <f>SUM(E4:E11)</f>
        <v>396.55</v>
      </c>
      <c r="F12" s="20"/>
      <c r="G12" s="21">
        <f>SUM(G4:G11)</f>
        <v>4787.5</v>
      </c>
      <c r="H12" s="53" t="s">
        <v>6</v>
      </c>
      <c r="K12" s="20" t="s">
        <v>26</v>
      </c>
      <c r="L12" s="46"/>
      <c r="M12" s="21">
        <f>SUM(M4:M11)</f>
        <v>26.65</v>
      </c>
      <c r="N12" s="20"/>
      <c r="O12" s="21">
        <f>SUM(O4:O11)</f>
        <v>394.5</v>
      </c>
      <c r="P12" s="20"/>
      <c r="Q12" s="21">
        <f>SUM(Q4:Q11)</f>
        <v>4799</v>
      </c>
      <c r="R12" s="54" t="s">
        <v>6</v>
      </c>
    </row>
    <row r="13" spans="1:18" x14ac:dyDescent="0.25">
      <c r="A13" s="230"/>
      <c r="B13" s="231"/>
      <c r="C13" s="231"/>
      <c r="D13" s="232"/>
      <c r="E13" s="22">
        <f>E12/C12/10</f>
        <v>1.4992438563327033</v>
      </c>
      <c r="F13" s="23"/>
      <c r="G13" s="22">
        <f>G12/C12/10</f>
        <v>18.100189035916824</v>
      </c>
      <c r="H13" s="21">
        <f>((100-G13)*0.5)/E13</f>
        <v>27.313705711763962</v>
      </c>
      <c r="K13" s="230" t="s">
        <v>88</v>
      </c>
      <c r="L13" s="231"/>
      <c r="M13" s="231"/>
      <c r="N13" s="232"/>
      <c r="O13" s="22">
        <f>O12/M12/10</f>
        <v>1.4803001876172608</v>
      </c>
      <c r="P13" s="23"/>
      <c r="Q13" s="22">
        <f>Q12/M12/10</f>
        <v>18.007504690431521</v>
      </c>
      <c r="R13" s="21">
        <f>((100-Q13)*0.5)/O13</f>
        <v>27.694550063371356</v>
      </c>
    </row>
    <row r="16" spans="1:18" x14ac:dyDescent="0.25">
      <c r="A16" s="282" t="s">
        <v>107</v>
      </c>
      <c r="B16" s="283"/>
      <c r="C16" s="283"/>
      <c r="D16" s="283"/>
      <c r="E16" s="283"/>
      <c r="F16" s="283"/>
      <c r="G16" s="283"/>
      <c r="H16" s="284"/>
      <c r="K16" s="277" t="s">
        <v>105</v>
      </c>
      <c r="L16" s="278"/>
      <c r="M16" s="278"/>
      <c r="N16" s="278"/>
      <c r="O16" s="278"/>
      <c r="P16" s="278"/>
      <c r="Q16" s="278"/>
      <c r="R16" s="279"/>
    </row>
    <row r="17" spans="1:18" x14ac:dyDescent="0.25">
      <c r="A17" s="219" t="s">
        <v>0</v>
      </c>
      <c r="B17" s="227" t="s">
        <v>1</v>
      </c>
      <c r="C17" s="219" t="s">
        <v>47</v>
      </c>
      <c r="D17" s="221" t="s">
        <v>46</v>
      </c>
      <c r="E17" s="222"/>
      <c r="F17" s="222"/>
      <c r="G17" s="223"/>
      <c r="H17" s="229" t="s">
        <v>102</v>
      </c>
      <c r="K17" s="280" t="s">
        <v>0</v>
      </c>
      <c r="L17" s="240" t="s">
        <v>1</v>
      </c>
      <c r="M17" s="280" t="s">
        <v>47</v>
      </c>
      <c r="N17" s="242" t="s">
        <v>46</v>
      </c>
      <c r="O17" s="243"/>
      <c r="P17" s="243"/>
      <c r="Q17" s="244"/>
      <c r="R17" s="248" t="s">
        <v>102</v>
      </c>
    </row>
    <row r="18" spans="1:18" x14ac:dyDescent="0.25">
      <c r="A18" s="220"/>
      <c r="B18" s="228"/>
      <c r="C18" s="220"/>
      <c r="D18" s="2" t="s">
        <v>42</v>
      </c>
      <c r="E18" s="2" t="s">
        <v>43</v>
      </c>
      <c r="F18" s="2" t="s">
        <v>44</v>
      </c>
      <c r="G18" s="2" t="s">
        <v>45</v>
      </c>
      <c r="H18" s="229"/>
      <c r="K18" s="281"/>
      <c r="L18" s="241"/>
      <c r="M18" s="281"/>
      <c r="N18" s="78" t="s">
        <v>42</v>
      </c>
      <c r="O18" s="78" t="s">
        <v>43</v>
      </c>
      <c r="P18" s="78" t="s">
        <v>44</v>
      </c>
      <c r="Q18" s="78" t="s">
        <v>45</v>
      </c>
      <c r="R18" s="249"/>
    </row>
    <row r="19" spans="1:18" x14ac:dyDescent="0.25">
      <c r="A19" s="56" t="s">
        <v>76</v>
      </c>
      <c r="B19" s="35">
        <f>C19/(C19+C20+C21+C22)*100</f>
        <v>51.308900523560212</v>
      </c>
      <c r="C19" s="64">
        <v>9.8000000000000007</v>
      </c>
      <c r="D19" s="5">
        <v>0.89</v>
      </c>
      <c r="E19" s="5">
        <f>(C19*D19%)*1000</f>
        <v>87.22</v>
      </c>
      <c r="F19" s="5">
        <v>14.9</v>
      </c>
      <c r="G19" s="5">
        <f>(C19*F19%)*1000</f>
        <v>1460.2</v>
      </c>
      <c r="H19" s="51">
        <f>C19+C20+C21+C22</f>
        <v>19.100000000000001</v>
      </c>
      <c r="K19" s="79" t="s">
        <v>76</v>
      </c>
      <c r="L19" s="80">
        <v>42</v>
      </c>
      <c r="M19" s="81">
        <v>8</v>
      </c>
      <c r="N19" s="82">
        <v>0.89</v>
      </c>
      <c r="O19" s="82">
        <v>67.2</v>
      </c>
      <c r="P19" s="82">
        <v>14.9</v>
      </c>
      <c r="Q19" s="82">
        <v>1216</v>
      </c>
      <c r="R19" s="83">
        <v>19</v>
      </c>
    </row>
    <row r="20" spans="1:18" x14ac:dyDescent="0.25">
      <c r="A20" s="57" t="s">
        <v>10</v>
      </c>
      <c r="B20" s="35">
        <f>C20/(C19+C20+C21+C22)*100</f>
        <v>10.471204188481673</v>
      </c>
      <c r="C20" s="64">
        <v>2</v>
      </c>
      <c r="D20" s="5">
        <v>1.19</v>
      </c>
      <c r="E20" s="5">
        <f t="shared" ref="E20:E26" si="4">(C20*D20%)*1000</f>
        <v>23.799999999999997</v>
      </c>
      <c r="F20" s="5">
        <v>11.6</v>
      </c>
      <c r="G20" s="5">
        <f t="shared" ref="G20:G26" si="5">(C20*F20%)*1000</f>
        <v>231.99999999999997</v>
      </c>
      <c r="H20" s="25"/>
      <c r="K20" s="79" t="s">
        <v>10</v>
      </c>
      <c r="L20" s="80">
        <v>21</v>
      </c>
      <c r="M20" s="81">
        <v>4</v>
      </c>
      <c r="N20" s="82">
        <v>1.19</v>
      </c>
      <c r="O20" s="82">
        <v>47.6</v>
      </c>
      <c r="P20" s="82">
        <v>11.6</v>
      </c>
      <c r="Q20" s="82">
        <v>464</v>
      </c>
      <c r="R20" s="84"/>
    </row>
    <row r="21" spans="1:18" x14ac:dyDescent="0.25">
      <c r="A21" s="56" t="s">
        <v>12</v>
      </c>
      <c r="B21" s="35">
        <f>C21/(C19+C20+C21+C22)*100</f>
        <v>38.21989528795811</v>
      </c>
      <c r="C21" s="64">
        <v>7.3</v>
      </c>
      <c r="D21" s="5">
        <v>0.46</v>
      </c>
      <c r="E21" s="5">
        <f t="shared" si="4"/>
        <v>33.58</v>
      </c>
      <c r="F21" s="5">
        <v>2.2000000000000002</v>
      </c>
      <c r="G21" s="5">
        <f t="shared" si="5"/>
        <v>160.60000000000002</v>
      </c>
      <c r="H21" s="25"/>
      <c r="K21" s="79" t="s">
        <v>12</v>
      </c>
      <c r="L21" s="80">
        <v>37</v>
      </c>
      <c r="M21" s="81">
        <v>7</v>
      </c>
      <c r="N21" s="82">
        <v>0.46</v>
      </c>
      <c r="O21" s="82">
        <v>32.200000000000003</v>
      </c>
      <c r="P21" s="82">
        <v>2.2000000000000002</v>
      </c>
      <c r="Q21" s="82">
        <v>154</v>
      </c>
      <c r="R21" s="84"/>
    </row>
    <row r="22" spans="1:18" x14ac:dyDescent="0.25">
      <c r="A22" s="56" t="s">
        <v>14</v>
      </c>
      <c r="B22" s="35">
        <f>C22/(C19+C20+C21+C22)*100</f>
        <v>0</v>
      </c>
      <c r="C22" s="64">
        <v>0</v>
      </c>
      <c r="D22" s="5">
        <v>0.71</v>
      </c>
      <c r="E22" s="5">
        <f t="shared" si="4"/>
        <v>0</v>
      </c>
      <c r="F22" s="5">
        <v>0</v>
      </c>
      <c r="G22" s="5">
        <f t="shared" si="5"/>
        <v>0</v>
      </c>
      <c r="H22" s="25"/>
      <c r="K22" s="79" t="s">
        <v>14</v>
      </c>
      <c r="L22" s="80">
        <v>0</v>
      </c>
      <c r="M22" s="81">
        <v>0</v>
      </c>
      <c r="N22" s="82">
        <v>0.71</v>
      </c>
      <c r="O22" s="82">
        <v>0</v>
      </c>
      <c r="P22" s="82">
        <v>0</v>
      </c>
      <c r="Q22" s="82">
        <v>0</v>
      </c>
      <c r="R22" s="84"/>
    </row>
    <row r="23" spans="1:18" x14ac:dyDescent="0.25">
      <c r="A23" s="56" t="s">
        <v>17</v>
      </c>
      <c r="B23" s="35"/>
      <c r="C23" s="64">
        <v>6.5</v>
      </c>
      <c r="D23" s="5">
        <v>3.5</v>
      </c>
      <c r="E23" s="5">
        <f t="shared" si="4"/>
        <v>227.50000000000003</v>
      </c>
      <c r="F23" s="5">
        <v>27.7</v>
      </c>
      <c r="G23" s="5">
        <f t="shared" si="5"/>
        <v>1800.4999999999998</v>
      </c>
      <c r="H23" s="25"/>
      <c r="K23" s="79" t="s">
        <v>17</v>
      </c>
      <c r="L23" s="80"/>
      <c r="M23" s="81">
        <v>6.2</v>
      </c>
      <c r="N23" s="82">
        <v>3.3</v>
      </c>
      <c r="O23" s="82">
        <v>204.6</v>
      </c>
      <c r="P23" s="82">
        <v>28.7</v>
      </c>
      <c r="Q23" s="82">
        <v>1779.4</v>
      </c>
      <c r="R23" s="84"/>
    </row>
    <row r="24" spans="1:18" x14ac:dyDescent="0.25">
      <c r="A24" s="57" t="s">
        <v>21</v>
      </c>
      <c r="B24" s="41"/>
      <c r="C24" s="65">
        <v>1.4</v>
      </c>
      <c r="D24" s="5">
        <v>0</v>
      </c>
      <c r="E24" s="5">
        <f t="shared" si="4"/>
        <v>0</v>
      </c>
      <c r="F24" s="5">
        <v>87.5</v>
      </c>
      <c r="G24" s="5">
        <f t="shared" si="5"/>
        <v>1224.9999999999998</v>
      </c>
      <c r="H24" s="25"/>
      <c r="K24" s="79" t="s">
        <v>21</v>
      </c>
      <c r="L24" s="80"/>
      <c r="M24" s="81">
        <v>1.3</v>
      </c>
      <c r="N24" s="82">
        <v>0</v>
      </c>
      <c r="O24" s="82">
        <v>0</v>
      </c>
      <c r="P24" s="82">
        <v>87.5</v>
      </c>
      <c r="Q24" s="82">
        <v>1137.5</v>
      </c>
      <c r="R24" s="84"/>
    </row>
    <row r="25" spans="1:18" x14ac:dyDescent="0.25">
      <c r="A25" s="57" t="s">
        <v>49</v>
      </c>
      <c r="B25" s="41"/>
      <c r="C25" s="67">
        <v>0</v>
      </c>
      <c r="D25" s="13">
        <v>0</v>
      </c>
      <c r="E25" s="5">
        <f t="shared" si="4"/>
        <v>0</v>
      </c>
      <c r="F25" s="5">
        <v>0</v>
      </c>
      <c r="G25" s="5">
        <f t="shared" si="5"/>
        <v>0</v>
      </c>
      <c r="H25" s="25"/>
      <c r="K25" s="79" t="s">
        <v>49</v>
      </c>
      <c r="L25" s="80"/>
      <c r="M25" s="85">
        <v>0</v>
      </c>
      <c r="N25" s="82">
        <v>0</v>
      </c>
      <c r="O25" s="82">
        <v>0</v>
      </c>
      <c r="P25" s="82">
        <v>0</v>
      </c>
      <c r="Q25" s="82">
        <v>0</v>
      </c>
      <c r="R25" s="84"/>
    </row>
    <row r="26" spans="1:18" x14ac:dyDescent="0.25">
      <c r="A26" s="57" t="s">
        <v>23</v>
      </c>
      <c r="B26" s="41"/>
      <c r="C26" s="65">
        <v>0.15</v>
      </c>
      <c r="D26" s="13">
        <v>20.5</v>
      </c>
      <c r="E26" s="5">
        <f t="shared" si="4"/>
        <v>30.749999999999996</v>
      </c>
      <c r="F26" s="5">
        <v>0</v>
      </c>
      <c r="G26" s="5">
        <f t="shared" si="5"/>
        <v>0</v>
      </c>
      <c r="H26" s="25"/>
      <c r="K26" s="79" t="s">
        <v>23</v>
      </c>
      <c r="L26" s="80"/>
      <c r="M26" s="81">
        <v>0.2</v>
      </c>
      <c r="N26" s="82">
        <v>20.5</v>
      </c>
      <c r="O26" s="82">
        <v>41</v>
      </c>
      <c r="P26" s="82">
        <v>0</v>
      </c>
      <c r="Q26" s="82">
        <v>0</v>
      </c>
      <c r="R26" s="84"/>
    </row>
    <row r="27" spans="1:18" x14ac:dyDescent="0.25">
      <c r="A27" s="62" t="s">
        <v>26</v>
      </c>
      <c r="B27" s="46"/>
      <c r="C27" s="69">
        <f>SUM(C19:C26)</f>
        <v>27.15</v>
      </c>
      <c r="D27" s="20"/>
      <c r="E27" s="21">
        <f>SUM(E19:E26)</f>
        <v>402.85</v>
      </c>
      <c r="F27" s="20"/>
      <c r="G27" s="21">
        <f>SUM(G19:G26)</f>
        <v>4878.3</v>
      </c>
      <c r="H27" s="55" t="s">
        <v>6</v>
      </c>
      <c r="K27" s="86" t="s">
        <v>26</v>
      </c>
      <c r="L27" s="87"/>
      <c r="M27" s="88">
        <v>26.7</v>
      </c>
      <c r="N27" s="89"/>
      <c r="O27" s="90">
        <v>392.6</v>
      </c>
      <c r="P27" s="89"/>
      <c r="Q27" s="90">
        <v>4750.8999999999996</v>
      </c>
      <c r="R27" s="91" t="s">
        <v>6</v>
      </c>
    </row>
    <row r="28" spans="1:18" x14ac:dyDescent="0.25">
      <c r="A28" s="230"/>
      <c r="B28" s="231"/>
      <c r="C28" s="231"/>
      <c r="D28" s="232"/>
      <c r="E28" s="22">
        <f>E27/C27/10</f>
        <v>1.4837937384898712</v>
      </c>
      <c r="F28" s="23"/>
      <c r="G28" s="22">
        <f>G27/C27/10</f>
        <v>17.967955801104974</v>
      </c>
      <c r="H28" s="21">
        <f>((100-G28)*0.5)/E28</f>
        <v>27.642670969343424</v>
      </c>
      <c r="K28" s="250"/>
      <c r="L28" s="251"/>
      <c r="M28" s="251"/>
      <c r="N28" s="252"/>
      <c r="O28" s="92">
        <v>1.47</v>
      </c>
      <c r="P28" s="93"/>
      <c r="Q28" s="92">
        <v>17.79</v>
      </c>
      <c r="R28" s="94">
        <v>28</v>
      </c>
    </row>
    <row r="31" spans="1:18" x14ac:dyDescent="0.25">
      <c r="A31" s="282"/>
      <c r="B31" s="283"/>
      <c r="C31" s="283"/>
      <c r="D31" s="283"/>
      <c r="E31" s="283"/>
      <c r="F31" s="283"/>
      <c r="G31" s="283"/>
      <c r="H31" s="284"/>
    </row>
    <row r="32" spans="1:18" x14ac:dyDescent="0.25">
      <c r="A32" s="219" t="s">
        <v>0</v>
      </c>
      <c r="B32" s="227" t="s">
        <v>1</v>
      </c>
      <c r="C32" s="219" t="s">
        <v>47</v>
      </c>
      <c r="D32" s="221" t="s">
        <v>46</v>
      </c>
      <c r="E32" s="222"/>
      <c r="F32" s="222"/>
      <c r="G32" s="223"/>
      <c r="H32" s="229" t="s">
        <v>102</v>
      </c>
    </row>
    <row r="33" spans="1:8" x14ac:dyDescent="0.25">
      <c r="A33" s="220"/>
      <c r="B33" s="228"/>
      <c r="C33" s="220"/>
      <c r="D33" s="2" t="s">
        <v>42</v>
      </c>
      <c r="E33" s="2" t="s">
        <v>43</v>
      </c>
      <c r="F33" s="2" t="s">
        <v>44</v>
      </c>
      <c r="G33" s="2" t="s">
        <v>45</v>
      </c>
      <c r="H33" s="229"/>
    </row>
    <row r="34" spans="1:8" x14ac:dyDescent="0.25">
      <c r="A34" s="56" t="s">
        <v>76</v>
      </c>
      <c r="B34" s="35">
        <f>C34/(C34+C35+C36+C37)*100</f>
        <v>51.351351351351347</v>
      </c>
      <c r="C34" s="64">
        <v>9.5</v>
      </c>
      <c r="D34" s="5">
        <v>0.77</v>
      </c>
      <c r="E34" s="5">
        <f>(C34*D34%)*1000</f>
        <v>73.150000000000006</v>
      </c>
      <c r="F34" s="5">
        <v>12.7</v>
      </c>
      <c r="G34" s="5">
        <f>(C34*F34%)*1000</f>
        <v>1206.5000000000002</v>
      </c>
      <c r="H34" s="51">
        <f>C34+C35+C36+C37</f>
        <v>18.5</v>
      </c>
    </row>
    <row r="35" spans="1:8" x14ac:dyDescent="0.25">
      <c r="A35" s="57" t="s">
        <v>110</v>
      </c>
      <c r="B35" s="35">
        <f>C35/(C34+C35+C36+C37)*100</f>
        <v>13.513513513513514</v>
      </c>
      <c r="C35" s="64">
        <v>2.5</v>
      </c>
      <c r="D35" s="5">
        <v>0.8</v>
      </c>
      <c r="E35" s="5">
        <f t="shared" ref="E35:E41" si="6">(C35*D35%)*1000</f>
        <v>20</v>
      </c>
      <c r="F35" s="5">
        <v>14</v>
      </c>
      <c r="G35" s="5">
        <f t="shared" ref="G35:G41" si="7">(C35*F35%)*1000</f>
        <v>350.00000000000006</v>
      </c>
      <c r="H35" s="25"/>
    </row>
    <row r="36" spans="1:8" x14ac:dyDescent="0.25">
      <c r="A36" s="56" t="s">
        <v>12</v>
      </c>
      <c r="B36" s="35">
        <f>C36/(C34+C35+C36+C37)*100</f>
        <v>35.135135135135137</v>
      </c>
      <c r="C36" s="64">
        <v>6.5</v>
      </c>
      <c r="D36" s="5">
        <v>0.46</v>
      </c>
      <c r="E36" s="5">
        <f t="shared" si="6"/>
        <v>29.9</v>
      </c>
      <c r="F36" s="5">
        <v>2.2000000000000002</v>
      </c>
      <c r="G36" s="5">
        <f t="shared" si="7"/>
        <v>143.00000000000003</v>
      </c>
      <c r="H36" s="25"/>
    </row>
    <row r="37" spans="1:8" x14ac:dyDescent="0.25">
      <c r="A37" s="56" t="s">
        <v>14</v>
      </c>
      <c r="B37" s="35">
        <f>C37/(C34+C35+C36+C37)*100</f>
        <v>0</v>
      </c>
      <c r="C37" s="64">
        <v>0</v>
      </c>
      <c r="D37" s="5">
        <v>0.71</v>
      </c>
      <c r="E37" s="5">
        <f t="shared" si="6"/>
        <v>0</v>
      </c>
      <c r="F37" s="5">
        <v>0</v>
      </c>
      <c r="G37" s="5">
        <f t="shared" si="7"/>
        <v>0</v>
      </c>
      <c r="H37" s="25"/>
    </row>
    <row r="38" spans="1:8" x14ac:dyDescent="0.25">
      <c r="A38" s="56" t="s">
        <v>17</v>
      </c>
      <c r="B38" s="35"/>
      <c r="C38" s="64">
        <v>6.7</v>
      </c>
      <c r="D38" s="5">
        <v>3.42</v>
      </c>
      <c r="E38" s="5">
        <f t="shared" si="6"/>
        <v>229.14000000000001</v>
      </c>
      <c r="F38" s="5">
        <v>27.7</v>
      </c>
      <c r="G38" s="5">
        <f t="shared" si="7"/>
        <v>1855.8999999999999</v>
      </c>
      <c r="H38" s="25"/>
    </row>
    <row r="39" spans="1:8" x14ac:dyDescent="0.25">
      <c r="A39" s="57" t="s">
        <v>21</v>
      </c>
      <c r="B39" s="41"/>
      <c r="C39" s="65">
        <v>1.5</v>
      </c>
      <c r="D39" s="5">
        <v>0</v>
      </c>
      <c r="E39" s="5">
        <f t="shared" si="6"/>
        <v>0</v>
      </c>
      <c r="F39" s="5">
        <v>84.4</v>
      </c>
      <c r="G39" s="5">
        <f t="shared" si="7"/>
        <v>1266</v>
      </c>
      <c r="H39" s="25"/>
    </row>
    <row r="40" spans="1:8" x14ac:dyDescent="0.25">
      <c r="A40" s="57" t="s">
        <v>49</v>
      </c>
      <c r="B40" s="41"/>
      <c r="C40" s="67">
        <v>0</v>
      </c>
      <c r="D40" s="13">
        <v>0</v>
      </c>
      <c r="E40" s="5">
        <f t="shared" si="6"/>
        <v>0</v>
      </c>
      <c r="F40" s="5">
        <v>0</v>
      </c>
      <c r="G40" s="5">
        <f t="shared" si="7"/>
        <v>0</v>
      </c>
      <c r="H40" s="25"/>
    </row>
    <row r="41" spans="1:8" x14ac:dyDescent="0.25">
      <c r="A41" s="57" t="s">
        <v>23</v>
      </c>
      <c r="B41" s="41"/>
      <c r="C41" s="65">
        <v>0.22</v>
      </c>
      <c r="D41" s="13">
        <v>20.5</v>
      </c>
      <c r="E41" s="5">
        <f t="shared" si="6"/>
        <v>45.099999999999994</v>
      </c>
      <c r="F41" s="5">
        <v>0</v>
      </c>
      <c r="G41" s="5">
        <f t="shared" si="7"/>
        <v>0</v>
      </c>
      <c r="H41" s="25"/>
    </row>
    <row r="42" spans="1:8" x14ac:dyDescent="0.25">
      <c r="A42" s="62" t="s">
        <v>26</v>
      </c>
      <c r="B42" s="46"/>
      <c r="C42" s="69">
        <f>SUM(C34:C41)</f>
        <v>26.919999999999998</v>
      </c>
      <c r="D42" s="20"/>
      <c r="E42" s="21">
        <f>SUM(E34:E41)</f>
        <v>397.29000000000008</v>
      </c>
      <c r="F42" s="20"/>
      <c r="G42" s="21">
        <f>SUM(G34:G41)</f>
        <v>4821.3999999999996</v>
      </c>
      <c r="H42" s="114" t="s">
        <v>6</v>
      </c>
    </row>
    <row r="43" spans="1:8" x14ac:dyDescent="0.25">
      <c r="A43" s="230"/>
      <c r="B43" s="231"/>
      <c r="C43" s="231"/>
      <c r="D43" s="232"/>
      <c r="E43" s="22">
        <f>E42/C42/10</f>
        <v>1.4758172362555724</v>
      </c>
      <c r="F43" s="23"/>
      <c r="G43" s="22">
        <f>G42/C42/10</f>
        <v>17.910104011887071</v>
      </c>
      <c r="H43" s="21">
        <f>((100-G43)*0.5)/E43</f>
        <v>27.811674091973114</v>
      </c>
    </row>
    <row r="48" spans="1:8" x14ac:dyDescent="0.25">
      <c r="A48" s="61"/>
      <c r="B48" s="34"/>
      <c r="C48" s="61"/>
    </row>
    <row r="49" spans="1:18" x14ac:dyDescent="0.25">
      <c r="A49" s="61"/>
      <c r="B49" s="34"/>
      <c r="C49" s="61"/>
    </row>
    <row r="50" spans="1:18" x14ac:dyDescent="0.25">
      <c r="A50" s="253" t="s">
        <v>121</v>
      </c>
      <c r="B50" s="254"/>
      <c r="C50" s="254"/>
      <c r="D50" s="254"/>
      <c r="E50" s="254"/>
      <c r="F50" s="254"/>
      <c r="G50" s="254"/>
      <c r="H50" s="255"/>
    </row>
    <row r="51" spans="1:18" x14ac:dyDescent="0.25">
      <c r="A51" s="217" t="s">
        <v>0</v>
      </c>
      <c r="B51" s="227" t="s">
        <v>1</v>
      </c>
      <c r="C51" s="217" t="s">
        <v>47</v>
      </c>
      <c r="D51" s="221" t="s">
        <v>46</v>
      </c>
      <c r="E51" s="222"/>
      <c r="F51" s="222"/>
      <c r="G51" s="223"/>
      <c r="H51" s="229" t="s">
        <v>102</v>
      </c>
      <c r="K51" s="224" t="s">
        <v>192</v>
      </c>
      <c r="L51" s="225"/>
      <c r="M51" s="225"/>
      <c r="N51" s="225"/>
      <c r="O51" s="225"/>
      <c r="P51" s="225"/>
      <c r="Q51" s="225"/>
      <c r="R51" s="226"/>
    </row>
    <row r="52" spans="1:18" x14ac:dyDescent="0.25">
      <c r="A52" s="218"/>
      <c r="B52" s="228"/>
      <c r="C52" s="218"/>
      <c r="D52" s="2" t="s">
        <v>42</v>
      </c>
      <c r="E52" s="2" t="s">
        <v>43</v>
      </c>
      <c r="F52" s="2" t="s">
        <v>44</v>
      </c>
      <c r="G52" s="2" t="s">
        <v>45</v>
      </c>
      <c r="H52" s="229"/>
      <c r="K52" s="217" t="s">
        <v>0</v>
      </c>
      <c r="L52" s="227" t="s">
        <v>1</v>
      </c>
      <c r="M52" s="217" t="s">
        <v>47</v>
      </c>
      <c r="N52" s="221" t="s">
        <v>46</v>
      </c>
      <c r="O52" s="222"/>
      <c r="P52" s="222"/>
      <c r="Q52" s="223"/>
      <c r="R52" s="229" t="s">
        <v>102</v>
      </c>
    </row>
    <row r="53" spans="1:18" x14ac:dyDescent="0.25">
      <c r="A53" s="2" t="s">
        <v>120</v>
      </c>
      <c r="B53" s="35">
        <f>C53/(C53+C54+C55+C56)*100</f>
        <v>65.909090909090907</v>
      </c>
      <c r="C53" s="145">
        <v>14.5</v>
      </c>
      <c r="D53" s="5">
        <v>0.77</v>
      </c>
      <c r="E53" s="5">
        <f>(C53*D53%)*1000</f>
        <v>111.65</v>
      </c>
      <c r="F53" s="5">
        <v>12.7</v>
      </c>
      <c r="G53" s="146">
        <f t="shared" ref="G53:G60" si="8">(C53*F53%)*1000</f>
        <v>1841.5</v>
      </c>
      <c r="H53" s="51">
        <f>C53+C54+C55+C56</f>
        <v>22</v>
      </c>
      <c r="K53" s="218"/>
      <c r="L53" s="228"/>
      <c r="M53" s="218"/>
      <c r="N53" s="2" t="s">
        <v>42</v>
      </c>
      <c r="O53" s="2" t="s">
        <v>43</v>
      </c>
      <c r="P53" s="2" t="s">
        <v>44</v>
      </c>
      <c r="Q53" s="2" t="s">
        <v>45</v>
      </c>
      <c r="R53" s="229"/>
    </row>
    <row r="54" spans="1:18" x14ac:dyDescent="0.25">
      <c r="A54" s="4" t="s">
        <v>110</v>
      </c>
      <c r="B54" s="35">
        <f>C54/(C53+C54+C55+C56)*100</f>
        <v>0</v>
      </c>
      <c r="C54" s="147">
        <v>0</v>
      </c>
      <c r="D54" s="82">
        <v>0.7</v>
      </c>
      <c r="E54" s="82">
        <f t="shared" ref="E54:E60" si="9">(C54*D54%)*1000</f>
        <v>0</v>
      </c>
      <c r="F54" s="82">
        <v>9.9</v>
      </c>
      <c r="G54" s="82">
        <f t="shared" si="8"/>
        <v>0</v>
      </c>
      <c r="H54" s="25"/>
      <c r="K54" s="2" t="s">
        <v>186</v>
      </c>
      <c r="L54" s="196">
        <f>M54/(M54+M55+M56)*100</f>
        <v>72.340425531914903</v>
      </c>
      <c r="M54" s="145">
        <v>17</v>
      </c>
      <c r="N54" s="82">
        <v>1</v>
      </c>
      <c r="O54" s="82">
        <f t="shared" ref="O54:O60" si="10">(M54*N54%)*1000</f>
        <v>170</v>
      </c>
      <c r="P54" s="82">
        <v>13.4</v>
      </c>
      <c r="Q54" s="146">
        <f t="shared" ref="Q54:Q60" si="11">(M54*P54%)*1000</f>
        <v>2278</v>
      </c>
      <c r="R54" s="51">
        <f>M54+M55+M56</f>
        <v>23.5</v>
      </c>
    </row>
    <row r="55" spans="1:18" x14ac:dyDescent="0.25">
      <c r="A55" s="2" t="s">
        <v>12</v>
      </c>
      <c r="B55" s="35">
        <f>C55/(C53+C54+C55+C56)*100</f>
        <v>34.090909090909086</v>
      </c>
      <c r="C55" s="147">
        <v>7.5</v>
      </c>
      <c r="D55" s="82">
        <v>0.42</v>
      </c>
      <c r="E55" s="82">
        <f t="shared" si="9"/>
        <v>31.5</v>
      </c>
      <c r="F55" s="82">
        <v>1.5</v>
      </c>
      <c r="G55" s="82">
        <f t="shared" si="8"/>
        <v>112.49999999999999</v>
      </c>
      <c r="H55" s="25"/>
      <c r="K55" s="4" t="s">
        <v>110</v>
      </c>
      <c r="L55" s="35">
        <f>M55/(M54+M55+M56+M57)*100</f>
        <v>0</v>
      </c>
      <c r="M55" s="147">
        <v>0</v>
      </c>
      <c r="N55" s="82">
        <v>0.7</v>
      </c>
      <c r="O55" s="82">
        <f t="shared" si="10"/>
        <v>0</v>
      </c>
      <c r="P55" s="82">
        <v>0</v>
      </c>
      <c r="Q55" s="82">
        <f t="shared" si="11"/>
        <v>0</v>
      </c>
      <c r="R55" s="25"/>
    </row>
    <row r="56" spans="1:18" x14ac:dyDescent="0.25">
      <c r="A56" s="2" t="s">
        <v>14</v>
      </c>
      <c r="B56" s="35">
        <f>C56/(C53+C54+C55+C56)*100</f>
        <v>0</v>
      </c>
      <c r="C56" s="140">
        <v>0</v>
      </c>
      <c r="D56" s="5">
        <v>0.71</v>
      </c>
      <c r="E56" s="5">
        <f t="shared" si="9"/>
        <v>0</v>
      </c>
      <c r="F56" s="5">
        <v>0</v>
      </c>
      <c r="G56" s="5">
        <f t="shared" si="8"/>
        <v>0</v>
      </c>
      <c r="H56" s="25"/>
      <c r="K56" s="2" t="s">
        <v>162</v>
      </c>
      <c r="L56" s="196">
        <f>M56/(M54+M55+M56)*100</f>
        <v>27.659574468085108</v>
      </c>
      <c r="M56" s="147">
        <v>6.5</v>
      </c>
      <c r="N56" s="82">
        <v>0.35</v>
      </c>
      <c r="O56" s="82">
        <f t="shared" si="10"/>
        <v>22.75</v>
      </c>
      <c r="P56" s="82">
        <v>2.2999999999999998</v>
      </c>
      <c r="Q56" s="82">
        <f t="shared" si="11"/>
        <v>149.5</v>
      </c>
      <c r="R56" s="25"/>
    </row>
    <row r="57" spans="1:18" x14ac:dyDescent="0.25">
      <c r="A57" s="2" t="s">
        <v>17</v>
      </c>
      <c r="B57" s="35"/>
      <c r="C57" s="147">
        <v>7.5</v>
      </c>
      <c r="D57" s="82">
        <v>3.48</v>
      </c>
      <c r="E57" s="82">
        <f t="shared" si="9"/>
        <v>261</v>
      </c>
      <c r="F57" s="82">
        <v>30.3</v>
      </c>
      <c r="G57" s="82">
        <f t="shared" si="8"/>
        <v>2272.5</v>
      </c>
      <c r="H57" s="25"/>
      <c r="K57" s="4" t="s">
        <v>22</v>
      </c>
      <c r="L57" s="35"/>
      <c r="M57" s="140">
        <v>0</v>
      </c>
      <c r="N57" s="82">
        <v>46</v>
      </c>
      <c r="O57" s="82">
        <f t="shared" si="10"/>
        <v>0</v>
      </c>
      <c r="P57" s="82">
        <v>30.2</v>
      </c>
      <c r="Q57" s="5">
        <f t="shared" si="11"/>
        <v>0</v>
      </c>
      <c r="R57" s="25"/>
    </row>
    <row r="58" spans="1:18" x14ac:dyDescent="0.25">
      <c r="A58" s="4" t="s">
        <v>21</v>
      </c>
      <c r="B58" s="41"/>
      <c r="C58" s="147">
        <v>1.7</v>
      </c>
      <c r="D58" s="82">
        <v>0</v>
      </c>
      <c r="E58" s="82">
        <f t="shared" si="9"/>
        <v>0</v>
      </c>
      <c r="F58" s="82">
        <v>84.4</v>
      </c>
      <c r="G58" s="82">
        <f t="shared" si="8"/>
        <v>1434.8000000000002</v>
      </c>
      <c r="H58" s="25"/>
      <c r="K58" s="2" t="s">
        <v>17</v>
      </c>
      <c r="L58" s="35"/>
      <c r="M58" s="147">
        <v>6.5</v>
      </c>
      <c r="N58" s="82">
        <v>3</v>
      </c>
      <c r="O58" s="82">
        <f t="shared" si="10"/>
        <v>195</v>
      </c>
      <c r="P58" s="82">
        <v>30</v>
      </c>
      <c r="Q58" s="82">
        <f t="shared" si="11"/>
        <v>1950</v>
      </c>
      <c r="R58" s="25"/>
    </row>
    <row r="59" spans="1:18" x14ac:dyDescent="0.25">
      <c r="A59" s="4" t="s">
        <v>49</v>
      </c>
      <c r="B59" s="41"/>
      <c r="C59" s="148">
        <v>0</v>
      </c>
      <c r="D59" s="82">
        <v>46</v>
      </c>
      <c r="E59" s="82">
        <f t="shared" si="9"/>
        <v>0</v>
      </c>
      <c r="F59" s="82">
        <v>0</v>
      </c>
      <c r="G59" s="82">
        <f t="shared" si="8"/>
        <v>0</v>
      </c>
      <c r="H59" s="25"/>
      <c r="K59" s="4" t="s">
        <v>21</v>
      </c>
      <c r="L59" s="41"/>
      <c r="M59" s="147">
        <v>1.7</v>
      </c>
      <c r="N59" s="82">
        <v>0</v>
      </c>
      <c r="O59" s="82">
        <f t="shared" si="10"/>
        <v>0</v>
      </c>
      <c r="P59" s="82">
        <v>85.3</v>
      </c>
      <c r="Q59" s="82">
        <f t="shared" si="11"/>
        <v>1450.1</v>
      </c>
      <c r="R59" s="25"/>
    </row>
    <row r="60" spans="1:18" x14ac:dyDescent="0.25">
      <c r="A60" s="4" t="s">
        <v>23</v>
      </c>
      <c r="B60" s="41"/>
      <c r="C60" s="141">
        <v>0.25</v>
      </c>
      <c r="D60" s="13">
        <v>20.5</v>
      </c>
      <c r="E60" s="5">
        <f t="shared" si="9"/>
        <v>51.25</v>
      </c>
      <c r="F60" s="5">
        <v>0</v>
      </c>
      <c r="G60" s="5">
        <f t="shared" si="8"/>
        <v>0</v>
      </c>
      <c r="H60" s="25"/>
      <c r="K60" s="4" t="s">
        <v>23</v>
      </c>
      <c r="L60" s="41"/>
      <c r="M60" s="141">
        <v>0.2</v>
      </c>
      <c r="N60" s="13">
        <v>20.5</v>
      </c>
      <c r="O60" s="5">
        <f t="shared" si="10"/>
        <v>41</v>
      </c>
      <c r="P60" s="5">
        <v>0</v>
      </c>
      <c r="Q60" s="5">
        <f t="shared" si="11"/>
        <v>0</v>
      </c>
      <c r="R60" s="25"/>
    </row>
    <row r="61" spans="1:18" x14ac:dyDescent="0.25">
      <c r="A61" s="9" t="s">
        <v>26</v>
      </c>
      <c r="B61" s="42"/>
      <c r="C61" s="143">
        <f>SUM(C53:C60)</f>
        <v>31.45</v>
      </c>
      <c r="D61" s="9"/>
      <c r="E61" s="11">
        <f>SUM(E53:E60)</f>
        <v>455.4</v>
      </c>
      <c r="F61" s="9"/>
      <c r="G61" s="11">
        <f>SUM(G53:G60)</f>
        <v>5661.3</v>
      </c>
      <c r="H61" s="149" t="s">
        <v>6</v>
      </c>
      <c r="K61" s="9" t="s">
        <v>26</v>
      </c>
      <c r="L61" s="42"/>
      <c r="M61" s="143">
        <f>SUM(M54:M60)</f>
        <v>31.9</v>
      </c>
      <c r="N61" s="9"/>
      <c r="O61" s="11">
        <f>SUM(O54:O60)</f>
        <v>428.75</v>
      </c>
      <c r="P61" s="9"/>
      <c r="Q61" s="11">
        <f>SUM(Q54:Q60)</f>
        <v>5827.6</v>
      </c>
      <c r="R61" s="210" t="s">
        <v>6</v>
      </c>
    </row>
    <row r="62" spans="1:18" x14ac:dyDescent="0.25">
      <c r="A62" s="230"/>
      <c r="B62" s="231"/>
      <c r="C62" s="231"/>
      <c r="D62" s="232"/>
      <c r="E62" s="8">
        <f>E61/C61/10</f>
        <v>1.4480127186009537</v>
      </c>
      <c r="F62" s="12"/>
      <c r="G62" s="8">
        <f>G61/C61/10</f>
        <v>18.000953895071543</v>
      </c>
      <c r="H62" s="11">
        <f>((100-G62)*0.5)/E62</f>
        <v>28.314339042599915</v>
      </c>
      <c r="K62" s="230"/>
      <c r="L62" s="231"/>
      <c r="M62" s="231"/>
      <c r="N62" s="232"/>
      <c r="O62" s="8">
        <f>O61/M61/10</f>
        <v>1.3440438871473355</v>
      </c>
      <c r="P62" s="12"/>
      <c r="Q62" s="8">
        <f>Q61/M61/10</f>
        <v>18.268338557993733</v>
      </c>
      <c r="R62" s="11">
        <f>((100-Q62)*0.5)/O62</f>
        <v>30.405131195335276</v>
      </c>
    </row>
    <row r="65" spans="1:8" x14ac:dyDescent="0.25">
      <c r="A65" s="276" t="s">
        <v>119</v>
      </c>
      <c r="B65" s="254"/>
      <c r="C65" s="254"/>
      <c r="D65" s="254"/>
      <c r="E65" s="254"/>
      <c r="F65" s="254"/>
      <c r="G65" s="254"/>
      <c r="H65" s="255"/>
    </row>
    <row r="66" spans="1:8" x14ac:dyDescent="0.25">
      <c r="A66" s="217" t="s">
        <v>0</v>
      </c>
      <c r="B66" s="227" t="s">
        <v>1</v>
      </c>
      <c r="C66" s="217" t="s">
        <v>47</v>
      </c>
      <c r="D66" s="221" t="s">
        <v>46</v>
      </c>
      <c r="E66" s="222"/>
      <c r="F66" s="222"/>
      <c r="G66" s="223"/>
      <c r="H66" s="229" t="s">
        <v>102</v>
      </c>
    </row>
    <row r="67" spans="1:8" x14ac:dyDescent="0.25">
      <c r="A67" s="218"/>
      <c r="B67" s="228"/>
      <c r="C67" s="218"/>
      <c r="D67" s="2" t="s">
        <v>42</v>
      </c>
      <c r="E67" s="2" t="s">
        <v>43</v>
      </c>
      <c r="F67" s="2" t="s">
        <v>44</v>
      </c>
      <c r="G67" s="2" t="s">
        <v>45</v>
      </c>
      <c r="H67" s="229"/>
    </row>
    <row r="68" spans="1:8" x14ac:dyDescent="0.25">
      <c r="A68" s="2" t="s">
        <v>118</v>
      </c>
      <c r="B68" s="35">
        <f>C68/(C68+C69)*100</f>
        <v>61.363636363636367</v>
      </c>
      <c r="C68" s="145">
        <v>13.5</v>
      </c>
      <c r="D68" s="146">
        <v>0.84</v>
      </c>
      <c r="E68" s="146">
        <f t="shared" ref="E68:E73" si="12">(C68*D68%)*1000</f>
        <v>113.39999999999999</v>
      </c>
      <c r="F68" s="146">
        <v>13.2</v>
      </c>
      <c r="G68" s="146">
        <f t="shared" ref="G68:G73" si="13">(C68*F68%)*1000</f>
        <v>1782</v>
      </c>
      <c r="H68" s="51">
        <f>C68+C69</f>
        <v>22</v>
      </c>
    </row>
    <row r="69" spans="1:8" x14ac:dyDescent="0.25">
      <c r="A69" s="2" t="s">
        <v>12</v>
      </c>
      <c r="B69" s="35">
        <f>C69/(C68+C69)*100</f>
        <v>38.636363636363633</v>
      </c>
      <c r="C69" s="147">
        <v>8.5</v>
      </c>
      <c r="D69" s="82">
        <v>0.42</v>
      </c>
      <c r="E69" s="82">
        <f t="shared" si="12"/>
        <v>35.699999999999996</v>
      </c>
      <c r="F69" s="82">
        <v>1.5</v>
      </c>
      <c r="G69" s="82">
        <f t="shared" si="13"/>
        <v>127.5</v>
      </c>
      <c r="H69" s="25"/>
    </row>
    <row r="70" spans="1:8" x14ac:dyDescent="0.25">
      <c r="A70" s="2" t="s">
        <v>17</v>
      </c>
      <c r="B70" s="35"/>
      <c r="C70" s="147">
        <v>7.5</v>
      </c>
      <c r="D70" s="82">
        <v>3.48</v>
      </c>
      <c r="E70" s="82">
        <f t="shared" si="12"/>
        <v>261</v>
      </c>
      <c r="F70" s="82">
        <v>30.3</v>
      </c>
      <c r="G70" s="82">
        <f t="shared" si="13"/>
        <v>2272.5</v>
      </c>
      <c r="H70" s="25"/>
    </row>
    <row r="71" spans="1:8" x14ac:dyDescent="0.25">
      <c r="A71" s="4" t="s">
        <v>21</v>
      </c>
      <c r="B71" s="41"/>
      <c r="C71" s="147">
        <v>1.7</v>
      </c>
      <c r="D71" s="82">
        <v>0</v>
      </c>
      <c r="E71" s="82">
        <f t="shared" si="12"/>
        <v>0</v>
      </c>
      <c r="F71" s="82">
        <v>84.4</v>
      </c>
      <c r="G71" s="82">
        <f t="shared" si="13"/>
        <v>1434.8000000000002</v>
      </c>
      <c r="H71" s="25"/>
    </row>
    <row r="72" spans="1:8" x14ac:dyDescent="0.25">
      <c r="A72" s="4" t="s">
        <v>49</v>
      </c>
      <c r="B72" s="41"/>
      <c r="C72" s="148">
        <v>0</v>
      </c>
      <c r="D72" s="82">
        <v>46</v>
      </c>
      <c r="E72" s="82">
        <f t="shared" si="12"/>
        <v>0</v>
      </c>
      <c r="F72" s="82">
        <v>0</v>
      </c>
      <c r="G72" s="82">
        <f t="shared" si="13"/>
        <v>0</v>
      </c>
      <c r="H72" s="25"/>
    </row>
    <row r="73" spans="1:8" x14ac:dyDescent="0.25">
      <c r="A73" s="4" t="s">
        <v>23</v>
      </c>
      <c r="B73" s="41"/>
      <c r="C73" s="141">
        <v>0.25</v>
      </c>
      <c r="D73" s="13">
        <v>20.5</v>
      </c>
      <c r="E73" s="5">
        <f t="shared" si="12"/>
        <v>51.25</v>
      </c>
      <c r="F73" s="5">
        <v>0</v>
      </c>
      <c r="G73" s="5">
        <f t="shared" si="13"/>
        <v>0</v>
      </c>
      <c r="H73" s="25"/>
    </row>
    <row r="74" spans="1:8" x14ac:dyDescent="0.25">
      <c r="A74" s="9" t="s">
        <v>26</v>
      </c>
      <c r="B74" s="42"/>
      <c r="C74" s="143">
        <f>SUM(C68:C73)</f>
        <v>31.45</v>
      </c>
      <c r="D74" s="9"/>
      <c r="E74" s="11">
        <f>SUM(E68:E73)</f>
        <v>461.35</v>
      </c>
      <c r="F74" s="9"/>
      <c r="G74" s="11">
        <f>SUM(G68:G73)</f>
        <v>5616.8</v>
      </c>
      <c r="H74" s="149" t="s">
        <v>6</v>
      </c>
    </row>
    <row r="75" spans="1:8" x14ac:dyDescent="0.25">
      <c r="A75" s="230"/>
      <c r="B75" s="231"/>
      <c r="C75" s="231"/>
      <c r="D75" s="232"/>
      <c r="E75" s="8">
        <f>E74/C74/10</f>
        <v>1.4669316375198729</v>
      </c>
      <c r="F75" s="12"/>
      <c r="G75" s="8">
        <f>G74/C74/10</f>
        <v>17.859459459459462</v>
      </c>
      <c r="H75" s="11">
        <f>((100-G75)*0.5)/E75</f>
        <v>27.997398937899643</v>
      </c>
    </row>
    <row r="78" spans="1:8" x14ac:dyDescent="0.25">
      <c r="A78" s="285" t="s">
        <v>153</v>
      </c>
      <c r="B78" s="286"/>
      <c r="C78" s="286"/>
      <c r="D78" s="286"/>
      <c r="E78" s="286"/>
      <c r="F78" s="286"/>
      <c r="G78" s="286"/>
      <c r="H78" s="287"/>
    </row>
    <row r="79" spans="1:8" x14ac:dyDescent="0.25">
      <c r="A79" s="217" t="s">
        <v>0</v>
      </c>
      <c r="B79" s="227" t="s">
        <v>1</v>
      </c>
      <c r="C79" s="217" t="s">
        <v>47</v>
      </c>
      <c r="D79" s="221" t="s">
        <v>46</v>
      </c>
      <c r="E79" s="222"/>
      <c r="F79" s="222"/>
      <c r="G79" s="223"/>
      <c r="H79" s="229" t="s">
        <v>102</v>
      </c>
    </row>
    <row r="80" spans="1:8" x14ac:dyDescent="0.25">
      <c r="A80" s="218"/>
      <c r="B80" s="228"/>
      <c r="C80" s="218"/>
      <c r="D80" s="2" t="s">
        <v>42</v>
      </c>
      <c r="E80" s="2" t="s">
        <v>43</v>
      </c>
      <c r="F80" s="2" t="s">
        <v>44</v>
      </c>
      <c r="G80" s="2" t="s">
        <v>45</v>
      </c>
      <c r="H80" s="229"/>
    </row>
    <row r="81" spans="1:18" x14ac:dyDescent="0.25">
      <c r="A81" s="2" t="s">
        <v>122</v>
      </c>
      <c r="B81" s="35">
        <f>C81/(C81+C82+C83+C84)*100</f>
        <v>69.264069264069263</v>
      </c>
      <c r="C81" s="145">
        <v>16</v>
      </c>
      <c r="D81" s="5">
        <v>0.84</v>
      </c>
      <c r="E81" s="5">
        <f t="shared" ref="E81:E88" si="14">(C81*D81%)*1000</f>
        <v>134.4</v>
      </c>
      <c r="F81" s="5">
        <v>12.1</v>
      </c>
      <c r="G81" s="146">
        <f t="shared" ref="G81:G88" si="15">(C81*F81%)*1000</f>
        <v>1936</v>
      </c>
      <c r="H81" s="51">
        <f>C81+C82+C83+C84</f>
        <v>23.1</v>
      </c>
    </row>
    <row r="82" spans="1:18" x14ac:dyDescent="0.25">
      <c r="A82" s="4" t="s">
        <v>110</v>
      </c>
      <c r="B82" s="35">
        <f>C82/(C81+C82+C83+C84)*100</f>
        <v>0</v>
      </c>
      <c r="C82" s="147">
        <v>0</v>
      </c>
      <c r="D82" s="82">
        <v>0.7</v>
      </c>
      <c r="E82" s="82">
        <f t="shared" si="14"/>
        <v>0</v>
      </c>
      <c r="F82" s="82">
        <v>9.9</v>
      </c>
      <c r="G82" s="82">
        <f t="shared" si="15"/>
        <v>0</v>
      </c>
      <c r="H82" s="25"/>
    </row>
    <row r="83" spans="1:18" x14ac:dyDescent="0.25">
      <c r="A83" s="2" t="s">
        <v>12</v>
      </c>
      <c r="B83" s="35">
        <f>C83/(C81+C82+C83+C84)*100</f>
        <v>30.735930735930733</v>
      </c>
      <c r="C83" s="147">
        <v>7.1</v>
      </c>
      <c r="D83" s="82">
        <v>0.42</v>
      </c>
      <c r="E83" s="82">
        <f t="shared" si="14"/>
        <v>29.819999999999997</v>
      </c>
      <c r="F83" s="82">
        <v>1.8</v>
      </c>
      <c r="G83" s="82">
        <f t="shared" si="15"/>
        <v>127.8</v>
      </c>
      <c r="H83" s="25"/>
    </row>
    <row r="84" spans="1:18" x14ac:dyDescent="0.25">
      <c r="A84" s="2" t="s">
        <v>14</v>
      </c>
      <c r="B84" s="35">
        <f>C84/(C81+C82+C83+C84)*100</f>
        <v>0</v>
      </c>
      <c r="C84" s="140">
        <v>0</v>
      </c>
      <c r="D84" s="5">
        <v>0.71</v>
      </c>
      <c r="E84" s="5">
        <f t="shared" si="14"/>
        <v>0</v>
      </c>
      <c r="F84" s="5">
        <v>0</v>
      </c>
      <c r="G84" s="5">
        <f t="shared" si="15"/>
        <v>0</v>
      </c>
      <c r="H84" s="25"/>
    </row>
    <row r="85" spans="1:18" x14ac:dyDescent="0.25">
      <c r="A85" s="2" t="s">
        <v>17</v>
      </c>
      <c r="B85" s="35"/>
      <c r="C85" s="147">
        <v>7.5</v>
      </c>
      <c r="D85" s="82">
        <v>3.48</v>
      </c>
      <c r="E85" s="82">
        <f t="shared" si="14"/>
        <v>261</v>
      </c>
      <c r="F85" s="82">
        <v>30.3</v>
      </c>
      <c r="G85" s="82">
        <f t="shared" si="15"/>
        <v>2272.5</v>
      </c>
      <c r="H85" s="25"/>
    </row>
    <row r="86" spans="1:18" x14ac:dyDescent="0.25">
      <c r="A86" s="4" t="s">
        <v>21</v>
      </c>
      <c r="B86" s="41"/>
      <c r="C86" s="147">
        <v>1.7</v>
      </c>
      <c r="D86" s="82">
        <v>0</v>
      </c>
      <c r="E86" s="82">
        <f t="shared" si="14"/>
        <v>0</v>
      </c>
      <c r="F86" s="82">
        <v>84.4</v>
      </c>
      <c r="G86" s="82">
        <f t="shared" si="15"/>
        <v>1434.8000000000002</v>
      </c>
      <c r="H86" s="25"/>
    </row>
    <row r="87" spans="1:18" x14ac:dyDescent="0.25">
      <c r="A87" s="4" t="s">
        <v>49</v>
      </c>
      <c r="B87" s="41"/>
      <c r="C87" s="148">
        <v>0</v>
      </c>
      <c r="D87" s="82">
        <v>46</v>
      </c>
      <c r="E87" s="82">
        <f t="shared" si="14"/>
        <v>0</v>
      </c>
      <c r="F87" s="82">
        <v>0</v>
      </c>
      <c r="G87" s="82">
        <f t="shared" si="15"/>
        <v>0</v>
      </c>
      <c r="H87" s="25"/>
    </row>
    <row r="88" spans="1:18" x14ac:dyDescent="0.25">
      <c r="A88" s="4" t="s">
        <v>23</v>
      </c>
      <c r="B88" s="41"/>
      <c r="C88" s="141">
        <v>0.2</v>
      </c>
      <c r="D88" s="13">
        <v>20.5</v>
      </c>
      <c r="E88" s="5">
        <f t="shared" si="14"/>
        <v>41</v>
      </c>
      <c r="F88" s="5">
        <v>0</v>
      </c>
      <c r="G88" s="5">
        <f t="shared" si="15"/>
        <v>0</v>
      </c>
      <c r="H88" s="25"/>
    </row>
    <row r="89" spans="1:18" x14ac:dyDescent="0.25">
      <c r="A89" s="9" t="s">
        <v>26</v>
      </c>
      <c r="B89" s="42"/>
      <c r="C89" s="143">
        <f>SUM(C81:C88)</f>
        <v>32.500000000000007</v>
      </c>
      <c r="D89" s="9"/>
      <c r="E89" s="11">
        <f>SUM(E81:E88)</f>
        <v>466.22</v>
      </c>
      <c r="F89" s="9"/>
      <c r="G89" s="11">
        <f>SUM(G81:G88)</f>
        <v>5771.1</v>
      </c>
      <c r="H89" s="160" t="s">
        <v>6</v>
      </c>
    </row>
    <row r="90" spans="1:18" x14ac:dyDescent="0.25">
      <c r="A90" s="230"/>
      <c r="B90" s="231"/>
      <c r="C90" s="231"/>
      <c r="D90" s="232"/>
      <c r="E90" s="8">
        <f>E89/C89/10</f>
        <v>1.4345230769230768</v>
      </c>
      <c r="F90" s="12"/>
      <c r="G90" s="8">
        <f>G89/C89/10</f>
        <v>17.757230769230766</v>
      </c>
      <c r="H90" s="11">
        <f>((100-G90)*0.5)/E90</f>
        <v>28.665544163699543</v>
      </c>
    </row>
    <row r="94" spans="1:18" x14ac:dyDescent="0.25">
      <c r="A94" s="224"/>
      <c r="B94" s="225"/>
      <c r="C94" s="225"/>
      <c r="D94" s="225"/>
      <c r="E94" s="225"/>
      <c r="F94" s="225"/>
      <c r="G94" s="225"/>
      <c r="H94" s="226"/>
      <c r="K94" s="224"/>
      <c r="L94" s="225"/>
      <c r="M94" s="225"/>
      <c r="N94" s="225"/>
      <c r="O94" s="225"/>
      <c r="P94" s="225"/>
      <c r="Q94" s="225"/>
      <c r="R94" s="226"/>
    </row>
    <row r="95" spans="1:18" x14ac:dyDescent="0.25">
      <c r="A95" s="217" t="s">
        <v>0</v>
      </c>
      <c r="B95" s="227" t="s">
        <v>1</v>
      </c>
      <c r="C95" s="217" t="s">
        <v>47</v>
      </c>
      <c r="D95" s="221" t="s">
        <v>46</v>
      </c>
      <c r="E95" s="222"/>
      <c r="F95" s="222"/>
      <c r="G95" s="223"/>
      <c r="H95" s="229" t="s">
        <v>102</v>
      </c>
      <c r="K95" s="217" t="s">
        <v>0</v>
      </c>
      <c r="L95" s="227" t="s">
        <v>1</v>
      </c>
      <c r="M95" s="217" t="s">
        <v>47</v>
      </c>
      <c r="N95" s="221" t="s">
        <v>46</v>
      </c>
      <c r="O95" s="222"/>
      <c r="P95" s="222"/>
      <c r="Q95" s="223"/>
      <c r="R95" s="229" t="s">
        <v>102</v>
      </c>
    </row>
    <row r="96" spans="1:18" x14ac:dyDescent="0.25">
      <c r="A96" s="218"/>
      <c r="B96" s="228"/>
      <c r="C96" s="218"/>
      <c r="D96" s="2" t="s">
        <v>42</v>
      </c>
      <c r="E96" s="2" t="s">
        <v>43</v>
      </c>
      <c r="F96" s="2" t="s">
        <v>44</v>
      </c>
      <c r="G96" s="2" t="s">
        <v>45</v>
      </c>
      <c r="H96" s="229"/>
      <c r="K96" s="218"/>
      <c r="L96" s="228"/>
      <c r="M96" s="218"/>
      <c r="N96" s="2" t="s">
        <v>42</v>
      </c>
      <c r="O96" s="2" t="s">
        <v>43</v>
      </c>
      <c r="P96" s="2" t="s">
        <v>44</v>
      </c>
      <c r="Q96" s="2" t="s">
        <v>45</v>
      </c>
      <c r="R96" s="229"/>
    </row>
    <row r="97" spans="1:18" x14ac:dyDescent="0.25">
      <c r="A97" s="2" t="s">
        <v>122</v>
      </c>
      <c r="B97" s="35">
        <f>C97/(C97+C98+C99+C100)*100</f>
        <v>71.681415929203524</v>
      </c>
      <c r="C97" s="145">
        <v>16.2</v>
      </c>
      <c r="D97" s="5">
        <v>1</v>
      </c>
      <c r="E97" s="5">
        <f>(C97*D97%)*1000</f>
        <v>162</v>
      </c>
      <c r="F97" s="5">
        <v>13.3</v>
      </c>
      <c r="G97" s="146">
        <f t="shared" ref="G97:G104" si="16">(C97*F97%)*1000</f>
        <v>2154.6</v>
      </c>
      <c r="H97" s="51">
        <f>C97+C98+C99+C100</f>
        <v>22.6</v>
      </c>
      <c r="K97" s="2" t="s">
        <v>122</v>
      </c>
      <c r="L97" s="35">
        <f>M97/(M97+M98+M99+M100)*100</f>
        <v>100</v>
      </c>
      <c r="M97" s="145">
        <v>23.5</v>
      </c>
      <c r="N97" s="5">
        <v>1</v>
      </c>
      <c r="O97" s="5">
        <f>(M97*N97%)*1000</f>
        <v>235.00000000000003</v>
      </c>
      <c r="P97" s="5">
        <v>13.3</v>
      </c>
      <c r="Q97" s="146">
        <f t="shared" ref="Q97:Q104" si="17">(M97*P97%)*1000</f>
        <v>3125.5</v>
      </c>
      <c r="R97" s="51">
        <f>M97+M98+M99+M100</f>
        <v>23.5</v>
      </c>
    </row>
    <row r="98" spans="1:18" x14ac:dyDescent="0.25">
      <c r="A98" s="4" t="s">
        <v>110</v>
      </c>
      <c r="B98" s="35">
        <f>C98/(C97+C98+C99+C100)*100</f>
        <v>0</v>
      </c>
      <c r="C98" s="147">
        <v>0</v>
      </c>
      <c r="D98" s="82">
        <v>0.7</v>
      </c>
      <c r="E98" s="82">
        <f t="shared" ref="E98:E104" si="18">(C98*D98%)*1000</f>
        <v>0</v>
      </c>
      <c r="F98" s="82">
        <v>0</v>
      </c>
      <c r="G98" s="82">
        <f t="shared" si="16"/>
        <v>0</v>
      </c>
      <c r="H98" s="25"/>
      <c r="K98" s="4" t="s">
        <v>110</v>
      </c>
      <c r="L98" s="35">
        <f>M98/(M97+M98+M99+M100)*100</f>
        <v>0</v>
      </c>
      <c r="M98" s="147">
        <v>0</v>
      </c>
      <c r="N98" s="82">
        <v>0.7</v>
      </c>
      <c r="O98" s="82">
        <f t="shared" ref="O98:O104" si="19">(M98*N98%)*1000</f>
        <v>0</v>
      </c>
      <c r="P98" s="82">
        <v>0</v>
      </c>
      <c r="Q98" s="82">
        <f t="shared" si="17"/>
        <v>0</v>
      </c>
      <c r="R98" s="25"/>
    </row>
    <row r="99" spans="1:18" x14ac:dyDescent="0.25">
      <c r="A99" s="2" t="s">
        <v>162</v>
      </c>
      <c r="B99" s="35">
        <f>C99/(C97+C98+C99+C100)*100</f>
        <v>28.318584070796462</v>
      </c>
      <c r="C99" s="147">
        <v>6.4</v>
      </c>
      <c r="D99" s="82">
        <v>0.42</v>
      </c>
      <c r="E99" s="82">
        <f t="shared" si="18"/>
        <v>26.880000000000003</v>
      </c>
      <c r="F99" s="82">
        <v>1.8</v>
      </c>
      <c r="G99" s="82">
        <f t="shared" si="16"/>
        <v>115.20000000000003</v>
      </c>
      <c r="H99" s="25"/>
      <c r="K99" s="2" t="s">
        <v>162</v>
      </c>
      <c r="L99" s="35">
        <f>M99/(M97+M98+M99+M100)*100</f>
        <v>0</v>
      </c>
      <c r="M99" s="147">
        <v>0</v>
      </c>
      <c r="N99" s="82">
        <v>0.42</v>
      </c>
      <c r="O99" s="82">
        <f t="shared" si="19"/>
        <v>0</v>
      </c>
      <c r="P99" s="82">
        <v>1.8</v>
      </c>
      <c r="Q99" s="82">
        <f t="shared" si="17"/>
        <v>0</v>
      </c>
      <c r="R99" s="25"/>
    </row>
    <row r="100" spans="1:18" x14ac:dyDescent="0.25">
      <c r="A100" s="2" t="s">
        <v>14</v>
      </c>
      <c r="B100" s="35">
        <f>C100/(C97+C98+C99+C100)*100</f>
        <v>0</v>
      </c>
      <c r="C100" s="140">
        <v>0</v>
      </c>
      <c r="D100" s="5">
        <v>0.71</v>
      </c>
      <c r="E100" s="5">
        <f t="shared" si="18"/>
        <v>0</v>
      </c>
      <c r="F100" s="5">
        <v>0</v>
      </c>
      <c r="G100" s="5">
        <f t="shared" si="16"/>
        <v>0</v>
      </c>
      <c r="H100" s="25"/>
      <c r="K100" s="2" t="s">
        <v>14</v>
      </c>
      <c r="L100" s="35">
        <f>M100/(M97+M98+M99+M100)*100</f>
        <v>0</v>
      </c>
      <c r="M100" s="140">
        <v>0</v>
      </c>
      <c r="N100" s="5">
        <v>0.71</v>
      </c>
      <c r="O100" s="5">
        <f t="shared" si="19"/>
        <v>0</v>
      </c>
      <c r="P100" s="5">
        <v>0</v>
      </c>
      <c r="Q100" s="5">
        <f t="shared" si="17"/>
        <v>0</v>
      </c>
      <c r="R100" s="25"/>
    </row>
    <row r="101" spans="1:18" x14ac:dyDescent="0.25">
      <c r="A101" s="2" t="s">
        <v>17</v>
      </c>
      <c r="B101" s="35"/>
      <c r="C101" s="147">
        <v>7.7</v>
      </c>
      <c r="D101" s="82">
        <v>3.42</v>
      </c>
      <c r="E101" s="82">
        <f t="shared" si="18"/>
        <v>263.34000000000003</v>
      </c>
      <c r="F101" s="82">
        <v>29.4</v>
      </c>
      <c r="G101" s="82">
        <f t="shared" si="16"/>
        <v>2263.7999999999997</v>
      </c>
      <c r="H101" s="25"/>
      <c r="K101" s="2" t="s">
        <v>17</v>
      </c>
      <c r="L101" s="35"/>
      <c r="M101" s="147">
        <v>6</v>
      </c>
      <c r="N101" s="82">
        <v>3.42</v>
      </c>
      <c r="O101" s="82">
        <f t="shared" si="19"/>
        <v>205.2</v>
      </c>
      <c r="P101" s="82">
        <v>29.4</v>
      </c>
      <c r="Q101" s="82">
        <f t="shared" si="17"/>
        <v>1763.9999999999998</v>
      </c>
      <c r="R101" s="25"/>
    </row>
    <row r="102" spans="1:18" x14ac:dyDescent="0.25">
      <c r="A102" s="4" t="s">
        <v>21</v>
      </c>
      <c r="B102" s="41"/>
      <c r="C102" s="147">
        <v>1.7</v>
      </c>
      <c r="D102" s="82">
        <v>0</v>
      </c>
      <c r="E102" s="82">
        <f t="shared" si="18"/>
        <v>0</v>
      </c>
      <c r="F102" s="82">
        <v>85.3</v>
      </c>
      <c r="G102" s="82">
        <f t="shared" si="16"/>
        <v>1450.1</v>
      </c>
      <c r="H102" s="25"/>
      <c r="K102" s="4" t="s">
        <v>21</v>
      </c>
      <c r="L102" s="41"/>
      <c r="M102" s="147">
        <v>1.7</v>
      </c>
      <c r="N102" s="82">
        <v>0</v>
      </c>
      <c r="O102" s="82">
        <f t="shared" si="19"/>
        <v>0</v>
      </c>
      <c r="P102" s="82">
        <v>85.3</v>
      </c>
      <c r="Q102" s="82">
        <f t="shared" si="17"/>
        <v>1450.1</v>
      </c>
      <c r="R102" s="25"/>
    </row>
    <row r="103" spans="1:18" x14ac:dyDescent="0.25">
      <c r="A103" s="4" t="s">
        <v>49</v>
      </c>
      <c r="B103" s="41"/>
      <c r="C103" s="148">
        <v>0</v>
      </c>
      <c r="D103" s="82">
        <v>46</v>
      </c>
      <c r="E103" s="82">
        <f t="shared" si="18"/>
        <v>0</v>
      </c>
      <c r="F103" s="82">
        <v>0</v>
      </c>
      <c r="G103" s="82">
        <f t="shared" si="16"/>
        <v>0</v>
      </c>
      <c r="H103" s="25"/>
      <c r="K103" s="4" t="s">
        <v>49</v>
      </c>
      <c r="L103" s="41"/>
      <c r="M103" s="148">
        <v>0</v>
      </c>
      <c r="N103" s="82">
        <v>46</v>
      </c>
      <c r="O103" s="82">
        <f t="shared" si="19"/>
        <v>0</v>
      </c>
      <c r="P103" s="82">
        <v>0</v>
      </c>
      <c r="Q103" s="82">
        <f t="shared" si="17"/>
        <v>0</v>
      </c>
      <c r="R103" s="25"/>
    </row>
    <row r="104" spans="1:18" x14ac:dyDescent="0.25">
      <c r="A104" s="4" t="s">
        <v>23</v>
      </c>
      <c r="B104" s="41"/>
      <c r="C104" s="141">
        <v>0.08</v>
      </c>
      <c r="D104" s="13">
        <v>20.5</v>
      </c>
      <c r="E104" s="5">
        <f t="shared" si="18"/>
        <v>16.399999999999999</v>
      </c>
      <c r="F104" s="5">
        <v>0</v>
      </c>
      <c r="G104" s="5">
        <f t="shared" si="16"/>
        <v>0</v>
      </c>
      <c r="H104" s="25"/>
      <c r="K104" s="4" t="s">
        <v>23</v>
      </c>
      <c r="L104" s="41"/>
      <c r="M104" s="141">
        <v>0</v>
      </c>
      <c r="N104" s="13">
        <v>20.5</v>
      </c>
      <c r="O104" s="5">
        <f t="shared" si="19"/>
        <v>0</v>
      </c>
      <c r="P104" s="5">
        <v>0</v>
      </c>
      <c r="Q104" s="5">
        <f t="shared" si="17"/>
        <v>0</v>
      </c>
      <c r="R104" s="25"/>
    </row>
    <row r="105" spans="1:18" x14ac:dyDescent="0.25">
      <c r="A105" s="9" t="s">
        <v>26</v>
      </c>
      <c r="B105" s="42"/>
      <c r="C105" s="143">
        <f>SUM(C97:C104)</f>
        <v>32.08</v>
      </c>
      <c r="D105" s="9"/>
      <c r="E105" s="11">
        <f>SUM(E97:E104)</f>
        <v>468.62</v>
      </c>
      <c r="F105" s="9"/>
      <c r="G105" s="11">
        <f>SUM(G97:G104)</f>
        <v>5983.6999999999989</v>
      </c>
      <c r="H105" s="178" t="s">
        <v>6</v>
      </c>
      <c r="K105" s="9" t="s">
        <v>26</v>
      </c>
      <c r="L105" s="42"/>
      <c r="M105" s="143">
        <f>SUM(M97:M104)</f>
        <v>31.2</v>
      </c>
      <c r="N105" s="9"/>
      <c r="O105" s="11">
        <f>SUM(O97:O104)</f>
        <v>440.20000000000005</v>
      </c>
      <c r="P105" s="9"/>
      <c r="Q105" s="11">
        <f>SUM(Q97:Q104)</f>
        <v>6339.6</v>
      </c>
      <c r="R105" s="178" t="s">
        <v>6</v>
      </c>
    </row>
    <row r="106" spans="1:18" x14ac:dyDescent="0.25">
      <c r="A106" s="230"/>
      <c r="B106" s="231"/>
      <c r="C106" s="231"/>
      <c r="D106" s="232"/>
      <c r="E106" s="8">
        <f>E105/C105/10</f>
        <v>1.4607855361596012</v>
      </c>
      <c r="F106" s="12"/>
      <c r="G106" s="8">
        <f>G105/C105/10</f>
        <v>18.652431421446384</v>
      </c>
      <c r="H106" s="11">
        <f>((100-G106)*0.5)/E106</f>
        <v>27.843775340361059</v>
      </c>
      <c r="K106" s="230"/>
      <c r="L106" s="231"/>
      <c r="M106" s="231"/>
      <c r="N106" s="232"/>
      <c r="O106" s="8">
        <f>O105/M105/10</f>
        <v>1.4108974358974362</v>
      </c>
      <c r="P106" s="12"/>
      <c r="Q106" s="8">
        <f>Q105/M105/10</f>
        <v>20.319230769230771</v>
      </c>
      <c r="R106" s="11">
        <f>((100-Q106)*0.5)/O106</f>
        <v>28.237619263970917</v>
      </c>
    </row>
    <row r="109" spans="1:18" x14ac:dyDescent="0.25">
      <c r="A109" s="224"/>
      <c r="B109" s="225"/>
      <c r="C109" s="225"/>
      <c r="D109" s="225"/>
      <c r="E109" s="225"/>
      <c r="F109" s="225"/>
      <c r="G109" s="225"/>
      <c r="H109" s="226"/>
      <c r="K109" s="224"/>
      <c r="L109" s="225"/>
      <c r="M109" s="225"/>
      <c r="N109" s="225"/>
      <c r="O109" s="225"/>
      <c r="P109" s="225"/>
      <c r="Q109" s="225"/>
      <c r="R109" s="226"/>
    </row>
    <row r="110" spans="1:18" x14ac:dyDescent="0.25">
      <c r="A110" s="217" t="s">
        <v>0</v>
      </c>
      <c r="B110" s="227" t="s">
        <v>1</v>
      </c>
      <c r="C110" s="217" t="s">
        <v>47</v>
      </c>
      <c r="D110" s="221" t="s">
        <v>46</v>
      </c>
      <c r="E110" s="222"/>
      <c r="F110" s="222"/>
      <c r="G110" s="223"/>
      <c r="H110" s="229" t="s">
        <v>102</v>
      </c>
      <c r="K110" s="217" t="s">
        <v>0</v>
      </c>
      <c r="L110" s="227" t="s">
        <v>1</v>
      </c>
      <c r="M110" s="217" t="s">
        <v>47</v>
      </c>
      <c r="N110" s="221" t="s">
        <v>46</v>
      </c>
      <c r="O110" s="222"/>
      <c r="P110" s="222"/>
      <c r="Q110" s="223"/>
      <c r="R110" s="229" t="s">
        <v>102</v>
      </c>
    </row>
    <row r="111" spans="1:18" x14ac:dyDescent="0.25">
      <c r="A111" s="218"/>
      <c r="B111" s="228"/>
      <c r="C111" s="218"/>
      <c r="D111" s="2" t="s">
        <v>42</v>
      </c>
      <c r="E111" s="2" t="s">
        <v>43</v>
      </c>
      <c r="F111" s="2" t="s">
        <v>44</v>
      </c>
      <c r="G111" s="2" t="s">
        <v>45</v>
      </c>
      <c r="H111" s="229"/>
      <c r="K111" s="218"/>
      <c r="L111" s="228"/>
      <c r="M111" s="218"/>
      <c r="N111" s="2" t="s">
        <v>42</v>
      </c>
      <c r="O111" s="2" t="s">
        <v>43</v>
      </c>
      <c r="P111" s="2" t="s">
        <v>44</v>
      </c>
      <c r="Q111" s="2" t="s">
        <v>45</v>
      </c>
      <c r="R111" s="229"/>
    </row>
    <row r="112" spans="1:18" x14ac:dyDescent="0.25">
      <c r="A112" s="2" t="s">
        <v>122</v>
      </c>
      <c r="B112" s="35">
        <f>C112/(C112+C113+C114+C115)*100</f>
        <v>71.111111111111114</v>
      </c>
      <c r="C112" s="145">
        <v>16</v>
      </c>
      <c r="D112" s="5">
        <v>1</v>
      </c>
      <c r="E112" s="5">
        <f>(C112*D112%)*1000</f>
        <v>160</v>
      </c>
      <c r="F112" s="5">
        <v>13.3</v>
      </c>
      <c r="G112" s="146">
        <f t="shared" ref="G112:G119" si="20">(C112*F112%)*1000</f>
        <v>2128</v>
      </c>
      <c r="H112" s="51">
        <f>C112+C113+C114+C115</f>
        <v>22.5</v>
      </c>
      <c r="K112" s="2" t="s">
        <v>122</v>
      </c>
      <c r="L112" s="35">
        <f>M112/(M112+M113+M114+M115)*100</f>
        <v>71.038251366120221</v>
      </c>
      <c r="M112" s="145">
        <v>13</v>
      </c>
      <c r="N112" s="5">
        <v>1</v>
      </c>
      <c r="O112" s="5">
        <f>(M112*N112%)*1000</f>
        <v>130</v>
      </c>
      <c r="P112" s="5">
        <v>13.3</v>
      </c>
      <c r="Q112" s="146">
        <f t="shared" ref="Q112:Q119" si="21">(M112*P112%)*1000</f>
        <v>1729</v>
      </c>
      <c r="R112" s="51">
        <f>M112+M113+M114+M115</f>
        <v>18.3</v>
      </c>
    </row>
    <row r="113" spans="1:18" x14ac:dyDescent="0.25">
      <c r="A113" s="4" t="s">
        <v>110</v>
      </c>
      <c r="B113" s="35">
        <f>C113/(C112+C113+C114+C115)*100</f>
        <v>0</v>
      </c>
      <c r="C113" s="147">
        <v>0</v>
      </c>
      <c r="D113" s="82">
        <v>0.7</v>
      </c>
      <c r="E113" s="82">
        <f t="shared" ref="E113:E119" si="22">(C113*D113%)*1000</f>
        <v>0</v>
      </c>
      <c r="F113" s="82">
        <v>0</v>
      </c>
      <c r="G113" s="82">
        <f t="shared" si="20"/>
        <v>0</v>
      </c>
      <c r="H113" s="25"/>
      <c r="K113" s="4" t="s">
        <v>110</v>
      </c>
      <c r="L113" s="35">
        <f>M113/(M112+M113+M114+M115)*100</f>
        <v>0</v>
      </c>
      <c r="M113" s="147">
        <v>0</v>
      </c>
      <c r="N113" s="82">
        <v>0.7</v>
      </c>
      <c r="O113" s="82">
        <f t="shared" ref="O113:O119" si="23">(M113*N113%)*1000</f>
        <v>0</v>
      </c>
      <c r="P113" s="82">
        <v>0</v>
      </c>
      <c r="Q113" s="82">
        <f t="shared" si="21"/>
        <v>0</v>
      </c>
      <c r="R113" s="25"/>
    </row>
    <row r="114" spans="1:18" x14ac:dyDescent="0.25">
      <c r="A114" s="2" t="s">
        <v>162</v>
      </c>
      <c r="B114" s="35">
        <f>C114/(C112+C113+C114+C115)*100</f>
        <v>28.888888888888886</v>
      </c>
      <c r="C114" s="147">
        <v>6.5</v>
      </c>
      <c r="D114" s="82">
        <v>0.42</v>
      </c>
      <c r="E114" s="82">
        <f t="shared" si="22"/>
        <v>27.299999999999997</v>
      </c>
      <c r="F114" s="82">
        <v>1.8</v>
      </c>
      <c r="G114" s="82">
        <f t="shared" si="20"/>
        <v>117.00000000000001</v>
      </c>
      <c r="H114" s="25"/>
      <c r="K114" s="2" t="s">
        <v>162</v>
      </c>
      <c r="L114" s="35">
        <f>M114/(M112+M113+M114+M115)*100</f>
        <v>28.961748633879779</v>
      </c>
      <c r="M114" s="147">
        <v>5.3</v>
      </c>
      <c r="N114" s="82">
        <v>0.42</v>
      </c>
      <c r="O114" s="82">
        <f t="shared" si="23"/>
        <v>22.259999999999998</v>
      </c>
      <c r="P114" s="82">
        <v>1.8</v>
      </c>
      <c r="Q114" s="82">
        <f t="shared" si="21"/>
        <v>95.4</v>
      </c>
      <c r="R114" s="25"/>
    </row>
    <row r="115" spans="1:18" x14ac:dyDescent="0.25">
      <c r="A115" s="2" t="s">
        <v>14</v>
      </c>
      <c r="B115" s="35">
        <f>C115/(C112+C113+C114+C115)*100</f>
        <v>0</v>
      </c>
      <c r="C115" s="140">
        <v>0</v>
      </c>
      <c r="D115" s="5">
        <v>0.71</v>
      </c>
      <c r="E115" s="5">
        <f t="shared" si="22"/>
        <v>0</v>
      </c>
      <c r="F115" s="5">
        <v>0</v>
      </c>
      <c r="G115" s="5">
        <f t="shared" si="20"/>
        <v>0</v>
      </c>
      <c r="H115" s="25"/>
      <c r="K115" s="2" t="s">
        <v>14</v>
      </c>
      <c r="L115" s="35">
        <f>M115/(M112+M113+M114+M115)*100</f>
        <v>0</v>
      </c>
      <c r="M115" s="140">
        <v>0</v>
      </c>
      <c r="N115" s="5">
        <v>0.71</v>
      </c>
      <c r="O115" s="5">
        <f t="shared" si="23"/>
        <v>0</v>
      </c>
      <c r="P115" s="5">
        <v>0</v>
      </c>
      <c r="Q115" s="5">
        <f t="shared" si="21"/>
        <v>0</v>
      </c>
      <c r="R115" s="25"/>
    </row>
    <row r="116" spans="1:18" x14ac:dyDescent="0.25">
      <c r="A116" s="2" t="s">
        <v>17</v>
      </c>
      <c r="B116" s="35"/>
      <c r="C116" s="147">
        <v>7.7</v>
      </c>
      <c r="D116" s="82">
        <v>3.42</v>
      </c>
      <c r="E116" s="82">
        <f t="shared" si="22"/>
        <v>263.34000000000003</v>
      </c>
      <c r="F116" s="82">
        <v>29.4</v>
      </c>
      <c r="G116" s="82">
        <f t="shared" si="20"/>
        <v>2263.7999999999997</v>
      </c>
      <c r="H116" s="25"/>
      <c r="K116" s="2" t="s">
        <v>17</v>
      </c>
      <c r="L116" s="35"/>
      <c r="M116" s="147">
        <v>6</v>
      </c>
      <c r="N116" s="82">
        <v>3.57</v>
      </c>
      <c r="O116" s="82">
        <f t="shared" si="23"/>
        <v>214.19999999999996</v>
      </c>
      <c r="P116" s="82">
        <v>27.8</v>
      </c>
      <c r="Q116" s="82">
        <f t="shared" si="21"/>
        <v>1668.0000000000002</v>
      </c>
      <c r="R116" s="25"/>
    </row>
    <row r="117" spans="1:18" x14ac:dyDescent="0.25">
      <c r="A117" s="4" t="s">
        <v>21</v>
      </c>
      <c r="B117" s="41"/>
      <c r="C117" s="147">
        <v>1.7</v>
      </c>
      <c r="D117" s="82">
        <v>0</v>
      </c>
      <c r="E117" s="82">
        <f t="shared" si="22"/>
        <v>0</v>
      </c>
      <c r="F117" s="82">
        <v>85.3</v>
      </c>
      <c r="G117" s="82">
        <f t="shared" si="20"/>
        <v>1450.1</v>
      </c>
      <c r="H117" s="25"/>
      <c r="K117" s="4" t="s">
        <v>21</v>
      </c>
      <c r="L117" s="41"/>
      <c r="M117" s="147">
        <v>1.4</v>
      </c>
      <c r="N117" s="82">
        <v>0</v>
      </c>
      <c r="O117" s="82">
        <f t="shared" si="23"/>
        <v>0</v>
      </c>
      <c r="P117" s="82">
        <v>85.3</v>
      </c>
      <c r="Q117" s="82">
        <f t="shared" si="21"/>
        <v>1194.1999999999998</v>
      </c>
      <c r="R117" s="25"/>
    </row>
    <row r="118" spans="1:18" x14ac:dyDescent="0.25">
      <c r="A118" s="4" t="s">
        <v>49</v>
      </c>
      <c r="B118" s="41"/>
      <c r="C118" s="148">
        <v>0</v>
      </c>
      <c r="D118" s="82">
        <v>46</v>
      </c>
      <c r="E118" s="82">
        <f t="shared" si="22"/>
        <v>0</v>
      </c>
      <c r="F118" s="82">
        <v>0</v>
      </c>
      <c r="G118" s="82">
        <f t="shared" si="20"/>
        <v>0</v>
      </c>
      <c r="H118" s="25"/>
      <c r="K118" s="4" t="s">
        <v>49</v>
      </c>
      <c r="L118" s="41"/>
      <c r="M118" s="148">
        <v>0</v>
      </c>
      <c r="N118" s="82">
        <v>46</v>
      </c>
      <c r="O118" s="82">
        <f t="shared" si="23"/>
        <v>0</v>
      </c>
      <c r="P118" s="82">
        <v>0</v>
      </c>
      <c r="Q118" s="82">
        <f t="shared" si="21"/>
        <v>0</v>
      </c>
      <c r="R118" s="25"/>
    </row>
    <row r="119" spans="1:18" x14ac:dyDescent="0.25">
      <c r="A119" s="4" t="s">
        <v>23</v>
      </c>
      <c r="B119" s="41"/>
      <c r="C119" s="141">
        <v>0.05</v>
      </c>
      <c r="D119" s="13">
        <v>20.5</v>
      </c>
      <c r="E119" s="5">
        <f t="shared" si="22"/>
        <v>10.25</v>
      </c>
      <c r="F119" s="5">
        <v>0</v>
      </c>
      <c r="G119" s="5">
        <f t="shared" si="20"/>
        <v>0</v>
      </c>
      <c r="H119" s="25"/>
      <c r="K119" s="4" t="s">
        <v>23</v>
      </c>
      <c r="L119" s="41"/>
      <c r="M119" s="141">
        <v>0.05</v>
      </c>
      <c r="N119" s="13">
        <v>20.5</v>
      </c>
      <c r="O119" s="5">
        <f t="shared" si="23"/>
        <v>10.25</v>
      </c>
      <c r="P119" s="5">
        <v>0</v>
      </c>
      <c r="Q119" s="5">
        <f t="shared" si="21"/>
        <v>0</v>
      </c>
      <c r="R119" s="25"/>
    </row>
    <row r="120" spans="1:18" x14ac:dyDescent="0.25">
      <c r="A120" s="9" t="s">
        <v>26</v>
      </c>
      <c r="B120" s="42"/>
      <c r="C120" s="143">
        <f>SUM(C112:C119)</f>
        <v>31.95</v>
      </c>
      <c r="D120" s="9"/>
      <c r="E120" s="11">
        <f>SUM(E112:E119)</f>
        <v>460.89000000000004</v>
      </c>
      <c r="F120" s="9"/>
      <c r="G120" s="11">
        <f>SUM(G112:G119)</f>
        <v>5958.9</v>
      </c>
      <c r="H120" s="179" t="s">
        <v>6</v>
      </c>
      <c r="K120" s="9" t="s">
        <v>26</v>
      </c>
      <c r="L120" s="42"/>
      <c r="M120" s="143">
        <f>SUM(M112:M119)</f>
        <v>25.75</v>
      </c>
      <c r="N120" s="9"/>
      <c r="O120" s="11">
        <f>SUM(O112:O119)</f>
        <v>376.70999999999992</v>
      </c>
      <c r="P120" s="9"/>
      <c r="Q120" s="11">
        <f>SUM(Q112:Q119)</f>
        <v>4686.6000000000004</v>
      </c>
      <c r="R120" s="184" t="s">
        <v>6</v>
      </c>
    </row>
    <row r="121" spans="1:18" x14ac:dyDescent="0.25">
      <c r="A121" s="230"/>
      <c r="B121" s="231"/>
      <c r="C121" s="231"/>
      <c r="D121" s="232"/>
      <c r="E121" s="8">
        <f>E120/C120/10</f>
        <v>1.442535211267606</v>
      </c>
      <c r="F121" s="12"/>
      <c r="G121" s="8">
        <f>G120/C120/10</f>
        <v>18.650704225352111</v>
      </c>
      <c r="H121" s="11">
        <f>((100-G121)*0.5)/E121</f>
        <v>28.196641280999795</v>
      </c>
      <c r="K121" s="230"/>
      <c r="L121" s="231"/>
      <c r="M121" s="231"/>
      <c r="N121" s="232"/>
      <c r="O121" s="8">
        <f>O120/M120/10</f>
        <v>1.4629514563106794</v>
      </c>
      <c r="P121" s="12"/>
      <c r="Q121" s="8">
        <f>Q120/M120/10</f>
        <v>18.200388349514565</v>
      </c>
      <c r="R121" s="11">
        <f>((100-Q121)*0.5)/O121</f>
        <v>27.957049189031352</v>
      </c>
    </row>
    <row r="123" spans="1:18" x14ac:dyDescent="0.25">
      <c r="A123" s="224" t="s">
        <v>172</v>
      </c>
      <c r="B123" s="225"/>
      <c r="C123" s="225"/>
      <c r="D123" s="225"/>
      <c r="E123" s="225"/>
      <c r="F123" s="225"/>
      <c r="G123" s="225"/>
      <c r="H123" s="226"/>
    </row>
    <row r="124" spans="1:18" x14ac:dyDescent="0.25">
      <c r="A124" s="217" t="s">
        <v>0</v>
      </c>
      <c r="B124" s="227" t="s">
        <v>1</v>
      </c>
      <c r="C124" s="217" t="s">
        <v>47</v>
      </c>
      <c r="D124" s="221" t="s">
        <v>46</v>
      </c>
      <c r="E124" s="222"/>
      <c r="F124" s="222"/>
      <c r="G124" s="223"/>
      <c r="H124" s="229" t="s">
        <v>102</v>
      </c>
    </row>
    <row r="125" spans="1:18" x14ac:dyDescent="0.25">
      <c r="A125" s="218"/>
      <c r="B125" s="228"/>
      <c r="C125" s="218"/>
      <c r="D125" s="2" t="s">
        <v>42</v>
      </c>
      <c r="E125" s="2" t="s">
        <v>43</v>
      </c>
      <c r="F125" s="2" t="s">
        <v>44</v>
      </c>
      <c r="G125" s="2" t="s">
        <v>45</v>
      </c>
      <c r="H125" s="229"/>
    </row>
    <row r="126" spans="1:18" x14ac:dyDescent="0.25">
      <c r="A126" s="2" t="s">
        <v>8</v>
      </c>
      <c r="B126" s="35">
        <f>C126/(C126+C127+C128+C129)*100</f>
        <v>72.558139534883708</v>
      </c>
      <c r="C126" s="145">
        <v>15.6</v>
      </c>
      <c r="D126" s="5">
        <v>1.1200000000000001</v>
      </c>
      <c r="E126" s="5">
        <f>(C126*D126%)*1000</f>
        <v>174.72000000000003</v>
      </c>
      <c r="F126" s="5">
        <v>13.6</v>
      </c>
      <c r="G126" s="146">
        <f t="shared" ref="G126:G133" si="24">(C126*F126%)*1000</f>
        <v>2121.6</v>
      </c>
      <c r="H126" s="51">
        <f>C126+C127+C128+C129</f>
        <v>21.5</v>
      </c>
    </row>
    <row r="127" spans="1:18" x14ac:dyDescent="0.25">
      <c r="A127" s="4" t="s">
        <v>110</v>
      </c>
      <c r="B127" s="35">
        <f>C127/(C126+C127+C128+C129)*100</f>
        <v>0</v>
      </c>
      <c r="C127" s="147">
        <v>0</v>
      </c>
      <c r="D127" s="82">
        <v>0.7</v>
      </c>
      <c r="E127" s="82">
        <f t="shared" ref="E127:E133" si="25">(C127*D127%)*1000</f>
        <v>0</v>
      </c>
      <c r="F127" s="82">
        <v>0</v>
      </c>
      <c r="G127" s="82">
        <f t="shared" si="24"/>
        <v>0</v>
      </c>
      <c r="H127" s="25"/>
    </row>
    <row r="128" spans="1:18" x14ac:dyDescent="0.25">
      <c r="A128" s="2" t="s">
        <v>162</v>
      </c>
      <c r="B128" s="35">
        <f>C128/(C126+C127+C128+C129)*100</f>
        <v>27.441860465116282</v>
      </c>
      <c r="C128" s="147">
        <v>5.9</v>
      </c>
      <c r="D128" s="82">
        <v>0.42</v>
      </c>
      <c r="E128" s="82">
        <f t="shared" si="25"/>
        <v>24.78</v>
      </c>
      <c r="F128" s="82">
        <v>1.8</v>
      </c>
      <c r="G128" s="82">
        <f t="shared" si="24"/>
        <v>106.20000000000002</v>
      </c>
      <c r="H128" s="25"/>
    </row>
    <row r="129" spans="1:8" x14ac:dyDescent="0.25">
      <c r="A129" s="2" t="s">
        <v>14</v>
      </c>
      <c r="B129" s="35">
        <f>C129/(C126+C127+C128+C129)*100</f>
        <v>0</v>
      </c>
      <c r="C129" s="140">
        <v>0</v>
      </c>
      <c r="D129" s="5">
        <v>0.71</v>
      </c>
      <c r="E129" s="5">
        <f t="shared" si="25"/>
        <v>0</v>
      </c>
      <c r="F129" s="5">
        <v>0</v>
      </c>
      <c r="G129" s="5">
        <f t="shared" si="24"/>
        <v>0</v>
      </c>
      <c r="H129" s="25"/>
    </row>
    <row r="130" spans="1:8" x14ac:dyDescent="0.25">
      <c r="A130" s="2" t="s">
        <v>17</v>
      </c>
      <c r="B130" s="35"/>
      <c r="C130" s="147">
        <v>0.245</v>
      </c>
      <c r="D130" s="82">
        <v>3.48</v>
      </c>
      <c r="E130" s="82">
        <f t="shared" si="25"/>
        <v>8.525999999999998</v>
      </c>
      <c r="F130" s="82">
        <v>30.2</v>
      </c>
      <c r="G130" s="82">
        <f t="shared" si="24"/>
        <v>73.989999999999995</v>
      </c>
      <c r="H130" s="25"/>
    </row>
    <row r="131" spans="1:8" x14ac:dyDescent="0.25">
      <c r="A131" s="4" t="s">
        <v>21</v>
      </c>
      <c r="B131" s="41"/>
      <c r="C131" s="147">
        <v>0</v>
      </c>
      <c r="D131" s="82">
        <v>0</v>
      </c>
      <c r="E131" s="82">
        <f t="shared" si="25"/>
        <v>0</v>
      </c>
      <c r="F131" s="82">
        <v>85.3</v>
      </c>
      <c r="G131" s="82">
        <f t="shared" si="24"/>
        <v>0</v>
      </c>
      <c r="H131" s="25"/>
    </row>
    <row r="132" spans="1:8" x14ac:dyDescent="0.25">
      <c r="A132" s="4" t="s">
        <v>174</v>
      </c>
      <c r="B132" s="41"/>
      <c r="C132" s="147">
        <v>6.7</v>
      </c>
      <c r="D132" s="82">
        <v>3.09</v>
      </c>
      <c r="E132" s="82">
        <f t="shared" si="25"/>
        <v>207.03</v>
      </c>
      <c r="F132" s="82">
        <v>44.3</v>
      </c>
      <c r="G132" s="82">
        <f t="shared" si="24"/>
        <v>2968.1</v>
      </c>
      <c r="H132" s="25"/>
    </row>
    <row r="133" spans="1:8" x14ac:dyDescent="0.25">
      <c r="A133" s="4" t="s">
        <v>23</v>
      </c>
      <c r="B133" s="41"/>
      <c r="C133" s="141">
        <v>1.7000000000000001E-2</v>
      </c>
      <c r="D133" s="13">
        <v>20.5</v>
      </c>
      <c r="E133" s="5">
        <f t="shared" si="25"/>
        <v>3.4850000000000003</v>
      </c>
      <c r="F133" s="5">
        <v>0</v>
      </c>
      <c r="G133" s="5">
        <f t="shared" si="24"/>
        <v>0</v>
      </c>
      <c r="H133" s="25"/>
    </row>
    <row r="134" spans="1:8" x14ac:dyDescent="0.25">
      <c r="A134" s="9" t="s">
        <v>26</v>
      </c>
      <c r="B134" s="42"/>
      <c r="C134" s="143">
        <f>SUM(C126:C133)</f>
        <v>28.462</v>
      </c>
      <c r="D134" s="9"/>
      <c r="E134" s="11">
        <f>SUM(E126:E133)</f>
        <v>418.54100000000005</v>
      </c>
      <c r="F134" s="9"/>
      <c r="G134" s="11">
        <f>SUM(G126:G133)</f>
        <v>5269.8899999999994</v>
      </c>
      <c r="H134" s="185" t="s">
        <v>6</v>
      </c>
    </row>
    <row r="135" spans="1:8" x14ac:dyDescent="0.25">
      <c r="A135" s="230"/>
      <c r="B135" s="231"/>
      <c r="C135" s="231"/>
      <c r="D135" s="232"/>
      <c r="E135" s="8">
        <f>E134/C134/10</f>
        <v>1.4705256130981661</v>
      </c>
      <c r="F135" s="12"/>
      <c r="G135" s="8">
        <f>G134/C134/10</f>
        <v>18.515529477900355</v>
      </c>
      <c r="H135" s="11">
        <f>((100-G135)*0.5)/E135</f>
        <v>27.705899780427721</v>
      </c>
    </row>
  </sheetData>
  <mergeCells count="98">
    <mergeCell ref="A135:D135"/>
    <mergeCell ref="A123:H123"/>
    <mergeCell ref="A124:A125"/>
    <mergeCell ref="B124:B125"/>
    <mergeCell ref="C124:C125"/>
    <mergeCell ref="D124:G124"/>
    <mergeCell ref="H124:H125"/>
    <mergeCell ref="A121:D121"/>
    <mergeCell ref="A109:H109"/>
    <mergeCell ref="A110:A111"/>
    <mergeCell ref="B110:B111"/>
    <mergeCell ref="C110:C111"/>
    <mergeCell ref="D110:G110"/>
    <mergeCell ref="H110:H111"/>
    <mergeCell ref="C79:C80"/>
    <mergeCell ref="D79:G79"/>
    <mergeCell ref="H79:H80"/>
    <mergeCell ref="A90:D90"/>
    <mergeCell ref="A78:H78"/>
    <mergeCell ref="A79:A80"/>
    <mergeCell ref="B79:B80"/>
    <mergeCell ref="A43:D43"/>
    <mergeCell ref="A31:H31"/>
    <mergeCell ref="A32:A33"/>
    <mergeCell ref="B32:B33"/>
    <mergeCell ref="C32:C33"/>
    <mergeCell ref="D32:G32"/>
    <mergeCell ref="H32:H33"/>
    <mergeCell ref="K13:N13"/>
    <mergeCell ref="K1:R1"/>
    <mergeCell ref="K2:K3"/>
    <mergeCell ref="L2:L3"/>
    <mergeCell ref="M2:M3"/>
    <mergeCell ref="N2:Q2"/>
    <mergeCell ref="R2:R3"/>
    <mergeCell ref="A13:D13"/>
    <mergeCell ref="A1:H1"/>
    <mergeCell ref="A2:A3"/>
    <mergeCell ref="B2:B3"/>
    <mergeCell ref="C2:C3"/>
    <mergeCell ref="D2:G2"/>
    <mergeCell ref="H2:H3"/>
    <mergeCell ref="A28:D28"/>
    <mergeCell ref="K16:R16"/>
    <mergeCell ref="K17:K18"/>
    <mergeCell ref="L17:L18"/>
    <mergeCell ref="M17:M18"/>
    <mergeCell ref="N17:Q17"/>
    <mergeCell ref="R17:R18"/>
    <mergeCell ref="K28:N28"/>
    <mergeCell ref="A16:H16"/>
    <mergeCell ref="A17:A18"/>
    <mergeCell ref="B17:B18"/>
    <mergeCell ref="C17:C18"/>
    <mergeCell ref="D17:G17"/>
    <mergeCell ref="H17:H18"/>
    <mergeCell ref="A50:H50"/>
    <mergeCell ref="A51:A52"/>
    <mergeCell ref="B51:B52"/>
    <mergeCell ref="C51:C52"/>
    <mergeCell ref="D51:G51"/>
    <mergeCell ref="H51:H52"/>
    <mergeCell ref="A75:D75"/>
    <mergeCell ref="A62:D62"/>
    <mergeCell ref="A65:H65"/>
    <mergeCell ref="A66:A67"/>
    <mergeCell ref="B66:B67"/>
    <mergeCell ref="C66:C67"/>
    <mergeCell ref="D66:G66"/>
    <mergeCell ref="H66:H67"/>
    <mergeCell ref="A106:D106"/>
    <mergeCell ref="K94:R94"/>
    <mergeCell ref="K95:K96"/>
    <mergeCell ref="L95:L96"/>
    <mergeCell ref="M95:M96"/>
    <mergeCell ref="N95:Q95"/>
    <mergeCell ref="R95:R96"/>
    <mergeCell ref="K106:N106"/>
    <mergeCell ref="A94:H94"/>
    <mergeCell ref="A95:A96"/>
    <mergeCell ref="B95:B96"/>
    <mergeCell ref="C95:C96"/>
    <mergeCell ref="D95:G95"/>
    <mergeCell ref="H95:H96"/>
    <mergeCell ref="K121:N121"/>
    <mergeCell ref="K109:R109"/>
    <mergeCell ref="K110:K111"/>
    <mergeCell ref="L110:L111"/>
    <mergeCell ref="M110:M111"/>
    <mergeCell ref="N110:Q110"/>
    <mergeCell ref="R110:R111"/>
    <mergeCell ref="K62:N62"/>
    <mergeCell ref="K51:R51"/>
    <mergeCell ref="K52:K53"/>
    <mergeCell ref="L52:L53"/>
    <mergeCell ref="M52:M53"/>
    <mergeCell ref="N52:Q52"/>
    <mergeCell ref="R52:R5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0"/>
  <sheetViews>
    <sheetView topLeftCell="A40" zoomScale="120" zoomScaleNormal="120" workbookViewId="0">
      <selection activeCell="E79" sqref="E79"/>
    </sheetView>
  </sheetViews>
  <sheetFormatPr defaultRowHeight="15" x14ac:dyDescent="0.25"/>
  <cols>
    <col min="1" max="1" width="2.85546875" customWidth="1"/>
    <col min="2" max="2" width="25.42578125" bestFit="1" customWidth="1"/>
    <col min="3" max="3" width="6.140625" customWidth="1"/>
    <col min="4" max="4" width="18.5703125" bestFit="1" customWidth="1"/>
    <col min="5" max="5" width="9.28515625" bestFit="1" customWidth="1"/>
    <col min="6" max="6" width="10.85546875" bestFit="1" customWidth="1"/>
    <col min="7" max="7" width="9.28515625" bestFit="1" customWidth="1"/>
    <col min="8" max="8" width="11.85546875" bestFit="1" customWidth="1"/>
    <col min="9" max="9" width="15.140625" customWidth="1"/>
    <col min="10" max="10" width="5.140625" customWidth="1"/>
    <col min="11" max="11" width="25.42578125" bestFit="1" customWidth="1"/>
    <col min="12" max="12" width="6.140625" customWidth="1"/>
    <col min="13" max="13" width="18.5703125" bestFit="1" customWidth="1"/>
    <col min="14" max="14" width="9.28515625" bestFit="1" customWidth="1"/>
    <col min="15" max="15" width="10.85546875" bestFit="1" customWidth="1"/>
    <col min="16" max="16" width="9.28515625" bestFit="1" customWidth="1"/>
    <col min="17" max="17" width="11.85546875" bestFit="1" customWidth="1"/>
    <col min="18" max="18" width="15.140625" customWidth="1"/>
  </cols>
  <sheetData>
    <row r="1" spans="2:18" x14ac:dyDescent="0.25">
      <c r="B1" s="282" t="s">
        <v>104</v>
      </c>
      <c r="C1" s="283"/>
      <c r="D1" s="283"/>
      <c r="E1" s="283"/>
      <c r="F1" s="283"/>
      <c r="G1" s="283"/>
      <c r="H1" s="283"/>
      <c r="I1" s="284"/>
      <c r="K1" s="282" t="s">
        <v>101</v>
      </c>
      <c r="L1" s="283"/>
      <c r="M1" s="283"/>
      <c r="N1" s="283"/>
      <c r="O1" s="283"/>
      <c r="P1" s="283"/>
      <c r="Q1" s="283"/>
      <c r="R1" s="284"/>
    </row>
    <row r="2" spans="2:18" x14ac:dyDescent="0.25">
      <c r="B2" s="219" t="s">
        <v>0</v>
      </c>
      <c r="C2" s="227" t="s">
        <v>1</v>
      </c>
      <c r="D2" s="219" t="s">
        <v>47</v>
      </c>
      <c r="E2" s="221" t="s">
        <v>46</v>
      </c>
      <c r="F2" s="222"/>
      <c r="G2" s="222"/>
      <c r="H2" s="223"/>
      <c r="I2" s="229" t="s">
        <v>102</v>
      </c>
      <c r="K2" s="269" t="s">
        <v>0</v>
      </c>
      <c r="L2" s="227" t="s">
        <v>1</v>
      </c>
      <c r="M2" s="269" t="s">
        <v>47</v>
      </c>
      <c r="N2" s="229" t="s">
        <v>46</v>
      </c>
      <c r="O2" s="229"/>
      <c r="P2" s="229"/>
      <c r="Q2" s="229"/>
      <c r="R2" s="229" t="s">
        <v>102</v>
      </c>
    </row>
    <row r="3" spans="2:18" x14ac:dyDescent="0.25">
      <c r="B3" s="220"/>
      <c r="C3" s="228"/>
      <c r="D3" s="220"/>
      <c r="E3" s="2" t="s">
        <v>42</v>
      </c>
      <c r="F3" s="2" t="s">
        <v>43</v>
      </c>
      <c r="G3" s="2" t="s">
        <v>44</v>
      </c>
      <c r="H3" s="2" t="s">
        <v>45</v>
      </c>
      <c r="I3" s="229"/>
      <c r="K3" s="269"/>
      <c r="L3" s="228"/>
      <c r="M3" s="269"/>
      <c r="N3" s="2" t="s">
        <v>42</v>
      </c>
      <c r="O3" s="2" t="s">
        <v>43</v>
      </c>
      <c r="P3" s="2" t="s">
        <v>44</v>
      </c>
      <c r="Q3" s="2" t="s">
        <v>45</v>
      </c>
      <c r="R3" s="229"/>
    </row>
    <row r="4" spans="2:18" x14ac:dyDescent="0.25">
      <c r="B4" s="56" t="s">
        <v>75</v>
      </c>
      <c r="C4" s="35">
        <f>D4/(D4+D5+D6+D7)*100</f>
        <v>51.282051282051277</v>
      </c>
      <c r="D4" s="64">
        <v>10</v>
      </c>
      <c r="E4" s="5">
        <v>1.33</v>
      </c>
      <c r="F4" s="5">
        <f t="shared" ref="F4:F11" si="0">(D4*E4%)*1000</f>
        <v>133</v>
      </c>
      <c r="G4" s="5">
        <v>14.7</v>
      </c>
      <c r="H4" s="5">
        <f t="shared" ref="H4:H11" si="1">(D4*G4%)*1000</f>
        <v>1470</v>
      </c>
      <c r="I4" s="51">
        <f>D4+D5+D6+D7</f>
        <v>19.5</v>
      </c>
      <c r="K4" s="56" t="s">
        <v>100</v>
      </c>
      <c r="L4" s="35">
        <f>M4/(M4+M5+M6+M7)*100</f>
        <v>48.421052631578945</v>
      </c>
      <c r="M4" s="64">
        <v>9.1999999999999993</v>
      </c>
      <c r="N4" s="5">
        <v>1.26</v>
      </c>
      <c r="O4" s="5">
        <f t="shared" ref="O4:O11" si="2">(M4*N4%)*1000</f>
        <v>115.92</v>
      </c>
      <c r="P4" s="5">
        <v>14.8</v>
      </c>
      <c r="Q4" s="5">
        <f t="shared" ref="Q4:Q11" si="3">(M4*P4%)*1000</f>
        <v>1361.6000000000001</v>
      </c>
      <c r="R4" s="51">
        <f>M4+M5+M6+M7</f>
        <v>19</v>
      </c>
    </row>
    <row r="5" spans="2:18" x14ac:dyDescent="0.25">
      <c r="B5" s="57" t="s">
        <v>10</v>
      </c>
      <c r="C5" s="35">
        <f>D5/(D4+D5+D6+D7)*100</f>
        <v>0</v>
      </c>
      <c r="D5" s="64">
        <v>0</v>
      </c>
      <c r="E5" s="5">
        <v>1.19</v>
      </c>
      <c r="F5" s="5">
        <f t="shared" si="0"/>
        <v>0</v>
      </c>
      <c r="G5" s="5">
        <v>11.6</v>
      </c>
      <c r="H5" s="5">
        <f t="shared" si="1"/>
        <v>0</v>
      </c>
      <c r="I5" s="25"/>
      <c r="K5" s="57" t="s">
        <v>99</v>
      </c>
      <c r="L5" s="35">
        <f>M5/(M4+M5+M6+M7)*100</f>
        <v>13.157894736842104</v>
      </c>
      <c r="M5" s="64">
        <v>2.5</v>
      </c>
      <c r="N5" s="5">
        <v>0.9</v>
      </c>
      <c r="O5" s="5">
        <f t="shared" si="2"/>
        <v>22.500000000000004</v>
      </c>
      <c r="P5" s="5">
        <v>12</v>
      </c>
      <c r="Q5" s="5">
        <f t="shared" si="3"/>
        <v>300</v>
      </c>
      <c r="R5" s="25"/>
    </row>
    <row r="6" spans="2:18" x14ac:dyDescent="0.25">
      <c r="B6" s="56" t="s">
        <v>12</v>
      </c>
      <c r="C6" s="35">
        <f>D6/(D4+D5+D6+D7)*100</f>
        <v>48.717948717948715</v>
      </c>
      <c r="D6" s="64">
        <v>9.5</v>
      </c>
      <c r="E6" s="5">
        <v>0.46</v>
      </c>
      <c r="F6" s="5">
        <f t="shared" si="0"/>
        <v>43.7</v>
      </c>
      <c r="G6" s="5">
        <v>2.2000000000000002</v>
      </c>
      <c r="H6" s="5">
        <f t="shared" si="1"/>
        <v>209.00000000000003</v>
      </c>
      <c r="I6" s="25"/>
      <c r="K6" s="56" t="s">
        <v>12</v>
      </c>
      <c r="L6" s="35">
        <f>M6/(M4+M5+M6+M7)*100</f>
        <v>38.421052631578945</v>
      </c>
      <c r="M6" s="64">
        <v>7.3</v>
      </c>
      <c r="N6" s="5">
        <v>0.46</v>
      </c>
      <c r="O6" s="5">
        <f t="shared" si="2"/>
        <v>33.58</v>
      </c>
      <c r="P6" s="5">
        <v>2.2000000000000002</v>
      </c>
      <c r="Q6" s="5">
        <f t="shared" si="3"/>
        <v>160.60000000000002</v>
      </c>
      <c r="R6" s="25"/>
    </row>
    <row r="7" spans="2:18" x14ac:dyDescent="0.25">
      <c r="B7" s="56" t="s">
        <v>14</v>
      </c>
      <c r="C7" s="35">
        <f>D7/(D4+D5+D6+D7)*100</f>
        <v>0</v>
      </c>
      <c r="D7" s="64">
        <v>0</v>
      </c>
      <c r="E7" s="5">
        <v>0.71</v>
      </c>
      <c r="F7" s="5">
        <f t="shared" si="0"/>
        <v>0</v>
      </c>
      <c r="G7" s="5">
        <v>0</v>
      </c>
      <c r="H7" s="5">
        <f t="shared" si="1"/>
        <v>0</v>
      </c>
      <c r="I7" s="25"/>
      <c r="K7" s="56" t="s">
        <v>14</v>
      </c>
      <c r="L7" s="35">
        <f>M7/(M4+M5+M6+M7)*100</f>
        <v>0</v>
      </c>
      <c r="M7" s="64">
        <v>0</v>
      </c>
      <c r="N7" s="5">
        <v>0.71</v>
      </c>
      <c r="O7" s="5">
        <f t="shared" si="2"/>
        <v>0</v>
      </c>
      <c r="P7" s="5">
        <v>0</v>
      </c>
      <c r="Q7" s="5">
        <f t="shared" si="3"/>
        <v>0</v>
      </c>
      <c r="R7" s="25"/>
    </row>
    <row r="8" spans="2:18" x14ac:dyDescent="0.25">
      <c r="B8" s="56" t="s">
        <v>17</v>
      </c>
      <c r="C8" s="35">
        <f>D8/(D4+D5+D6+D7)*100</f>
        <v>30.76923076923077</v>
      </c>
      <c r="D8" s="64">
        <v>6</v>
      </c>
      <c r="E8" s="5">
        <v>3.3</v>
      </c>
      <c r="F8" s="5">
        <f t="shared" si="0"/>
        <v>198</v>
      </c>
      <c r="G8" s="5">
        <v>28.7</v>
      </c>
      <c r="H8" s="5">
        <f t="shared" si="1"/>
        <v>1722</v>
      </c>
      <c r="I8" s="25"/>
      <c r="K8" s="56" t="s">
        <v>17</v>
      </c>
      <c r="L8" s="35">
        <f>M8/(M4+M5+M6+M7)*100</f>
        <v>36.84210526315789</v>
      </c>
      <c r="M8" s="64">
        <v>7</v>
      </c>
      <c r="N8" s="5">
        <v>3.29</v>
      </c>
      <c r="O8" s="5">
        <f t="shared" si="2"/>
        <v>230.3</v>
      </c>
      <c r="P8" s="5">
        <v>27.9</v>
      </c>
      <c r="Q8" s="5">
        <f t="shared" si="3"/>
        <v>1952.9999999999998</v>
      </c>
      <c r="R8" s="25"/>
    </row>
    <row r="9" spans="2:18" x14ac:dyDescent="0.25">
      <c r="B9" s="57" t="s">
        <v>21</v>
      </c>
      <c r="C9" s="41">
        <f>D9/(D4+D5+D6+D7+D8)*100</f>
        <v>6.666666666666667</v>
      </c>
      <c r="D9" s="65">
        <v>1.7</v>
      </c>
      <c r="E9" s="5">
        <v>0</v>
      </c>
      <c r="F9" s="5">
        <f t="shared" si="0"/>
        <v>0</v>
      </c>
      <c r="G9" s="5">
        <v>87.5</v>
      </c>
      <c r="H9" s="5">
        <f t="shared" si="1"/>
        <v>1487.5</v>
      </c>
      <c r="I9" s="25"/>
      <c r="K9" s="57" t="s">
        <v>21</v>
      </c>
      <c r="L9" s="41">
        <f>M9/(M4+M5+M6+M7+M8)*100</f>
        <v>5</v>
      </c>
      <c r="M9" s="65">
        <v>1.3</v>
      </c>
      <c r="N9" s="5">
        <v>0</v>
      </c>
      <c r="O9" s="5">
        <f t="shared" si="2"/>
        <v>0</v>
      </c>
      <c r="P9" s="5">
        <v>87.5</v>
      </c>
      <c r="Q9" s="5">
        <f t="shared" si="3"/>
        <v>1137.5</v>
      </c>
      <c r="R9" s="25"/>
    </row>
    <row r="10" spans="2:18" x14ac:dyDescent="0.25">
      <c r="B10" s="57" t="s">
        <v>49</v>
      </c>
      <c r="C10" s="41"/>
      <c r="D10" s="67">
        <v>0</v>
      </c>
      <c r="E10" s="13">
        <v>0</v>
      </c>
      <c r="F10" s="5">
        <f t="shared" si="0"/>
        <v>0</v>
      </c>
      <c r="G10" s="5">
        <v>0</v>
      </c>
      <c r="H10" s="5">
        <f t="shared" si="1"/>
        <v>0</v>
      </c>
      <c r="I10" s="25"/>
      <c r="K10" s="57" t="s">
        <v>49</v>
      </c>
      <c r="L10" s="36"/>
      <c r="M10" s="67">
        <v>0</v>
      </c>
      <c r="N10" s="13">
        <v>0</v>
      </c>
      <c r="O10" s="5">
        <f t="shared" si="2"/>
        <v>0</v>
      </c>
      <c r="P10" s="5">
        <v>0</v>
      </c>
      <c r="Q10" s="5">
        <f t="shared" si="3"/>
        <v>0</v>
      </c>
      <c r="R10" s="25"/>
    </row>
    <row r="11" spans="2:18" x14ac:dyDescent="0.25">
      <c r="B11" s="57" t="s">
        <v>23</v>
      </c>
      <c r="C11" s="41"/>
      <c r="D11" s="65">
        <v>0.12</v>
      </c>
      <c r="E11" s="13">
        <v>20.5</v>
      </c>
      <c r="F11" s="5">
        <f t="shared" si="0"/>
        <v>24.599999999999998</v>
      </c>
      <c r="G11" s="5">
        <v>0</v>
      </c>
      <c r="H11" s="5">
        <f t="shared" si="1"/>
        <v>0</v>
      </c>
      <c r="I11" s="25"/>
      <c r="K11" s="57" t="s">
        <v>23</v>
      </c>
      <c r="L11" s="36"/>
      <c r="M11" s="65">
        <v>7.0000000000000007E-2</v>
      </c>
      <c r="N11" s="13">
        <v>20.5</v>
      </c>
      <c r="O11" s="5">
        <f t="shared" si="2"/>
        <v>14.35</v>
      </c>
      <c r="P11" s="5">
        <v>0</v>
      </c>
      <c r="Q11" s="5">
        <f t="shared" si="3"/>
        <v>0</v>
      </c>
      <c r="R11" s="25"/>
    </row>
    <row r="12" spans="2:18" x14ac:dyDescent="0.25">
      <c r="B12" s="62" t="s">
        <v>26</v>
      </c>
      <c r="C12" s="46"/>
      <c r="D12" s="69">
        <f>SUM(D4:D11)</f>
        <v>27.32</v>
      </c>
      <c r="E12" s="20"/>
      <c r="F12" s="21">
        <f>SUM(F4:F11)</f>
        <v>399.3</v>
      </c>
      <c r="G12" s="20"/>
      <c r="H12" s="21">
        <f>SUM(H4:H11)</f>
        <v>4888.5</v>
      </c>
      <c r="I12" s="50" t="s">
        <v>6</v>
      </c>
      <c r="K12" s="62" t="s">
        <v>26</v>
      </c>
      <c r="L12" s="39"/>
      <c r="M12" s="69">
        <f>SUM(M4:M11)</f>
        <v>27.37</v>
      </c>
      <c r="N12" s="20"/>
      <c r="O12" s="21">
        <f>SUM(O4:O11)</f>
        <v>416.65000000000003</v>
      </c>
      <c r="P12" s="20"/>
      <c r="Q12" s="21">
        <f>SUM(Q4:Q11)</f>
        <v>4912.7</v>
      </c>
      <c r="R12" s="24" t="s">
        <v>6</v>
      </c>
    </row>
    <row r="13" spans="2:18" x14ac:dyDescent="0.25">
      <c r="B13" s="230" t="s">
        <v>88</v>
      </c>
      <c r="C13" s="231"/>
      <c r="D13" s="231"/>
      <c r="E13" s="232"/>
      <c r="F13" s="22">
        <f>F12/D12/10</f>
        <v>1.4615666178623719</v>
      </c>
      <c r="G13" s="23"/>
      <c r="H13" s="22">
        <f>H12/D12/10</f>
        <v>17.893484626647144</v>
      </c>
      <c r="I13" s="21">
        <f>((100-H13)*0.5)/F13</f>
        <v>28.088529927372907</v>
      </c>
      <c r="K13" s="59"/>
      <c r="L13" s="40"/>
      <c r="M13" s="68"/>
      <c r="N13" s="1"/>
      <c r="O13" s="22">
        <f>O12/M12/10</f>
        <v>1.5222871757398613</v>
      </c>
      <c r="P13" s="23"/>
      <c r="Q13" s="22">
        <f>Q12/M12/10</f>
        <v>17.949214468396054</v>
      </c>
      <c r="R13" s="21">
        <f>((100-Q13)*0.5)/O13</f>
        <v>26.94983799351974</v>
      </c>
    </row>
    <row r="14" spans="2:18" x14ac:dyDescent="0.25">
      <c r="B14" s="61"/>
      <c r="C14" s="34"/>
      <c r="D14" s="61"/>
    </row>
    <row r="15" spans="2:18" x14ac:dyDescent="0.25">
      <c r="B15" s="282" t="s">
        <v>105</v>
      </c>
      <c r="C15" s="283"/>
      <c r="D15" s="283"/>
      <c r="E15" s="283"/>
      <c r="F15" s="283"/>
      <c r="G15" s="283"/>
      <c r="H15" s="283"/>
      <c r="I15" s="284"/>
      <c r="K15" s="282" t="s">
        <v>90</v>
      </c>
      <c r="L15" s="283"/>
      <c r="M15" s="283"/>
      <c r="N15" s="283"/>
      <c r="O15" s="283"/>
      <c r="P15" s="283"/>
      <c r="Q15" s="283"/>
      <c r="R15" s="284"/>
    </row>
    <row r="16" spans="2:18" x14ac:dyDescent="0.25">
      <c r="B16" s="219" t="s">
        <v>0</v>
      </c>
      <c r="C16" s="227" t="s">
        <v>1</v>
      </c>
      <c r="D16" s="219" t="s">
        <v>47</v>
      </c>
      <c r="E16" s="221" t="s">
        <v>46</v>
      </c>
      <c r="F16" s="222"/>
      <c r="G16" s="222"/>
      <c r="H16" s="223"/>
      <c r="I16" s="229" t="s">
        <v>102</v>
      </c>
      <c r="K16" s="269" t="s">
        <v>0</v>
      </c>
      <c r="L16" s="227" t="s">
        <v>1</v>
      </c>
      <c r="M16" s="269" t="s">
        <v>47</v>
      </c>
      <c r="N16" s="229" t="s">
        <v>46</v>
      </c>
      <c r="O16" s="229"/>
      <c r="P16" s="229"/>
      <c r="Q16" s="229"/>
      <c r="R16" s="229" t="s">
        <v>102</v>
      </c>
    </row>
    <row r="17" spans="2:18" x14ac:dyDescent="0.25">
      <c r="B17" s="220"/>
      <c r="C17" s="228"/>
      <c r="D17" s="220"/>
      <c r="E17" s="2" t="s">
        <v>42</v>
      </c>
      <c r="F17" s="2" t="s">
        <v>43</v>
      </c>
      <c r="G17" s="2" t="s">
        <v>44</v>
      </c>
      <c r="H17" s="2" t="s">
        <v>45</v>
      </c>
      <c r="I17" s="229"/>
      <c r="K17" s="269"/>
      <c r="L17" s="228"/>
      <c r="M17" s="269"/>
      <c r="N17" s="2" t="s">
        <v>42</v>
      </c>
      <c r="O17" s="2" t="s">
        <v>43</v>
      </c>
      <c r="P17" s="2" t="s">
        <v>44</v>
      </c>
      <c r="Q17" s="2" t="s">
        <v>45</v>
      </c>
      <c r="R17" s="229"/>
    </row>
    <row r="18" spans="2:18" x14ac:dyDescent="0.25">
      <c r="B18" s="56" t="s">
        <v>76</v>
      </c>
      <c r="C18" s="35">
        <f>D18/(D18+D19+D20+D21)*100</f>
        <v>54.945054945054949</v>
      </c>
      <c r="D18" s="64">
        <v>10</v>
      </c>
      <c r="E18" s="5">
        <v>0.84</v>
      </c>
      <c r="F18" s="5">
        <f t="shared" ref="F18:F25" si="4">(D18*E18%)*1000</f>
        <v>83.999999999999986</v>
      </c>
      <c r="G18" s="5">
        <v>15.2</v>
      </c>
      <c r="H18" s="5">
        <f t="shared" ref="H18:H25" si="5">(D18*G18%)*1000</f>
        <v>1520</v>
      </c>
      <c r="I18" s="51">
        <f>D18+D19+D20+D21</f>
        <v>18.2</v>
      </c>
      <c r="K18" s="56" t="s">
        <v>76</v>
      </c>
      <c r="L18" s="35">
        <f>M18/(M18+M19+M20+M21)*100</f>
        <v>43.243243243243242</v>
      </c>
      <c r="M18" s="64">
        <v>8</v>
      </c>
      <c r="N18" s="5">
        <v>0.84</v>
      </c>
      <c r="O18" s="5">
        <f t="shared" ref="O18:O25" si="6">(M18*N18%)*1000</f>
        <v>67.2</v>
      </c>
      <c r="P18" s="5">
        <v>15.2</v>
      </c>
      <c r="Q18" s="5">
        <f t="shared" ref="Q18:Q25" si="7">(M18*P18%)*1000</f>
        <v>1216</v>
      </c>
      <c r="R18" s="51">
        <f>M18+M19+M20+M21</f>
        <v>18.5</v>
      </c>
    </row>
    <row r="19" spans="2:18" x14ac:dyDescent="0.25">
      <c r="B19" s="57" t="s">
        <v>10</v>
      </c>
      <c r="C19" s="35">
        <f>D19/(D18+D19+D20+D21)*100</f>
        <v>0</v>
      </c>
      <c r="D19" s="64">
        <v>0</v>
      </c>
      <c r="E19" s="5">
        <v>1.19</v>
      </c>
      <c r="F19" s="5">
        <f t="shared" si="4"/>
        <v>0</v>
      </c>
      <c r="G19" s="5">
        <v>11.6</v>
      </c>
      <c r="H19" s="5">
        <f t="shared" si="5"/>
        <v>0</v>
      </c>
      <c r="I19" s="25"/>
      <c r="K19" s="57" t="s">
        <v>10</v>
      </c>
      <c r="L19" s="35">
        <f>M19/(M18+M19+M20+M21)*100</f>
        <v>13.513513513513514</v>
      </c>
      <c r="M19" s="64">
        <v>2.5</v>
      </c>
      <c r="N19" s="5">
        <v>1.07</v>
      </c>
      <c r="O19" s="5">
        <f t="shared" si="6"/>
        <v>26.750000000000004</v>
      </c>
      <c r="P19" s="5">
        <v>10.8</v>
      </c>
      <c r="Q19" s="5">
        <f t="shared" si="7"/>
        <v>270</v>
      </c>
      <c r="R19" s="25"/>
    </row>
    <row r="20" spans="2:18" x14ac:dyDescent="0.25">
      <c r="B20" s="56" t="s">
        <v>12</v>
      </c>
      <c r="C20" s="35">
        <f>D20/(D18+D19+D20+D21)*100</f>
        <v>45.054945054945051</v>
      </c>
      <c r="D20" s="64">
        <v>8.1999999999999993</v>
      </c>
      <c r="E20" s="5">
        <v>0.46</v>
      </c>
      <c r="F20" s="5">
        <f t="shared" si="4"/>
        <v>37.72</v>
      </c>
      <c r="G20" s="5">
        <v>2.2000000000000002</v>
      </c>
      <c r="H20" s="5">
        <f t="shared" si="5"/>
        <v>180.4</v>
      </c>
      <c r="I20" s="25"/>
      <c r="K20" s="56" t="s">
        <v>12</v>
      </c>
      <c r="L20" s="35">
        <f>M20/(M18+M19+M20+M21)*100</f>
        <v>43.243243243243242</v>
      </c>
      <c r="M20" s="64">
        <v>8</v>
      </c>
      <c r="N20" s="5">
        <v>0.46</v>
      </c>
      <c r="O20" s="5">
        <f t="shared" si="6"/>
        <v>36.799999999999997</v>
      </c>
      <c r="P20" s="5">
        <v>2.2000000000000002</v>
      </c>
      <c r="Q20" s="5">
        <f t="shared" si="7"/>
        <v>176.00000000000003</v>
      </c>
      <c r="R20" s="25"/>
    </row>
    <row r="21" spans="2:18" x14ac:dyDescent="0.25">
      <c r="B21" s="56" t="s">
        <v>14</v>
      </c>
      <c r="C21" s="35">
        <f>D21/(D18+D19+D20+D21)*100</f>
        <v>0</v>
      </c>
      <c r="D21" s="64">
        <v>0</v>
      </c>
      <c r="E21" s="5">
        <v>0.71</v>
      </c>
      <c r="F21" s="5">
        <f t="shared" si="4"/>
        <v>0</v>
      </c>
      <c r="G21" s="5">
        <v>0</v>
      </c>
      <c r="H21" s="5">
        <f t="shared" si="5"/>
        <v>0</v>
      </c>
      <c r="I21" s="25"/>
      <c r="K21" s="56" t="s">
        <v>14</v>
      </c>
      <c r="L21" s="35">
        <f>M21/(M18+M19+M20+M21)*100</f>
        <v>0</v>
      </c>
      <c r="M21" s="64">
        <v>0</v>
      </c>
      <c r="N21" s="5">
        <v>0.71</v>
      </c>
      <c r="O21" s="5">
        <f t="shared" si="6"/>
        <v>0</v>
      </c>
      <c r="P21" s="5">
        <v>0</v>
      </c>
      <c r="Q21" s="5">
        <f t="shared" si="7"/>
        <v>0</v>
      </c>
      <c r="R21" s="25"/>
    </row>
    <row r="22" spans="2:18" x14ac:dyDescent="0.25">
      <c r="B22" s="56" t="s">
        <v>17</v>
      </c>
      <c r="C22" s="35"/>
      <c r="D22" s="64">
        <v>6.5</v>
      </c>
      <c r="E22" s="5">
        <v>3.3</v>
      </c>
      <c r="F22" s="5">
        <f t="shared" si="4"/>
        <v>214.50000000000003</v>
      </c>
      <c r="G22" s="5">
        <v>28.7</v>
      </c>
      <c r="H22" s="5">
        <f t="shared" si="5"/>
        <v>1865.5</v>
      </c>
      <c r="I22" s="25"/>
      <c r="K22" s="56" t="s">
        <v>17</v>
      </c>
      <c r="L22" s="35">
        <f>M22/(M18+M19+M20+M21)*100</f>
        <v>40.54054054054054</v>
      </c>
      <c r="M22" s="64">
        <v>7.5</v>
      </c>
      <c r="N22" s="5">
        <v>3.29</v>
      </c>
      <c r="O22" s="5">
        <f t="shared" si="6"/>
        <v>246.75</v>
      </c>
      <c r="P22" s="5">
        <v>27.9</v>
      </c>
      <c r="Q22" s="5">
        <f t="shared" si="7"/>
        <v>2092.5</v>
      </c>
      <c r="R22" s="25"/>
    </row>
    <row r="23" spans="2:18" x14ac:dyDescent="0.25">
      <c r="B23" s="57" t="s">
        <v>21</v>
      </c>
      <c r="C23" s="41"/>
      <c r="D23" s="65">
        <v>1.3</v>
      </c>
      <c r="E23" s="5">
        <v>0</v>
      </c>
      <c r="F23" s="5">
        <f t="shared" si="4"/>
        <v>0</v>
      </c>
      <c r="G23" s="5">
        <v>87.5</v>
      </c>
      <c r="H23" s="5">
        <f t="shared" si="5"/>
        <v>1137.5</v>
      </c>
      <c r="I23" s="25"/>
      <c r="K23" s="57" t="s">
        <v>21</v>
      </c>
      <c r="L23" s="41">
        <f>M23/(M18+M19+M20+M21+M22)*100</f>
        <v>5.3846153846153841</v>
      </c>
      <c r="M23" s="65">
        <v>1.4</v>
      </c>
      <c r="N23" s="5">
        <v>0</v>
      </c>
      <c r="O23" s="5">
        <f t="shared" si="6"/>
        <v>0</v>
      </c>
      <c r="P23" s="5">
        <v>87.5</v>
      </c>
      <c r="Q23" s="5">
        <f t="shared" si="7"/>
        <v>1224.9999999999998</v>
      </c>
      <c r="R23" s="25"/>
    </row>
    <row r="24" spans="2:18" x14ac:dyDescent="0.25">
      <c r="B24" s="57" t="s">
        <v>49</v>
      </c>
      <c r="C24" s="41"/>
      <c r="D24" s="67">
        <v>0</v>
      </c>
      <c r="E24" s="13">
        <v>0</v>
      </c>
      <c r="F24" s="5">
        <f t="shared" si="4"/>
        <v>0</v>
      </c>
      <c r="G24" s="5">
        <v>0</v>
      </c>
      <c r="H24" s="5">
        <f t="shared" si="5"/>
        <v>0</v>
      </c>
      <c r="I24" s="25"/>
      <c r="K24" s="57" t="s">
        <v>49</v>
      </c>
      <c r="L24" s="36"/>
      <c r="M24" s="67">
        <v>0</v>
      </c>
      <c r="N24" s="13">
        <v>0</v>
      </c>
      <c r="O24" s="5">
        <f t="shared" si="6"/>
        <v>0</v>
      </c>
      <c r="P24" s="5">
        <v>0</v>
      </c>
      <c r="Q24" s="5">
        <f t="shared" si="7"/>
        <v>0</v>
      </c>
      <c r="R24" s="25"/>
    </row>
    <row r="25" spans="2:18" x14ac:dyDescent="0.25">
      <c r="B25" s="57" t="s">
        <v>23</v>
      </c>
      <c r="C25" s="41"/>
      <c r="D25" s="65">
        <v>0.25</v>
      </c>
      <c r="E25" s="13">
        <v>20.5</v>
      </c>
      <c r="F25" s="5">
        <f t="shared" si="4"/>
        <v>51.25</v>
      </c>
      <c r="G25" s="5">
        <v>0</v>
      </c>
      <c r="H25" s="5">
        <f t="shared" si="5"/>
        <v>0</v>
      </c>
      <c r="I25" s="25"/>
      <c r="K25" s="57" t="s">
        <v>23</v>
      </c>
      <c r="L25" s="36"/>
      <c r="M25" s="65">
        <v>0.2</v>
      </c>
      <c r="N25" s="13">
        <v>20.5</v>
      </c>
      <c r="O25" s="5">
        <f t="shared" si="6"/>
        <v>41</v>
      </c>
      <c r="P25" s="5">
        <v>0</v>
      </c>
      <c r="Q25" s="5">
        <f t="shared" si="7"/>
        <v>0</v>
      </c>
      <c r="R25" s="25"/>
    </row>
    <row r="26" spans="2:18" x14ac:dyDescent="0.25">
      <c r="B26" s="62" t="s">
        <v>26</v>
      </c>
      <c r="C26" s="46"/>
      <c r="D26" s="69">
        <f>SUM(D18:D25)</f>
        <v>26.25</v>
      </c>
      <c r="E26" s="20"/>
      <c r="F26" s="21">
        <f>SUM(F18:F25)</f>
        <v>387.47</v>
      </c>
      <c r="G26" s="20"/>
      <c r="H26" s="21">
        <f>SUM(H18:H25)</f>
        <v>4703.3999999999996</v>
      </c>
      <c r="I26" s="50" t="s">
        <v>6</v>
      </c>
      <c r="K26" s="62" t="s">
        <v>26</v>
      </c>
      <c r="L26" s="39"/>
      <c r="M26" s="69">
        <f>SUM(M18:M25)</f>
        <v>27.599999999999998</v>
      </c>
      <c r="N26" s="20"/>
      <c r="O26" s="21">
        <f>SUM(O18:O25)</f>
        <v>418.5</v>
      </c>
      <c r="P26" s="20"/>
      <c r="Q26" s="21">
        <f>SUM(Q18:Q25)</f>
        <v>4979.5</v>
      </c>
      <c r="R26" s="24" t="s">
        <v>6</v>
      </c>
    </row>
    <row r="27" spans="2:18" x14ac:dyDescent="0.25">
      <c r="B27" s="230" t="s">
        <v>88</v>
      </c>
      <c r="C27" s="231"/>
      <c r="D27" s="231"/>
      <c r="E27" s="232"/>
      <c r="F27" s="22">
        <f>F26/D26/10</f>
        <v>1.4760761904761905</v>
      </c>
      <c r="G27" s="23"/>
      <c r="H27" s="22">
        <f>H26/D26/10</f>
        <v>17.917714285714286</v>
      </c>
      <c r="I27" s="21">
        <f>((100-H27)*0.5)/F27</f>
        <v>27.804217100678763</v>
      </c>
      <c r="K27" s="59"/>
      <c r="L27" s="40"/>
      <c r="M27" s="68"/>
      <c r="N27" s="1"/>
      <c r="O27" s="22">
        <f>O26/M26/10</f>
        <v>1.5163043478260871</v>
      </c>
      <c r="P27" s="23"/>
      <c r="Q27" s="22">
        <f>Q26/M26/10</f>
        <v>18.041666666666668</v>
      </c>
      <c r="R27" s="21">
        <f>((100-Q27)*0.5)/O27</f>
        <v>27.025686977299877</v>
      </c>
    </row>
    <row r="28" spans="2:18" x14ac:dyDescent="0.25">
      <c r="B28" s="61"/>
      <c r="C28" s="34"/>
      <c r="D28" s="61"/>
      <c r="K28" s="61"/>
      <c r="L28" s="34"/>
      <c r="M28" s="61"/>
    </row>
    <row r="29" spans="2:18" x14ac:dyDescent="0.25">
      <c r="B29" s="282" t="s">
        <v>108</v>
      </c>
      <c r="C29" s="283"/>
      <c r="D29" s="283"/>
      <c r="E29" s="283"/>
      <c r="F29" s="283"/>
      <c r="G29" s="283"/>
      <c r="H29" s="283"/>
      <c r="I29" s="284"/>
      <c r="K29" s="282" t="s">
        <v>98</v>
      </c>
      <c r="L29" s="283"/>
      <c r="M29" s="283"/>
      <c r="N29" s="283"/>
      <c r="O29" s="283"/>
      <c r="P29" s="283"/>
      <c r="Q29" s="283"/>
      <c r="R29" s="284"/>
    </row>
    <row r="30" spans="2:18" x14ac:dyDescent="0.25">
      <c r="B30" s="219" t="s">
        <v>0</v>
      </c>
      <c r="C30" s="227" t="s">
        <v>1</v>
      </c>
      <c r="D30" s="219" t="s">
        <v>47</v>
      </c>
      <c r="E30" s="221" t="s">
        <v>46</v>
      </c>
      <c r="F30" s="222"/>
      <c r="G30" s="222"/>
      <c r="H30" s="223"/>
      <c r="I30" s="229" t="s">
        <v>102</v>
      </c>
      <c r="K30" s="118" t="s">
        <v>0</v>
      </c>
      <c r="L30" s="115" t="s">
        <v>1</v>
      </c>
      <c r="M30" s="118" t="s">
        <v>47</v>
      </c>
      <c r="N30" s="221" t="s">
        <v>46</v>
      </c>
      <c r="O30" s="222"/>
      <c r="P30" s="222"/>
      <c r="Q30" s="223"/>
      <c r="R30" s="117" t="s">
        <v>102</v>
      </c>
    </row>
    <row r="31" spans="2:18" x14ac:dyDescent="0.25">
      <c r="B31" s="220"/>
      <c r="C31" s="228"/>
      <c r="D31" s="220"/>
      <c r="E31" s="2" t="s">
        <v>42</v>
      </c>
      <c r="F31" s="2" t="s">
        <v>43</v>
      </c>
      <c r="G31" s="2" t="s">
        <v>44</v>
      </c>
      <c r="H31" s="2" t="s">
        <v>45</v>
      </c>
      <c r="I31" s="229"/>
      <c r="K31" s="118"/>
      <c r="L31" s="116"/>
      <c r="M31" s="118"/>
      <c r="N31" s="2" t="s">
        <v>42</v>
      </c>
      <c r="O31" s="2" t="s">
        <v>43</v>
      </c>
      <c r="P31" s="2" t="s">
        <v>44</v>
      </c>
      <c r="Q31" s="2" t="s">
        <v>45</v>
      </c>
      <c r="R31" s="117"/>
    </row>
    <row r="32" spans="2:18" x14ac:dyDescent="0.25">
      <c r="B32" s="56" t="s">
        <v>75</v>
      </c>
      <c r="C32" s="35">
        <f>D32/(D32+D33+D34+D35)*100</f>
        <v>48.717948717948715</v>
      </c>
      <c r="D32" s="64">
        <v>9.5</v>
      </c>
      <c r="E32" s="5">
        <v>1.33</v>
      </c>
      <c r="F32" s="5">
        <f t="shared" ref="F32:F39" si="8">(D32*E32%)*1000</f>
        <v>126.35000000000002</v>
      </c>
      <c r="G32" s="5">
        <v>14.7</v>
      </c>
      <c r="H32" s="5">
        <f t="shared" ref="H32:H39" si="9">(D32*G32%)*1000</f>
        <v>1396.4999999999998</v>
      </c>
      <c r="I32" s="51">
        <f>D32+D33+D34+D35</f>
        <v>19.5</v>
      </c>
      <c r="K32" s="56" t="s">
        <v>76</v>
      </c>
      <c r="L32" s="35">
        <f>M32/(M32+M33+M34+M35)*100</f>
        <v>48.421052631578945</v>
      </c>
      <c r="M32" s="64">
        <v>9.1999999999999993</v>
      </c>
      <c r="N32" s="5">
        <v>0.84</v>
      </c>
      <c r="O32" s="5">
        <f t="shared" ref="O32:O39" si="10">(M32*N32%)*1000</f>
        <v>77.279999999999987</v>
      </c>
      <c r="P32" s="5">
        <v>15.2</v>
      </c>
      <c r="Q32" s="5">
        <f t="shared" ref="Q32:Q39" si="11">(M32*P32%)*1000</f>
        <v>1398.3999999999999</v>
      </c>
      <c r="R32" s="51">
        <f>M32+M33+M34+M35</f>
        <v>19</v>
      </c>
    </row>
    <row r="33" spans="2:18" x14ac:dyDescent="0.25">
      <c r="B33" s="57" t="s">
        <v>10</v>
      </c>
      <c r="C33" s="35">
        <f>D33/(D32+D33+D34+D35)*100</f>
        <v>12.820512820512819</v>
      </c>
      <c r="D33" s="64">
        <v>2.5</v>
      </c>
      <c r="E33" s="5">
        <v>1.19</v>
      </c>
      <c r="F33" s="5">
        <f t="shared" si="8"/>
        <v>29.75</v>
      </c>
      <c r="G33" s="5">
        <v>11.6</v>
      </c>
      <c r="H33" s="5">
        <f t="shared" si="9"/>
        <v>290</v>
      </c>
      <c r="I33" s="25"/>
      <c r="K33" s="57" t="s">
        <v>99</v>
      </c>
      <c r="L33" s="35">
        <f>M33/(M32+M33+M34+M35)*100</f>
        <v>13.157894736842104</v>
      </c>
      <c r="M33" s="64">
        <v>2.5</v>
      </c>
      <c r="N33" s="5">
        <v>0.9</v>
      </c>
      <c r="O33" s="5">
        <f t="shared" si="10"/>
        <v>22.500000000000004</v>
      </c>
      <c r="P33" s="5">
        <v>12</v>
      </c>
      <c r="Q33" s="5">
        <f t="shared" si="11"/>
        <v>300</v>
      </c>
      <c r="R33" s="25"/>
    </row>
    <row r="34" spans="2:18" x14ac:dyDescent="0.25">
      <c r="B34" s="56" t="s">
        <v>12</v>
      </c>
      <c r="C34" s="35">
        <f>D34/(D32+D33+D34+D35)*100</f>
        <v>38.461538461538467</v>
      </c>
      <c r="D34" s="64">
        <v>7.5</v>
      </c>
      <c r="E34" s="5">
        <v>0.46</v>
      </c>
      <c r="F34" s="5">
        <f t="shared" si="8"/>
        <v>34.5</v>
      </c>
      <c r="G34" s="5">
        <v>2.2000000000000002</v>
      </c>
      <c r="H34" s="5">
        <f t="shared" si="9"/>
        <v>165</v>
      </c>
      <c r="I34" s="25"/>
      <c r="K34" s="56" t="s">
        <v>12</v>
      </c>
      <c r="L34" s="35">
        <f>M34/(M32+M33+M34+M35)*100</f>
        <v>38.421052631578945</v>
      </c>
      <c r="M34" s="64">
        <v>7.3</v>
      </c>
      <c r="N34" s="5">
        <v>0.46</v>
      </c>
      <c r="O34" s="5">
        <f t="shared" si="10"/>
        <v>33.58</v>
      </c>
      <c r="P34" s="5">
        <v>2.2000000000000002</v>
      </c>
      <c r="Q34" s="5">
        <f t="shared" si="11"/>
        <v>160.60000000000002</v>
      </c>
      <c r="R34" s="25"/>
    </row>
    <row r="35" spans="2:18" x14ac:dyDescent="0.25">
      <c r="B35" s="56" t="s">
        <v>14</v>
      </c>
      <c r="C35" s="35">
        <f>D35/(D32+D33+D34+D35)*100</f>
        <v>0</v>
      </c>
      <c r="D35" s="64">
        <v>0</v>
      </c>
      <c r="E35" s="5">
        <v>0.71</v>
      </c>
      <c r="F35" s="5">
        <f t="shared" si="8"/>
        <v>0</v>
      </c>
      <c r="G35" s="5">
        <v>0</v>
      </c>
      <c r="H35" s="5">
        <f t="shared" si="9"/>
        <v>0</v>
      </c>
      <c r="I35" s="25"/>
      <c r="K35" s="56" t="s">
        <v>14</v>
      </c>
      <c r="L35" s="35">
        <f>M35/(M32+M33+M34+M35)*100</f>
        <v>0</v>
      </c>
      <c r="M35" s="64">
        <v>0</v>
      </c>
      <c r="N35" s="5">
        <v>0.71</v>
      </c>
      <c r="O35" s="5">
        <f t="shared" si="10"/>
        <v>0</v>
      </c>
      <c r="P35" s="5">
        <v>0</v>
      </c>
      <c r="Q35" s="5">
        <f t="shared" si="11"/>
        <v>0</v>
      </c>
      <c r="R35" s="25"/>
    </row>
    <row r="36" spans="2:18" x14ac:dyDescent="0.25">
      <c r="B36" s="56" t="s">
        <v>17</v>
      </c>
      <c r="C36" s="35"/>
      <c r="D36" s="64">
        <v>6.5</v>
      </c>
      <c r="E36" s="5">
        <v>3.3</v>
      </c>
      <c r="F36" s="5">
        <f t="shared" si="8"/>
        <v>214.50000000000003</v>
      </c>
      <c r="G36" s="5">
        <v>28.7</v>
      </c>
      <c r="H36" s="5">
        <f t="shared" si="9"/>
        <v>1865.5</v>
      </c>
      <c r="I36" s="25"/>
      <c r="K36" s="56" t="s">
        <v>17</v>
      </c>
      <c r="L36" s="35">
        <f>M36/(M32+M33+M34+M35)*100</f>
        <v>38.947368421052637</v>
      </c>
      <c r="M36" s="64">
        <v>7.4</v>
      </c>
      <c r="N36" s="5">
        <v>3.29</v>
      </c>
      <c r="O36" s="5">
        <f t="shared" si="10"/>
        <v>243.46</v>
      </c>
      <c r="P36" s="5">
        <v>27.9</v>
      </c>
      <c r="Q36" s="5">
        <f t="shared" si="11"/>
        <v>2064.6</v>
      </c>
      <c r="R36" s="25"/>
    </row>
    <row r="37" spans="2:18" x14ac:dyDescent="0.25">
      <c r="B37" s="57" t="s">
        <v>21</v>
      </c>
      <c r="C37" s="41"/>
      <c r="D37" s="65">
        <v>1.4</v>
      </c>
      <c r="E37" s="5">
        <v>0</v>
      </c>
      <c r="F37" s="5">
        <f t="shared" si="8"/>
        <v>0</v>
      </c>
      <c r="G37" s="5">
        <v>87.5</v>
      </c>
      <c r="H37" s="5">
        <f t="shared" si="9"/>
        <v>1224.9999999999998</v>
      </c>
      <c r="I37" s="25"/>
      <c r="K37" s="57" t="s">
        <v>21</v>
      </c>
      <c r="L37" s="41">
        <f>M37/(M32+M33+M34+M35+M36)*100</f>
        <v>4.9242424242424248</v>
      </c>
      <c r="M37" s="65">
        <v>1.3</v>
      </c>
      <c r="N37" s="5">
        <v>0</v>
      </c>
      <c r="O37" s="5">
        <f t="shared" si="10"/>
        <v>0</v>
      </c>
      <c r="P37" s="5">
        <v>87.5</v>
      </c>
      <c r="Q37" s="5">
        <f t="shared" si="11"/>
        <v>1137.5</v>
      </c>
      <c r="R37" s="25"/>
    </row>
    <row r="38" spans="2:18" x14ac:dyDescent="0.25">
      <c r="B38" s="57" t="s">
        <v>49</v>
      </c>
      <c r="C38" s="41"/>
      <c r="D38" s="67">
        <v>0</v>
      </c>
      <c r="E38" s="13">
        <v>0</v>
      </c>
      <c r="F38" s="5">
        <f t="shared" si="8"/>
        <v>0</v>
      </c>
      <c r="G38" s="5">
        <v>0</v>
      </c>
      <c r="H38" s="5">
        <f t="shared" si="9"/>
        <v>0</v>
      </c>
      <c r="I38" s="25"/>
      <c r="K38" s="57" t="s">
        <v>49</v>
      </c>
      <c r="L38" s="36"/>
      <c r="M38" s="67">
        <v>0</v>
      </c>
      <c r="N38" s="13">
        <v>0</v>
      </c>
      <c r="O38" s="5">
        <f t="shared" si="10"/>
        <v>0</v>
      </c>
      <c r="P38" s="5">
        <v>0</v>
      </c>
      <c r="Q38" s="5">
        <f t="shared" si="11"/>
        <v>0</v>
      </c>
      <c r="R38" s="25"/>
    </row>
    <row r="39" spans="2:18" x14ac:dyDescent="0.25">
      <c r="B39" s="57" t="s">
        <v>23</v>
      </c>
      <c r="C39" s="41"/>
      <c r="D39" s="65">
        <v>0.05</v>
      </c>
      <c r="E39" s="13">
        <v>20.5</v>
      </c>
      <c r="F39" s="5">
        <f t="shared" si="8"/>
        <v>10.25</v>
      </c>
      <c r="G39" s="5">
        <v>0</v>
      </c>
      <c r="H39" s="5">
        <f t="shared" si="9"/>
        <v>0</v>
      </c>
      <c r="I39" s="25"/>
      <c r="K39" s="57" t="s">
        <v>23</v>
      </c>
      <c r="L39" s="36"/>
      <c r="M39" s="65">
        <v>0.2</v>
      </c>
      <c r="N39" s="13">
        <v>20.5</v>
      </c>
      <c r="O39" s="5">
        <f t="shared" si="10"/>
        <v>41</v>
      </c>
      <c r="P39" s="5">
        <v>0</v>
      </c>
      <c r="Q39" s="5">
        <f t="shared" si="11"/>
        <v>0</v>
      </c>
      <c r="R39" s="25"/>
    </row>
    <row r="40" spans="2:18" x14ac:dyDescent="0.25">
      <c r="B40" s="62" t="s">
        <v>26</v>
      </c>
      <c r="C40" s="46"/>
      <c r="D40" s="69">
        <f>SUM(D32:D39)</f>
        <v>27.45</v>
      </c>
      <c r="E40" s="20"/>
      <c r="F40" s="21">
        <f>SUM(F32:F39)</f>
        <v>415.35</v>
      </c>
      <c r="G40" s="20"/>
      <c r="H40" s="21">
        <f>SUM(H32:H39)</f>
        <v>4942</v>
      </c>
      <c r="I40" s="53" t="s">
        <v>6</v>
      </c>
      <c r="K40" s="62" t="s">
        <v>26</v>
      </c>
      <c r="L40" s="39"/>
      <c r="M40" s="69">
        <f>SUM(M32:M39)</f>
        <v>27.9</v>
      </c>
      <c r="N40" s="20"/>
      <c r="O40" s="21">
        <f>SUM(O32:O39)</f>
        <v>417.82</v>
      </c>
      <c r="P40" s="20"/>
      <c r="Q40" s="21">
        <f>SUM(Q32:Q39)</f>
        <v>5061.1000000000004</v>
      </c>
      <c r="R40" s="24" t="s">
        <v>6</v>
      </c>
    </row>
    <row r="41" spans="2:18" x14ac:dyDescent="0.25">
      <c r="B41" s="230"/>
      <c r="C41" s="231"/>
      <c r="D41" s="231"/>
      <c r="E41" s="232"/>
      <c r="F41" s="22">
        <f>F40/D40/10</f>
        <v>1.5131147540983609</v>
      </c>
      <c r="G41" s="23"/>
      <c r="H41" s="22">
        <f>H40/D40/10</f>
        <v>18.003642987249545</v>
      </c>
      <c r="I41" s="21">
        <f>((100-H41)*0.5)/F41</f>
        <v>27.095220898037795</v>
      </c>
      <c r="K41" s="59"/>
      <c r="L41" s="40"/>
      <c r="M41" s="68"/>
      <c r="N41" s="1"/>
      <c r="O41" s="22">
        <f>O40/M40/10</f>
        <v>1.497562724014337</v>
      </c>
      <c r="P41" s="23"/>
      <c r="Q41" s="22">
        <f>Q40/M40/10</f>
        <v>18.140143369175629</v>
      </c>
      <c r="R41" s="21">
        <f>((100-Q41)*0.5)/O41</f>
        <v>27.33102771528409</v>
      </c>
    </row>
    <row r="42" spans="2:18" x14ac:dyDescent="0.25">
      <c r="B42" s="61"/>
      <c r="C42" s="34"/>
      <c r="D42" s="61"/>
    </row>
    <row r="43" spans="2:18" x14ac:dyDescent="0.25">
      <c r="B43" s="282" t="s">
        <v>109</v>
      </c>
      <c r="C43" s="283"/>
      <c r="D43" s="283"/>
      <c r="E43" s="283"/>
      <c r="F43" s="283"/>
      <c r="G43" s="283"/>
      <c r="H43" s="283"/>
      <c r="I43" s="284"/>
      <c r="K43" s="282" t="s">
        <v>83</v>
      </c>
      <c r="L43" s="283"/>
      <c r="M43" s="283"/>
      <c r="N43" s="283"/>
      <c r="O43" s="283"/>
      <c r="P43" s="283"/>
      <c r="Q43" s="283"/>
      <c r="R43" s="284"/>
    </row>
    <row r="44" spans="2:18" x14ac:dyDescent="0.25">
      <c r="B44" s="219" t="s">
        <v>0</v>
      </c>
      <c r="C44" s="227" t="s">
        <v>1</v>
      </c>
      <c r="D44" s="219" t="s">
        <v>47</v>
      </c>
      <c r="E44" s="221" t="s">
        <v>46</v>
      </c>
      <c r="F44" s="222"/>
      <c r="G44" s="222"/>
      <c r="H44" s="223"/>
      <c r="I44" s="229" t="s">
        <v>102</v>
      </c>
      <c r="K44" s="269" t="s">
        <v>0</v>
      </c>
      <c r="L44" s="227" t="s">
        <v>1</v>
      </c>
      <c r="M44" s="269" t="s">
        <v>47</v>
      </c>
      <c r="N44" s="229" t="s">
        <v>46</v>
      </c>
      <c r="O44" s="229"/>
      <c r="P44" s="229"/>
      <c r="Q44" s="229"/>
      <c r="R44" s="219" t="s">
        <v>6</v>
      </c>
    </row>
    <row r="45" spans="2:18" x14ac:dyDescent="0.25">
      <c r="B45" s="220"/>
      <c r="C45" s="228"/>
      <c r="D45" s="220"/>
      <c r="E45" s="2" t="s">
        <v>42</v>
      </c>
      <c r="F45" s="2" t="s">
        <v>43</v>
      </c>
      <c r="G45" s="2" t="s">
        <v>44</v>
      </c>
      <c r="H45" s="2" t="s">
        <v>45</v>
      </c>
      <c r="I45" s="229"/>
      <c r="K45" s="269"/>
      <c r="L45" s="228"/>
      <c r="M45" s="269"/>
      <c r="N45" s="2" t="s">
        <v>42</v>
      </c>
      <c r="O45" s="2" t="s">
        <v>43</v>
      </c>
      <c r="P45" s="2" t="s">
        <v>44</v>
      </c>
      <c r="Q45" s="2" t="s">
        <v>45</v>
      </c>
      <c r="R45" s="288"/>
    </row>
    <row r="46" spans="2:18" x14ac:dyDescent="0.25">
      <c r="B46" s="56" t="s">
        <v>76</v>
      </c>
      <c r="C46" s="35">
        <f>D46/(D46+D47+D48+D49)*100</f>
        <v>42.105263157894733</v>
      </c>
      <c r="D46" s="64">
        <v>8</v>
      </c>
      <c r="E46" s="5">
        <v>0.84</v>
      </c>
      <c r="F46" s="5">
        <f t="shared" ref="F46:F53" si="12">(D46*E46%)*1000</f>
        <v>67.2</v>
      </c>
      <c r="G46" s="5">
        <v>15.2</v>
      </c>
      <c r="H46" s="5">
        <f t="shared" ref="H46:H53" si="13">(D46*G46%)*1000</f>
        <v>1216</v>
      </c>
      <c r="I46" s="51">
        <f>D46+D47+D48+D49</f>
        <v>19</v>
      </c>
      <c r="K46" s="56" t="s">
        <v>76</v>
      </c>
      <c r="L46" s="35">
        <f>M46/(M46+M47+M48+M49+M50)*100</f>
        <v>51.351351351351347</v>
      </c>
      <c r="M46" s="64">
        <v>9.5</v>
      </c>
      <c r="N46" s="5">
        <v>0.84</v>
      </c>
      <c r="O46" s="5">
        <f t="shared" ref="O46:O54" si="14">(M46*N46%)*1000</f>
        <v>79.8</v>
      </c>
      <c r="P46" s="5">
        <v>15.2</v>
      </c>
      <c r="Q46" s="5">
        <f t="shared" ref="Q46:Q54" si="15">(M46*P46%)*1000</f>
        <v>1444</v>
      </c>
      <c r="R46" s="288"/>
    </row>
    <row r="47" spans="2:18" x14ac:dyDescent="0.25">
      <c r="B47" s="57" t="s">
        <v>10</v>
      </c>
      <c r="C47" s="35">
        <f>D47/(D46+D47+D48+D49)*100</f>
        <v>21.052631578947366</v>
      </c>
      <c r="D47" s="64">
        <v>4</v>
      </c>
      <c r="E47" s="5">
        <v>1.19</v>
      </c>
      <c r="F47" s="5">
        <f t="shared" si="12"/>
        <v>47.599999999999994</v>
      </c>
      <c r="G47" s="5">
        <v>11.6</v>
      </c>
      <c r="H47" s="5">
        <f t="shared" si="13"/>
        <v>463.99999999999994</v>
      </c>
      <c r="I47" s="25"/>
      <c r="K47" s="56" t="s">
        <v>83</v>
      </c>
      <c r="L47" s="35">
        <f>M47/(M46+M47+M48+M49+M50)*100</f>
        <v>10.810810810810811</v>
      </c>
      <c r="M47" s="64">
        <v>2</v>
      </c>
      <c r="N47" s="5">
        <v>0.84</v>
      </c>
      <c r="O47" s="5">
        <f t="shared" si="14"/>
        <v>16.8</v>
      </c>
      <c r="P47" s="5">
        <v>4.5</v>
      </c>
      <c r="Q47" s="5">
        <f t="shared" si="15"/>
        <v>90</v>
      </c>
      <c r="R47" s="288"/>
    </row>
    <row r="48" spans="2:18" x14ac:dyDescent="0.25">
      <c r="B48" s="56" t="s">
        <v>12</v>
      </c>
      <c r="C48" s="35">
        <f>D48/(D46+D47+D48+D49)*100</f>
        <v>36.84210526315789</v>
      </c>
      <c r="D48" s="64">
        <v>7</v>
      </c>
      <c r="E48" s="5">
        <v>0.46</v>
      </c>
      <c r="F48" s="5">
        <f t="shared" si="12"/>
        <v>32.200000000000003</v>
      </c>
      <c r="G48" s="5">
        <v>2.2000000000000002</v>
      </c>
      <c r="H48" s="5">
        <f t="shared" si="13"/>
        <v>154.00000000000003</v>
      </c>
      <c r="I48" s="25"/>
      <c r="K48" s="57" t="s">
        <v>10</v>
      </c>
      <c r="L48" s="35">
        <f>M48/(M46+M47+M48+M49+M50)*100</f>
        <v>0</v>
      </c>
      <c r="M48" s="64">
        <v>0</v>
      </c>
      <c r="N48" s="5">
        <v>1.07</v>
      </c>
      <c r="O48" s="5">
        <f t="shared" si="14"/>
        <v>0</v>
      </c>
      <c r="P48" s="5">
        <v>10.8</v>
      </c>
      <c r="Q48" s="5">
        <f t="shared" si="15"/>
        <v>0</v>
      </c>
      <c r="R48" s="288"/>
    </row>
    <row r="49" spans="2:18" x14ac:dyDescent="0.25">
      <c r="B49" s="56" t="s">
        <v>14</v>
      </c>
      <c r="C49" s="35">
        <f>D49/(D46+D47+D48+D49)*100</f>
        <v>0</v>
      </c>
      <c r="D49" s="64">
        <v>0</v>
      </c>
      <c r="E49" s="5">
        <v>0.71</v>
      </c>
      <c r="F49" s="5">
        <f t="shared" si="12"/>
        <v>0</v>
      </c>
      <c r="G49" s="5">
        <v>0</v>
      </c>
      <c r="H49" s="5">
        <f t="shared" si="13"/>
        <v>0</v>
      </c>
      <c r="I49" s="25"/>
      <c r="K49" s="56" t="s">
        <v>12</v>
      </c>
      <c r="L49" s="35">
        <f>M49/(M46+M47+M48+M49+M50)*100</f>
        <v>37.837837837837839</v>
      </c>
      <c r="M49" s="64">
        <v>7</v>
      </c>
      <c r="N49" s="5">
        <v>0.46</v>
      </c>
      <c r="O49" s="5">
        <f t="shared" si="14"/>
        <v>32.200000000000003</v>
      </c>
      <c r="P49" s="5">
        <v>2.2000000000000002</v>
      </c>
      <c r="Q49" s="5">
        <f t="shared" si="15"/>
        <v>154.00000000000003</v>
      </c>
      <c r="R49" s="288"/>
    </row>
    <row r="50" spans="2:18" x14ac:dyDescent="0.25">
      <c r="B50" s="56" t="s">
        <v>17</v>
      </c>
      <c r="C50" s="35"/>
      <c r="D50" s="64">
        <v>6.2</v>
      </c>
      <c r="E50" s="5">
        <v>3.3</v>
      </c>
      <c r="F50" s="5">
        <f t="shared" si="12"/>
        <v>204.6</v>
      </c>
      <c r="G50" s="5">
        <v>28.7</v>
      </c>
      <c r="H50" s="5">
        <f t="shared" si="13"/>
        <v>1779.3999999999999</v>
      </c>
      <c r="I50" s="25"/>
      <c r="K50" s="56" t="s">
        <v>14</v>
      </c>
      <c r="L50" s="35">
        <f>M50/(M46+M47+M48+M49)*100</f>
        <v>0</v>
      </c>
      <c r="M50" s="64">
        <v>0</v>
      </c>
      <c r="N50" s="5">
        <v>0.71</v>
      </c>
      <c r="O50" s="5">
        <f t="shared" si="14"/>
        <v>0</v>
      </c>
      <c r="P50" s="5">
        <v>0</v>
      </c>
      <c r="Q50" s="5">
        <f t="shared" si="15"/>
        <v>0</v>
      </c>
      <c r="R50" s="288"/>
    </row>
    <row r="51" spans="2:18" x14ac:dyDescent="0.25">
      <c r="B51" s="57" t="s">
        <v>21</v>
      </c>
      <c r="C51" s="41"/>
      <c r="D51" s="65">
        <v>1.3</v>
      </c>
      <c r="E51" s="5">
        <v>0</v>
      </c>
      <c r="F51" s="5">
        <f t="shared" si="12"/>
        <v>0</v>
      </c>
      <c r="G51" s="5">
        <v>87.5</v>
      </c>
      <c r="H51" s="5">
        <f t="shared" si="13"/>
        <v>1137.5</v>
      </c>
      <c r="I51" s="25"/>
      <c r="K51" s="56" t="s">
        <v>17</v>
      </c>
      <c r="L51" s="29">
        <f>M51/(M46+M47+M48+M49+M50)*100</f>
        <v>40.54054054054054</v>
      </c>
      <c r="M51" s="64">
        <v>7.5</v>
      </c>
      <c r="N51" s="5">
        <v>3.29</v>
      </c>
      <c r="O51" s="5">
        <f t="shared" si="14"/>
        <v>246.75</v>
      </c>
      <c r="P51" s="5">
        <v>27.9</v>
      </c>
      <c r="Q51" s="5">
        <f t="shared" si="15"/>
        <v>2092.5</v>
      </c>
      <c r="R51" s="288"/>
    </row>
    <row r="52" spans="2:18" x14ac:dyDescent="0.25">
      <c r="B52" s="57" t="s">
        <v>49</v>
      </c>
      <c r="C52" s="41"/>
      <c r="D52" s="67">
        <v>0</v>
      </c>
      <c r="E52" s="13">
        <v>0</v>
      </c>
      <c r="F52" s="5">
        <f t="shared" si="12"/>
        <v>0</v>
      </c>
      <c r="G52" s="5">
        <v>0</v>
      </c>
      <c r="H52" s="5">
        <f t="shared" si="13"/>
        <v>0</v>
      </c>
      <c r="I52" s="25"/>
      <c r="K52" s="57" t="s">
        <v>21</v>
      </c>
      <c r="L52" s="41">
        <f>M52/(M46+M47+M48+M49+M50+M51)*100</f>
        <v>5.3846153846153841</v>
      </c>
      <c r="M52" s="65">
        <v>1.4</v>
      </c>
      <c r="N52" s="5">
        <v>0</v>
      </c>
      <c r="O52" s="5">
        <f t="shared" si="14"/>
        <v>0</v>
      </c>
      <c r="P52" s="5">
        <v>87.5</v>
      </c>
      <c r="Q52" s="5">
        <f t="shared" si="15"/>
        <v>1224.9999999999998</v>
      </c>
      <c r="R52" s="288"/>
    </row>
    <row r="53" spans="2:18" x14ac:dyDescent="0.25">
      <c r="B53" s="57" t="s">
        <v>23</v>
      </c>
      <c r="C53" s="41"/>
      <c r="D53" s="65">
        <v>0.2</v>
      </c>
      <c r="E53" s="13">
        <v>20.5</v>
      </c>
      <c r="F53" s="5">
        <f t="shared" si="12"/>
        <v>41</v>
      </c>
      <c r="G53" s="5">
        <v>0</v>
      </c>
      <c r="H53" s="5">
        <f t="shared" si="13"/>
        <v>0</v>
      </c>
      <c r="I53" s="25"/>
      <c r="K53" s="57" t="s">
        <v>49</v>
      </c>
      <c r="L53" s="36"/>
      <c r="M53" s="67">
        <v>0</v>
      </c>
      <c r="N53" s="13">
        <v>0</v>
      </c>
      <c r="O53" s="5">
        <f t="shared" si="14"/>
        <v>0</v>
      </c>
      <c r="P53" s="5">
        <v>0</v>
      </c>
      <c r="Q53" s="5">
        <f t="shared" si="15"/>
        <v>0</v>
      </c>
      <c r="R53" s="288"/>
    </row>
    <row r="54" spans="2:18" x14ac:dyDescent="0.25">
      <c r="B54" s="62" t="s">
        <v>26</v>
      </c>
      <c r="C54" s="46"/>
      <c r="D54" s="69">
        <f>SUM(D46:D53)</f>
        <v>26.7</v>
      </c>
      <c r="E54" s="20"/>
      <c r="F54" s="21">
        <f>SUM(F46:F53)</f>
        <v>392.6</v>
      </c>
      <c r="G54" s="20"/>
      <c r="H54" s="21">
        <f>SUM(H46:H53)</f>
        <v>4750.8999999999996</v>
      </c>
      <c r="I54" s="54" t="s">
        <v>6</v>
      </c>
      <c r="K54" s="57" t="s">
        <v>23</v>
      </c>
      <c r="L54" s="36"/>
      <c r="M54" s="65">
        <v>0</v>
      </c>
      <c r="N54" s="13">
        <v>20.5</v>
      </c>
      <c r="O54" s="5">
        <f t="shared" si="14"/>
        <v>0</v>
      </c>
      <c r="P54" s="5">
        <v>0</v>
      </c>
      <c r="Q54" s="5">
        <f t="shared" si="15"/>
        <v>0</v>
      </c>
      <c r="R54" s="288"/>
    </row>
    <row r="55" spans="2:18" x14ac:dyDescent="0.25">
      <c r="B55" s="230"/>
      <c r="C55" s="231"/>
      <c r="D55" s="231"/>
      <c r="E55" s="232"/>
      <c r="F55" s="22">
        <f>F54/D54/10</f>
        <v>1.4704119850187267</v>
      </c>
      <c r="G55" s="23"/>
      <c r="H55" s="22">
        <f>H54/D54/10</f>
        <v>17.793632958801499</v>
      </c>
      <c r="I55" s="21">
        <f>((100-H55)*0.5)/F55</f>
        <v>27.953515028018337</v>
      </c>
      <c r="K55" s="62" t="s">
        <v>26</v>
      </c>
      <c r="L55" s="39"/>
      <c r="M55" s="69">
        <f>SUM(M46:M54)</f>
        <v>27.4</v>
      </c>
      <c r="N55" s="20"/>
      <c r="O55" s="21">
        <f>SUM(O46:O54)</f>
        <v>375.55</v>
      </c>
      <c r="P55" s="20"/>
      <c r="Q55" s="21">
        <f>SUM(Q46:Q54)</f>
        <v>5005.5</v>
      </c>
      <c r="R55" s="220"/>
    </row>
    <row r="56" spans="2:18" x14ac:dyDescent="0.25">
      <c r="K56" s="59"/>
      <c r="L56" s="40"/>
      <c r="M56" s="68"/>
      <c r="N56" s="1"/>
      <c r="O56" s="22">
        <f>O55/M55/10</f>
        <v>1.3706204379562046</v>
      </c>
      <c r="P56" s="23"/>
      <c r="Q56" s="22">
        <f>Q55/M55/10</f>
        <v>18.268248175182485</v>
      </c>
      <c r="R56" s="21">
        <f>((100-Q56)*0.5)/O56</f>
        <v>29.815603781121013</v>
      </c>
    </row>
    <row r="58" spans="2:18" x14ac:dyDescent="0.25">
      <c r="B58" s="282" t="s">
        <v>89</v>
      </c>
      <c r="C58" s="283"/>
      <c r="D58" s="283"/>
      <c r="E58" s="283"/>
      <c r="F58" s="283"/>
      <c r="G58" s="283"/>
      <c r="H58" s="283"/>
      <c r="I58" s="284"/>
    </row>
    <row r="59" spans="2:18" x14ac:dyDescent="0.25">
      <c r="B59" s="269" t="s">
        <v>0</v>
      </c>
      <c r="C59" s="227" t="s">
        <v>1</v>
      </c>
      <c r="D59" s="269" t="s">
        <v>47</v>
      </c>
      <c r="E59" s="229" t="s">
        <v>46</v>
      </c>
      <c r="F59" s="229"/>
      <c r="G59" s="229"/>
      <c r="H59" s="229"/>
      <c r="I59" s="229" t="s">
        <v>102</v>
      </c>
    </row>
    <row r="60" spans="2:18" x14ac:dyDescent="0.25">
      <c r="B60" s="269"/>
      <c r="C60" s="228"/>
      <c r="D60" s="269"/>
      <c r="E60" s="2" t="s">
        <v>42</v>
      </c>
      <c r="F60" s="2" t="s">
        <v>43</v>
      </c>
      <c r="G60" s="2" t="s">
        <v>44</v>
      </c>
      <c r="H60" s="2" t="s">
        <v>45</v>
      </c>
      <c r="I60" s="229"/>
    </row>
    <row r="61" spans="2:18" x14ac:dyDescent="0.25">
      <c r="B61" s="56" t="s">
        <v>80</v>
      </c>
      <c r="C61" s="35">
        <f>D61/(D61+D62+D63+D64)*100</f>
        <v>48.648648648648653</v>
      </c>
      <c r="D61" s="64">
        <v>9</v>
      </c>
      <c r="E61" s="5">
        <v>1.26</v>
      </c>
      <c r="F61" s="5">
        <f t="shared" ref="F61:F68" si="16">(D61*E61%)*1000</f>
        <v>113.4</v>
      </c>
      <c r="G61" s="5">
        <v>14.6</v>
      </c>
      <c r="H61" s="5">
        <f t="shared" ref="H61:H68" si="17">(D61*G61%)*1000</f>
        <v>1313.9999999999998</v>
      </c>
      <c r="I61" s="51">
        <f>D61+D62+D63+D64</f>
        <v>18.5</v>
      </c>
    </row>
    <row r="62" spans="2:18" x14ac:dyDescent="0.25">
      <c r="B62" s="57" t="s">
        <v>10</v>
      </c>
      <c r="C62" s="35">
        <f>D62/(D61+D62+D63+D64)*100</f>
        <v>10.810810810810811</v>
      </c>
      <c r="D62" s="64">
        <v>2</v>
      </c>
      <c r="E62" s="5">
        <v>1.07</v>
      </c>
      <c r="F62" s="5">
        <f t="shared" si="16"/>
        <v>21.400000000000002</v>
      </c>
      <c r="G62" s="5">
        <v>10.8</v>
      </c>
      <c r="H62" s="5">
        <f t="shared" si="17"/>
        <v>216.00000000000003</v>
      </c>
      <c r="I62" s="25"/>
    </row>
    <row r="63" spans="2:18" x14ac:dyDescent="0.25">
      <c r="B63" s="56" t="s">
        <v>81</v>
      </c>
      <c r="C63" s="35">
        <f>D63/(D61+D62+D63+D64)*100</f>
        <v>40.54054054054054</v>
      </c>
      <c r="D63" s="64">
        <v>7.5</v>
      </c>
      <c r="E63" s="5">
        <v>0.46</v>
      </c>
      <c r="F63" s="5">
        <f t="shared" si="16"/>
        <v>34.5</v>
      </c>
      <c r="G63" s="5">
        <v>2.2000000000000002</v>
      </c>
      <c r="H63" s="5">
        <f t="shared" si="17"/>
        <v>165</v>
      </c>
      <c r="I63" s="25"/>
    </row>
    <row r="64" spans="2:18" x14ac:dyDescent="0.25">
      <c r="B64" s="56" t="s">
        <v>14</v>
      </c>
      <c r="C64" s="35">
        <f>D64/(D61+D62+D63+D64)*100</f>
        <v>0</v>
      </c>
      <c r="D64" s="64">
        <v>0</v>
      </c>
      <c r="E64" s="5">
        <v>0.71</v>
      </c>
      <c r="F64" s="5">
        <f t="shared" si="16"/>
        <v>0</v>
      </c>
      <c r="G64" s="5">
        <v>3.7</v>
      </c>
      <c r="H64" s="5">
        <f t="shared" si="17"/>
        <v>0</v>
      </c>
      <c r="I64" s="25"/>
    </row>
    <row r="65" spans="2:9" x14ac:dyDescent="0.25">
      <c r="B65" s="56" t="s">
        <v>82</v>
      </c>
      <c r="C65" s="35">
        <f>D65/(D61+D62+D63+D64)*100</f>
        <v>37.837837837837839</v>
      </c>
      <c r="D65" s="64">
        <v>7</v>
      </c>
      <c r="E65" s="5">
        <v>3.15</v>
      </c>
      <c r="F65" s="5">
        <f t="shared" si="16"/>
        <v>220.5</v>
      </c>
      <c r="G65" s="5">
        <v>27.9</v>
      </c>
      <c r="H65" s="5">
        <f t="shared" si="17"/>
        <v>1952.9999999999998</v>
      </c>
      <c r="I65" s="25"/>
    </row>
    <row r="66" spans="2:9" x14ac:dyDescent="0.25">
      <c r="B66" s="57" t="s">
        <v>21</v>
      </c>
      <c r="C66" s="41">
        <f>D66/(D61+D62+D63+D64+D65)*100</f>
        <v>5.4901960784313726</v>
      </c>
      <c r="D66" s="65">
        <v>1.4</v>
      </c>
      <c r="E66" s="5">
        <v>0</v>
      </c>
      <c r="F66" s="5">
        <f t="shared" si="16"/>
        <v>0</v>
      </c>
      <c r="G66" s="5">
        <v>87.5</v>
      </c>
      <c r="H66" s="5">
        <f t="shared" si="17"/>
        <v>1224.9999999999998</v>
      </c>
      <c r="I66" s="25"/>
    </row>
    <row r="67" spans="2:9" x14ac:dyDescent="0.25">
      <c r="B67" s="57" t="s">
        <v>49</v>
      </c>
      <c r="C67" s="41"/>
      <c r="D67" s="67">
        <v>0</v>
      </c>
      <c r="E67" s="13">
        <v>0</v>
      </c>
      <c r="F67" s="5">
        <f t="shared" si="16"/>
        <v>0</v>
      </c>
      <c r="G67" s="5">
        <v>0</v>
      </c>
      <c r="H67" s="5">
        <f t="shared" si="17"/>
        <v>0</v>
      </c>
      <c r="I67" s="25"/>
    </row>
    <row r="68" spans="2:9" x14ac:dyDescent="0.25">
      <c r="B68" s="57" t="s">
        <v>23</v>
      </c>
      <c r="C68" s="41"/>
      <c r="D68" s="65">
        <v>0.08</v>
      </c>
      <c r="E68" s="13">
        <v>20.6</v>
      </c>
      <c r="F68" s="5">
        <f t="shared" si="16"/>
        <v>16.48</v>
      </c>
      <c r="G68" s="5">
        <v>0</v>
      </c>
      <c r="H68" s="5">
        <f t="shared" si="17"/>
        <v>0</v>
      </c>
      <c r="I68" s="25"/>
    </row>
    <row r="69" spans="2:9" x14ac:dyDescent="0.25">
      <c r="B69" s="62" t="s">
        <v>26</v>
      </c>
      <c r="C69" s="46"/>
      <c r="D69" s="69">
        <f>SUM(D61:D68)</f>
        <v>26.979999999999997</v>
      </c>
      <c r="E69" s="20"/>
      <c r="F69" s="21">
        <f>SUM(F61:F68)</f>
        <v>406.28000000000003</v>
      </c>
      <c r="G69" s="20"/>
      <c r="H69" s="21">
        <f>SUM(H61:H68)</f>
        <v>4872.9999999999991</v>
      </c>
      <c r="I69" s="24" t="s">
        <v>6</v>
      </c>
    </row>
    <row r="70" spans="2:9" x14ac:dyDescent="0.25">
      <c r="B70" s="221"/>
      <c r="C70" s="222"/>
      <c r="D70" s="222"/>
      <c r="E70" s="223"/>
      <c r="F70" s="22">
        <f>F69/D69/10</f>
        <v>1.5058561897702005</v>
      </c>
      <c r="G70" s="23"/>
      <c r="H70" s="22">
        <f>H69/D69/10</f>
        <v>18.061527057079317</v>
      </c>
      <c r="I70" s="21">
        <f>((100-H70)*0.5)/F70</f>
        <v>27.206606281382292</v>
      </c>
    </row>
  </sheetData>
  <mergeCells count="55">
    <mergeCell ref="B70:E70"/>
    <mergeCell ref="B58:I58"/>
    <mergeCell ref="B59:B60"/>
    <mergeCell ref="D59:D60"/>
    <mergeCell ref="E59:H59"/>
    <mergeCell ref="C59:C60"/>
    <mergeCell ref="I59:I60"/>
    <mergeCell ref="K29:R29"/>
    <mergeCell ref="N30:Q30"/>
    <mergeCell ref="L44:L45"/>
    <mergeCell ref="K43:R43"/>
    <mergeCell ref="K44:K45"/>
    <mergeCell ref="M44:M45"/>
    <mergeCell ref="N44:Q44"/>
    <mergeCell ref="R44:R55"/>
    <mergeCell ref="B1:I1"/>
    <mergeCell ref="B15:I15"/>
    <mergeCell ref="K1:R1"/>
    <mergeCell ref="I30:I31"/>
    <mergeCell ref="B41:E41"/>
    <mergeCell ref="B29:I29"/>
    <mergeCell ref="I16:I17"/>
    <mergeCell ref="B16:B17"/>
    <mergeCell ref="C16:C17"/>
    <mergeCell ref="D16:D17"/>
    <mergeCell ref="E16:H16"/>
    <mergeCell ref="B27:E27"/>
    <mergeCell ref="B13:E13"/>
    <mergeCell ref="K2:K3"/>
    <mergeCell ref="L2:L3"/>
    <mergeCell ref="M2:M3"/>
    <mergeCell ref="B55:E55"/>
    <mergeCell ref="B30:B31"/>
    <mergeCell ref="C30:C31"/>
    <mergeCell ref="D30:D31"/>
    <mergeCell ref="E30:H30"/>
    <mergeCell ref="B43:I43"/>
    <mergeCell ref="B44:B45"/>
    <mergeCell ref="C44:C45"/>
    <mergeCell ref="D44:D45"/>
    <mergeCell ref="E44:H44"/>
    <mergeCell ref="I44:I45"/>
    <mergeCell ref="N2:Q2"/>
    <mergeCell ref="R2:R3"/>
    <mergeCell ref="B2:B3"/>
    <mergeCell ref="C2:C3"/>
    <mergeCell ref="D2:D3"/>
    <mergeCell ref="E2:H2"/>
    <mergeCell ref="I2:I3"/>
    <mergeCell ref="K15:R15"/>
    <mergeCell ref="K16:K17"/>
    <mergeCell ref="L16:L17"/>
    <mergeCell ref="M16:M17"/>
    <mergeCell ref="N16:Q16"/>
    <mergeCell ref="R16:R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34"/>
  <sheetViews>
    <sheetView workbookViewId="0">
      <selection activeCell="I35" sqref="I35"/>
    </sheetView>
  </sheetViews>
  <sheetFormatPr defaultRowHeight="15" x14ac:dyDescent="0.25"/>
  <cols>
    <col min="3" max="3" width="26.5703125" customWidth="1"/>
    <col min="4" max="4" width="8" customWidth="1"/>
    <col min="5" max="5" width="15.5703125" customWidth="1"/>
    <col min="6" max="6" width="10.140625" bestFit="1" customWidth="1"/>
    <col min="8" max="8" width="11.5703125" customWidth="1"/>
    <col min="9" max="9" width="15.5703125" customWidth="1"/>
    <col min="10" max="10" width="12.85546875" customWidth="1"/>
  </cols>
  <sheetData>
    <row r="5" spans="3:9" x14ac:dyDescent="0.25">
      <c r="C5" s="253" t="s">
        <v>148</v>
      </c>
      <c r="D5" s="254"/>
      <c r="E5" s="254"/>
      <c r="F5" s="254"/>
      <c r="G5" s="254"/>
      <c r="H5" s="254"/>
      <c r="I5" s="255"/>
    </row>
    <row r="6" spans="3:9" x14ac:dyDescent="0.25">
      <c r="C6" s="217" t="s">
        <v>0</v>
      </c>
      <c r="D6" s="227" t="s">
        <v>1</v>
      </c>
      <c r="E6" s="217" t="s">
        <v>47</v>
      </c>
      <c r="F6" s="221" t="s">
        <v>140</v>
      </c>
      <c r="G6" s="222"/>
      <c r="H6" s="222"/>
      <c r="I6" s="223"/>
    </row>
    <row r="7" spans="3:9" ht="30" x14ac:dyDescent="0.25">
      <c r="C7" s="218"/>
      <c r="D7" s="228"/>
      <c r="E7" s="218"/>
      <c r="F7" s="2" t="s">
        <v>141</v>
      </c>
      <c r="G7" s="56" t="s">
        <v>142</v>
      </c>
      <c r="H7" s="56" t="s">
        <v>143</v>
      </c>
      <c r="I7" s="2" t="s">
        <v>144</v>
      </c>
    </row>
    <row r="8" spans="3:9" x14ac:dyDescent="0.25">
      <c r="C8" s="2" t="s">
        <v>115</v>
      </c>
      <c r="D8" s="35">
        <f>E8/(E8+E9+E10+E11)*100</f>
        <v>47.619047619047613</v>
      </c>
      <c r="E8" s="145">
        <v>10</v>
      </c>
      <c r="F8" s="293" t="s">
        <v>145</v>
      </c>
      <c r="G8" s="293">
        <v>2.5</v>
      </c>
      <c r="H8" s="289">
        <v>2.1</v>
      </c>
      <c r="I8" s="291">
        <v>71410</v>
      </c>
    </row>
    <row r="9" spans="3:9" x14ac:dyDescent="0.25">
      <c r="C9" s="4" t="s">
        <v>110</v>
      </c>
      <c r="D9" s="35">
        <f>E9/(E8+E9+E10+E11)*100</f>
        <v>9.5238095238095237</v>
      </c>
      <c r="E9" s="147">
        <v>2</v>
      </c>
      <c r="F9" s="294"/>
      <c r="G9" s="294"/>
      <c r="H9" s="290"/>
      <c r="I9" s="292"/>
    </row>
    <row r="10" spans="3:9" x14ac:dyDescent="0.25">
      <c r="C10" s="2" t="s">
        <v>12</v>
      </c>
      <c r="D10" s="35">
        <f>E10/(E8+E9+E10+E11)*100</f>
        <v>42.857142857142854</v>
      </c>
      <c r="E10" s="147">
        <v>9</v>
      </c>
      <c r="F10" s="289" t="s">
        <v>146</v>
      </c>
      <c r="G10" s="289">
        <v>2.25</v>
      </c>
      <c r="H10" s="289">
        <v>1.75</v>
      </c>
      <c r="I10" s="291">
        <v>68370</v>
      </c>
    </row>
    <row r="11" spans="3:9" x14ac:dyDescent="0.25">
      <c r="C11" s="2" t="s">
        <v>14</v>
      </c>
      <c r="D11" s="35">
        <f>E11/(E8+E9+E10+E11)*100</f>
        <v>0</v>
      </c>
      <c r="E11" s="140">
        <v>0</v>
      </c>
      <c r="F11" s="290"/>
      <c r="G11" s="290"/>
      <c r="H11" s="290"/>
      <c r="I11" s="292"/>
    </row>
    <row r="12" spans="3:9" x14ac:dyDescent="0.25">
      <c r="C12" s="2" t="s">
        <v>17</v>
      </c>
      <c r="D12" s="35"/>
      <c r="E12" s="147">
        <v>7.3</v>
      </c>
      <c r="F12" s="289" t="s">
        <v>147</v>
      </c>
      <c r="G12" s="289">
        <v>2.25</v>
      </c>
      <c r="H12" s="289">
        <v>1.8</v>
      </c>
      <c r="I12" s="291">
        <v>69220</v>
      </c>
    </row>
    <row r="13" spans="3:9" x14ac:dyDescent="0.25">
      <c r="C13" s="4" t="s">
        <v>21</v>
      </c>
      <c r="D13" s="41"/>
      <c r="E13" s="147">
        <v>1.6</v>
      </c>
      <c r="F13" s="290"/>
      <c r="G13" s="290"/>
      <c r="H13" s="290"/>
      <c r="I13" s="292"/>
    </row>
    <row r="14" spans="3:9" x14ac:dyDescent="0.25">
      <c r="C14" s="4" t="s">
        <v>49</v>
      </c>
      <c r="D14" s="41"/>
      <c r="E14" s="148">
        <v>0</v>
      </c>
      <c r="F14" s="82"/>
      <c r="G14" s="82"/>
      <c r="H14" s="82"/>
      <c r="I14" s="157"/>
    </row>
    <row r="15" spans="3:9" x14ac:dyDescent="0.25">
      <c r="C15" s="4" t="s">
        <v>23</v>
      </c>
      <c r="D15" s="41"/>
      <c r="E15" s="141">
        <v>0.25</v>
      </c>
      <c r="F15" s="13"/>
      <c r="G15" s="5"/>
      <c r="H15" s="5"/>
      <c r="I15" s="158"/>
    </row>
    <row r="16" spans="3:9" x14ac:dyDescent="0.25">
      <c r="C16" s="9" t="s">
        <v>26</v>
      </c>
      <c r="D16" s="42"/>
      <c r="E16" s="143">
        <f>SUM(E8:E15)</f>
        <v>30.150000000000002</v>
      </c>
      <c r="F16" s="9"/>
      <c r="G16" s="11"/>
      <c r="H16" s="9"/>
      <c r="I16" s="159"/>
    </row>
    <row r="17" spans="3:10" x14ac:dyDescent="0.25">
      <c r="C17" s="230"/>
      <c r="D17" s="231"/>
      <c r="E17" s="231"/>
      <c r="F17" s="232"/>
      <c r="G17" s="8"/>
      <c r="H17" s="12"/>
      <c r="I17" s="159">
        <f>SUM(I8:I16)</f>
        <v>209000</v>
      </c>
    </row>
    <row r="22" spans="3:10" x14ac:dyDescent="0.25">
      <c r="C22" s="224" t="s">
        <v>157</v>
      </c>
      <c r="D22" s="225"/>
      <c r="E22" s="225"/>
      <c r="F22" s="225"/>
      <c r="G22" s="225"/>
      <c r="H22" s="225"/>
      <c r="I22" s="225"/>
      <c r="J22" s="226"/>
    </row>
    <row r="23" spans="3:10" x14ac:dyDescent="0.25">
      <c r="C23" s="217" t="s">
        <v>0</v>
      </c>
      <c r="D23" s="227" t="s">
        <v>1</v>
      </c>
      <c r="E23" s="217" t="s">
        <v>47</v>
      </c>
      <c r="F23" s="221" t="s">
        <v>46</v>
      </c>
      <c r="G23" s="222"/>
      <c r="H23" s="222"/>
      <c r="I23" s="223"/>
      <c r="J23" s="229" t="s">
        <v>102</v>
      </c>
    </row>
    <row r="24" spans="3:10" x14ac:dyDescent="0.25">
      <c r="C24" s="218"/>
      <c r="D24" s="228"/>
      <c r="E24" s="218"/>
      <c r="F24" s="2" t="s">
        <v>42</v>
      </c>
      <c r="G24" s="2" t="s">
        <v>43</v>
      </c>
      <c r="H24" s="2" t="s">
        <v>44</v>
      </c>
      <c r="I24" s="2" t="s">
        <v>45</v>
      </c>
      <c r="J24" s="229"/>
    </row>
    <row r="25" spans="3:10" x14ac:dyDescent="0.25">
      <c r="C25" s="2" t="s">
        <v>122</v>
      </c>
      <c r="D25" s="35">
        <f>E25/(E25+E26+E27+E28)*100</f>
        <v>61.777777777777779</v>
      </c>
      <c r="E25" s="145">
        <v>13.9</v>
      </c>
      <c r="F25" s="5">
        <v>0.91</v>
      </c>
      <c r="G25" s="5">
        <f>(E25*F25%)*1000</f>
        <v>126.49000000000002</v>
      </c>
      <c r="H25" s="5">
        <v>11.5</v>
      </c>
      <c r="I25" s="146">
        <f t="shared" ref="I25:I32" si="0">(E25*H25%)*1000</f>
        <v>1598.5</v>
      </c>
      <c r="J25" s="51">
        <f>E25+E26+E27+E28</f>
        <v>22.5</v>
      </c>
    </row>
    <row r="26" spans="3:10" x14ac:dyDescent="0.25">
      <c r="C26" s="4" t="s">
        <v>110</v>
      </c>
      <c r="D26" s="35">
        <f>E26/(E25+E26+E27+E28)*100</f>
        <v>0</v>
      </c>
      <c r="E26" s="147">
        <v>0</v>
      </c>
      <c r="F26" s="82">
        <v>0.7</v>
      </c>
      <c r="G26" s="82">
        <f t="shared" ref="G26:G32" si="1">(E26*F26%)*1000</f>
        <v>0</v>
      </c>
      <c r="H26" s="82">
        <v>0</v>
      </c>
      <c r="I26" s="82">
        <f t="shared" si="0"/>
        <v>0</v>
      </c>
      <c r="J26" s="25"/>
    </row>
    <row r="27" spans="3:10" x14ac:dyDescent="0.25">
      <c r="C27" s="2" t="s">
        <v>12</v>
      </c>
      <c r="D27" s="35">
        <f>E27/(E25+E26+E27+E28)*100</f>
        <v>38.222222222222221</v>
      </c>
      <c r="E27" s="147">
        <v>8.6</v>
      </c>
      <c r="F27" s="82">
        <v>0.42</v>
      </c>
      <c r="G27" s="82">
        <f t="shared" si="1"/>
        <v>36.119999999999997</v>
      </c>
      <c r="H27" s="82">
        <v>1.8</v>
      </c>
      <c r="I27" s="82">
        <f t="shared" si="0"/>
        <v>154.80000000000001</v>
      </c>
      <c r="J27" s="25"/>
    </row>
    <row r="28" spans="3:10" x14ac:dyDescent="0.25">
      <c r="C28" s="2" t="s">
        <v>14</v>
      </c>
      <c r="D28" s="35">
        <f>E28/(E25+E26+E27+E28)*100</f>
        <v>0</v>
      </c>
      <c r="E28" s="140">
        <v>0</v>
      </c>
      <c r="F28" s="5">
        <v>0.71</v>
      </c>
      <c r="G28" s="5">
        <f t="shared" si="1"/>
        <v>0</v>
      </c>
      <c r="H28" s="5">
        <v>0</v>
      </c>
      <c r="I28" s="5">
        <f t="shared" si="0"/>
        <v>0</v>
      </c>
      <c r="J28" s="25"/>
    </row>
    <row r="29" spans="3:10" x14ac:dyDescent="0.25">
      <c r="C29" s="2" t="s">
        <v>158</v>
      </c>
      <c r="D29" s="35"/>
      <c r="E29" s="147">
        <v>9.6999999999999993</v>
      </c>
      <c r="F29" s="82">
        <v>3.01</v>
      </c>
      <c r="G29" s="82">
        <f>(E29*F29%)*1000</f>
        <v>291.96999999999997</v>
      </c>
      <c r="H29" s="82">
        <v>42</v>
      </c>
      <c r="I29" s="82">
        <f>(E29*H29%)*1000</f>
        <v>4074</v>
      </c>
      <c r="J29" s="25"/>
    </row>
    <row r="30" spans="3:10" x14ac:dyDescent="0.25">
      <c r="C30" s="4" t="s">
        <v>21</v>
      </c>
      <c r="D30" s="41"/>
      <c r="E30" s="147">
        <v>0</v>
      </c>
      <c r="F30" s="82">
        <v>0</v>
      </c>
      <c r="G30" s="82">
        <f t="shared" si="1"/>
        <v>0</v>
      </c>
      <c r="H30" s="82">
        <v>85.3</v>
      </c>
      <c r="I30" s="82">
        <f t="shared" si="0"/>
        <v>0</v>
      </c>
      <c r="J30" s="25"/>
    </row>
    <row r="31" spans="3:10" x14ac:dyDescent="0.25">
      <c r="C31" s="4" t="s">
        <v>49</v>
      </c>
      <c r="D31" s="41"/>
      <c r="E31" s="148">
        <v>0</v>
      </c>
      <c r="F31" s="82">
        <v>46</v>
      </c>
      <c r="G31" s="82">
        <f t="shared" si="1"/>
        <v>0</v>
      </c>
      <c r="H31" s="82">
        <v>0</v>
      </c>
      <c r="I31" s="82">
        <f t="shared" si="0"/>
        <v>0</v>
      </c>
      <c r="J31" s="25"/>
    </row>
    <row r="32" spans="3:10" x14ac:dyDescent="0.25">
      <c r="C32" s="4" t="s">
        <v>23</v>
      </c>
      <c r="D32" s="41"/>
      <c r="E32" s="141">
        <v>7.4999999999999997E-2</v>
      </c>
      <c r="F32" s="13">
        <v>20.5</v>
      </c>
      <c r="G32" s="5">
        <f t="shared" si="1"/>
        <v>15.374999999999998</v>
      </c>
      <c r="H32" s="5">
        <v>0</v>
      </c>
      <c r="I32" s="5">
        <f t="shared" si="0"/>
        <v>0</v>
      </c>
      <c r="J32" s="25"/>
    </row>
    <row r="33" spans="3:10" x14ac:dyDescent="0.25">
      <c r="C33" s="9" t="s">
        <v>26</v>
      </c>
      <c r="D33" s="42"/>
      <c r="E33" s="143">
        <f>SUM(E25:E32)</f>
        <v>32.275000000000006</v>
      </c>
      <c r="F33" s="9"/>
      <c r="G33" s="11">
        <f>SUM(G25:G32)</f>
        <v>469.95499999999998</v>
      </c>
      <c r="H33" s="9"/>
      <c r="I33" s="11">
        <f>SUM(I25:I32)</f>
        <v>5827.3</v>
      </c>
      <c r="J33" s="173" t="s">
        <v>6</v>
      </c>
    </row>
    <row r="34" spans="3:10" x14ac:dyDescent="0.25">
      <c r="C34" s="230"/>
      <c r="D34" s="231"/>
      <c r="E34" s="231"/>
      <c r="F34" s="232"/>
      <c r="G34" s="8">
        <f>G33/E33/10</f>
        <v>1.4560960495739734</v>
      </c>
      <c r="H34" s="12"/>
      <c r="I34" s="8">
        <f>I33/E33/10</f>
        <v>18.055151045701002</v>
      </c>
      <c r="J34" s="11">
        <f>((100-I34)*0.5)/G34</f>
        <v>28.138545179857655</v>
      </c>
    </row>
  </sheetData>
  <mergeCells count="25">
    <mergeCell ref="G12:G13"/>
    <mergeCell ref="H12:H13"/>
    <mergeCell ref="I12:I13"/>
    <mergeCell ref="C17:F17"/>
    <mergeCell ref="F8:F9"/>
    <mergeCell ref="G8:G9"/>
    <mergeCell ref="H8:H9"/>
    <mergeCell ref="I8:I9"/>
    <mergeCell ref="F10:F11"/>
    <mergeCell ref="G10:G11"/>
    <mergeCell ref="H10:H11"/>
    <mergeCell ref="I10:I11"/>
    <mergeCell ref="F12:F13"/>
    <mergeCell ref="C5:I5"/>
    <mergeCell ref="C6:C7"/>
    <mergeCell ref="D6:D7"/>
    <mergeCell ref="E6:E7"/>
    <mergeCell ref="F6:I6"/>
    <mergeCell ref="C34:F34"/>
    <mergeCell ref="C22:J22"/>
    <mergeCell ref="C23:C24"/>
    <mergeCell ref="D23:D24"/>
    <mergeCell ref="E23:E24"/>
    <mergeCell ref="F23:I23"/>
    <mergeCell ref="J23:J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</vt:lpstr>
      <vt:lpstr>Fixed Formulations</vt:lpstr>
      <vt:lpstr>draft</vt:lpstr>
      <vt:lpstr>Trails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2025-12-04T09:24:21Z</dcterms:created>
  <dcterms:modified xsi:type="dcterms:W3CDTF">2026-08-19T05:15:07Z</dcterms:modified>
</cp:coreProperties>
</file>