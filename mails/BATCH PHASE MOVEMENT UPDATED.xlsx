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6A52D343-FEAE-44C6-A2BA-50913201696B}" xr6:coauthVersionLast="47" xr6:coauthVersionMax="47" xr10:uidLastSave="{00000000-0000-0000-0000-000000000000}"/>
  <bookViews>
    <workbookView xWindow="-120" yWindow="-120" windowWidth="29040" windowHeight="15720" xr2:uid="{27C7AAC5-5D4E-4F95-9D0B-F4941F1711C0}"/>
  </bookViews>
  <sheets>
    <sheet name="Batch Phase Movement" sheetId="1" r:id="rId1"/>
  </sheets>
  <definedNames>
    <definedName name="_xlnm._FilterDatabase" localSheetId="0" hidden="1">'Batch Phase Movement'!$A$3:$BF$114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114" i="1" l="1"/>
  <c r="P130" i="1"/>
  <c r="P131" i="1"/>
  <c r="P132" i="1"/>
  <c r="P133" i="1"/>
  <c r="P134" i="1"/>
  <c r="P114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P129" i="1"/>
  <c r="T128" i="1"/>
  <c r="Q128" i="1"/>
  <c r="P128" i="1"/>
  <c r="T127" i="1"/>
  <c r="T126" i="1"/>
  <c r="Q126" i="1"/>
  <c r="P126" i="1"/>
  <c r="T125" i="1"/>
  <c r="Q125" i="1"/>
  <c r="P125" i="1"/>
  <c r="T124" i="1"/>
  <c r="Q124" i="1"/>
  <c r="P124" i="1"/>
  <c r="T123" i="1"/>
  <c r="Q123" i="1"/>
  <c r="P123" i="1"/>
  <c r="T122" i="1"/>
  <c r="Q122" i="1"/>
  <c r="P122" i="1"/>
  <c r="T121" i="1"/>
  <c r="Q121" i="1"/>
  <c r="P121" i="1"/>
  <c r="T120" i="1"/>
  <c r="Q120" i="1"/>
  <c r="P120" i="1"/>
  <c r="T119" i="1"/>
  <c r="Q119" i="1"/>
  <c r="P119" i="1"/>
  <c r="T117" i="1"/>
  <c r="Q117" i="1"/>
  <c r="P117" i="1"/>
  <c r="T116" i="1"/>
  <c r="Q116" i="1"/>
  <c r="P116" i="1"/>
  <c r="T115" i="1"/>
  <c r="Q115" i="1"/>
  <c r="P115" i="1"/>
  <c r="T113" i="1"/>
  <c r="Q113" i="1"/>
  <c r="P113" i="1"/>
  <c r="T114" i="1"/>
  <c r="T112" i="1"/>
  <c r="Q112" i="1"/>
  <c r="P112" i="1"/>
  <c r="T111" i="1"/>
  <c r="Q111" i="1"/>
  <c r="P111" i="1"/>
  <c r="T110" i="1"/>
  <c r="Q110" i="1"/>
  <c r="P110" i="1"/>
  <c r="T109" i="1"/>
  <c r="Q109" i="1"/>
  <c r="P109" i="1"/>
  <c r="T108" i="1"/>
  <c r="Q108" i="1"/>
  <c r="P108" i="1"/>
  <c r="T107" i="1"/>
  <c r="Q107" i="1"/>
  <c r="P107" i="1"/>
  <c r="T106" i="1"/>
  <c r="Q106" i="1"/>
  <c r="P106" i="1"/>
  <c r="T105" i="1"/>
  <c r="Q105" i="1"/>
  <c r="P105" i="1"/>
  <c r="T104" i="1"/>
  <c r="Q104" i="1"/>
  <c r="P104" i="1"/>
  <c r="T103" i="1"/>
  <c r="Q103" i="1"/>
  <c r="P103" i="1"/>
  <c r="T102" i="1"/>
  <c r="Q102" i="1"/>
  <c r="P102" i="1"/>
  <c r="T101" i="1"/>
  <c r="Q101" i="1"/>
  <c r="P101" i="1"/>
  <c r="T100" i="1"/>
  <c r="Q100" i="1"/>
  <c r="P100" i="1"/>
  <c r="T99" i="1"/>
  <c r="Q99" i="1"/>
  <c r="P99" i="1"/>
  <c r="T98" i="1"/>
  <c r="Q98" i="1"/>
  <c r="P98" i="1"/>
  <c r="T97" i="1"/>
  <c r="Q97" i="1"/>
  <c r="P97" i="1"/>
  <c r="T96" i="1"/>
  <c r="Q96" i="1"/>
  <c r="P96" i="1"/>
  <c r="T95" i="1"/>
  <c r="Q95" i="1"/>
  <c r="P95" i="1"/>
  <c r="T94" i="1"/>
  <c r="Q94" i="1"/>
  <c r="P94" i="1"/>
  <c r="B94" i="1" a="1"/>
  <c r="B94" i="1" s="1"/>
  <c r="B97" i="1" s="1" a="1"/>
  <c r="B97" i="1" s="1"/>
  <c r="B100" i="1" s="1" a="1"/>
  <c r="B100" i="1" s="1"/>
  <c r="B103" i="1" s="1" a="1"/>
  <c r="B103" i="1" s="1"/>
  <c r="B106" i="1" s="1" a="1"/>
  <c r="B106" i="1" s="1"/>
  <c r="B109" i="1" s="1" a="1"/>
  <c r="B109" i="1" s="1"/>
  <c r="B112" i="1" s="1" a="1"/>
  <c r="B112" i="1" s="1"/>
  <c r="T93" i="1"/>
  <c r="Q93" i="1"/>
  <c r="P93" i="1"/>
  <c r="T92" i="1"/>
  <c r="Q92" i="1"/>
  <c r="P92" i="1"/>
  <c r="T91" i="1"/>
  <c r="Q91" i="1"/>
  <c r="P91" i="1"/>
  <c r="T90" i="1"/>
  <c r="Q90" i="1"/>
  <c r="P90" i="1"/>
  <c r="T89" i="1"/>
  <c r="T88" i="1"/>
  <c r="Q88" i="1"/>
  <c r="T87" i="1"/>
  <c r="T86" i="1"/>
  <c r="Q86" i="1"/>
  <c r="T85" i="1"/>
  <c r="T84" i="1"/>
  <c r="P84" i="1"/>
  <c r="T83" i="1"/>
  <c r="P83" i="1"/>
  <c r="T82" i="1"/>
  <c r="Q82" i="1"/>
  <c r="P82" i="1"/>
  <c r="T81" i="1"/>
  <c r="Q81" i="1"/>
  <c r="P81" i="1"/>
  <c r="T80" i="1"/>
  <c r="Q80" i="1"/>
  <c r="P80" i="1"/>
  <c r="T79" i="1"/>
  <c r="Q79" i="1"/>
  <c r="P79" i="1"/>
  <c r="T78" i="1"/>
  <c r="Q78" i="1"/>
  <c r="P78" i="1"/>
  <c r="T76" i="1"/>
  <c r="Q76" i="1"/>
  <c r="P76" i="1"/>
  <c r="T75" i="1"/>
  <c r="Q75" i="1"/>
  <c r="P75" i="1"/>
  <c r="T74" i="1"/>
  <c r="Q74" i="1"/>
  <c r="P74" i="1"/>
  <c r="T73" i="1"/>
  <c r="Q73" i="1"/>
  <c r="P73" i="1"/>
  <c r="T72" i="1"/>
  <c r="Q72" i="1"/>
  <c r="P72" i="1"/>
  <c r="T71" i="1"/>
  <c r="Q71" i="1"/>
  <c r="P71" i="1"/>
  <c r="T70" i="1"/>
  <c r="Q70" i="1"/>
  <c r="P70" i="1"/>
  <c r="T69" i="1"/>
  <c r="Q69" i="1"/>
  <c r="P69" i="1"/>
  <c r="T68" i="1"/>
  <c r="Q68" i="1"/>
  <c r="P68" i="1"/>
  <c r="T67" i="1"/>
  <c r="Q67" i="1"/>
  <c r="P67" i="1"/>
  <c r="T66" i="1"/>
  <c r="Q66" i="1"/>
  <c r="P66" i="1"/>
  <c r="T65" i="1"/>
  <c r="Q65" i="1"/>
  <c r="P65" i="1"/>
  <c r="T64" i="1"/>
  <c r="Q64" i="1"/>
  <c r="P64" i="1"/>
  <c r="T63" i="1"/>
  <c r="Q63" i="1"/>
  <c r="P63" i="1"/>
  <c r="T62" i="1"/>
  <c r="Q62" i="1"/>
  <c r="P62" i="1"/>
  <c r="T60" i="1"/>
  <c r="Q60" i="1"/>
  <c r="P60" i="1"/>
  <c r="T58" i="1"/>
  <c r="Q58" i="1"/>
  <c r="P58" i="1"/>
  <c r="T56" i="1"/>
  <c r="Q56" i="1"/>
  <c r="P56" i="1"/>
  <c r="T55" i="1"/>
  <c r="Q55" i="1"/>
  <c r="P55" i="1"/>
  <c r="T54" i="1"/>
  <c r="Q54" i="1"/>
  <c r="P54" i="1"/>
  <c r="T53" i="1"/>
  <c r="Q53" i="1"/>
  <c r="P53" i="1"/>
  <c r="T52" i="1"/>
  <c r="Q52" i="1"/>
  <c r="P52" i="1"/>
  <c r="T51" i="1"/>
  <c r="Q51" i="1"/>
  <c r="P51" i="1"/>
  <c r="T50" i="1"/>
  <c r="Q50" i="1"/>
  <c r="P50" i="1"/>
  <c r="T49" i="1"/>
  <c r="Q49" i="1"/>
  <c r="P49" i="1"/>
  <c r="T48" i="1"/>
  <c r="T47" i="1"/>
  <c r="Q47" i="1"/>
  <c r="P47" i="1"/>
  <c r="T46" i="1"/>
  <c r="Q46" i="1"/>
  <c r="P46" i="1"/>
  <c r="T45" i="1"/>
  <c r="T44" i="1"/>
  <c r="Q44" i="1"/>
  <c r="P44" i="1"/>
  <c r="T43" i="1"/>
  <c r="Q43" i="1"/>
  <c r="P43" i="1"/>
  <c r="T42" i="1"/>
  <c r="T41" i="1"/>
  <c r="Q41" i="1"/>
  <c r="P41" i="1"/>
  <c r="T40" i="1"/>
  <c r="T39" i="1"/>
  <c r="Q39" i="1"/>
  <c r="P39" i="1"/>
  <c r="T38" i="1"/>
  <c r="Q38" i="1"/>
  <c r="P38" i="1"/>
  <c r="T37" i="1"/>
  <c r="Q37" i="1"/>
  <c r="P37" i="1"/>
  <c r="T36" i="1"/>
  <c r="Q36" i="1"/>
  <c r="P36" i="1"/>
  <c r="T35" i="1"/>
  <c r="Q35" i="1"/>
  <c r="P35" i="1"/>
  <c r="T34" i="1"/>
  <c r="Q34" i="1"/>
  <c r="P34" i="1"/>
  <c r="T33" i="1"/>
  <c r="Q33" i="1"/>
  <c r="P33" i="1"/>
  <c r="T32" i="1"/>
  <c r="Q32" i="1"/>
  <c r="P32" i="1"/>
  <c r="T31" i="1"/>
  <c r="Q31" i="1"/>
  <c r="P31" i="1"/>
  <c r="T30" i="1"/>
  <c r="Q30" i="1"/>
  <c r="P30" i="1"/>
  <c r="T29" i="1"/>
  <c r="Q29" i="1"/>
  <c r="P29" i="1"/>
  <c r="T28" i="1"/>
  <c r="Q28" i="1"/>
  <c r="P28" i="1"/>
  <c r="T27" i="1"/>
  <c r="Q27" i="1"/>
  <c r="P27" i="1"/>
  <c r="T26" i="1"/>
  <c r="Q26" i="1"/>
  <c r="P26" i="1"/>
  <c r="T25" i="1"/>
  <c r="Q25" i="1"/>
  <c r="P25" i="1"/>
  <c r="T24" i="1"/>
  <c r="Q24" i="1"/>
  <c r="P24" i="1"/>
  <c r="T23" i="1"/>
  <c r="Q23" i="1"/>
  <c r="P23" i="1"/>
  <c r="T22" i="1"/>
  <c r="Q22" i="1"/>
  <c r="P22" i="1"/>
  <c r="T21" i="1"/>
  <c r="Q21" i="1"/>
  <c r="P21" i="1"/>
  <c r="T20" i="1"/>
  <c r="Q20" i="1"/>
  <c r="P20" i="1"/>
  <c r="T19" i="1"/>
  <c r="Q19" i="1"/>
  <c r="P19" i="1"/>
  <c r="T18" i="1"/>
  <c r="Q18" i="1"/>
  <c r="P18" i="1"/>
  <c r="T17" i="1"/>
  <c r="Q17" i="1"/>
  <c r="P17" i="1"/>
  <c r="T16" i="1"/>
  <c r="Q16" i="1"/>
  <c r="P16" i="1"/>
  <c r="T15" i="1"/>
  <c r="Q15" i="1"/>
  <c r="P15" i="1"/>
  <c r="T14" i="1"/>
  <c r="Q14" i="1"/>
  <c r="P14" i="1"/>
  <c r="T13" i="1"/>
  <c r="Q13" i="1"/>
  <c r="P13" i="1"/>
  <c r="T12" i="1"/>
  <c r="Q12" i="1"/>
  <c r="P12" i="1"/>
  <c r="T11" i="1"/>
  <c r="Q11" i="1"/>
  <c r="P11" i="1"/>
  <c r="T10" i="1"/>
  <c r="Q10" i="1"/>
  <c r="P10" i="1"/>
  <c r="T9" i="1"/>
  <c r="Q9" i="1"/>
  <c r="P9" i="1"/>
  <c r="B9" i="1" a="1"/>
  <c r="B9" i="1" s="1"/>
  <c r="B12" i="1" s="1" a="1"/>
  <c r="B12" i="1" s="1"/>
  <c r="B15" i="1" s="1" a="1"/>
  <c r="B15" i="1" s="1"/>
  <c r="B18" i="1" s="1" a="1"/>
  <c r="B18" i="1" s="1"/>
  <c r="B21" i="1" s="1" a="1"/>
  <c r="B21" i="1" s="1"/>
  <c r="B24" i="1" s="1" a="1"/>
  <c r="B24" i="1" s="1"/>
  <c r="B27" i="1" s="1" a="1"/>
  <c r="B27" i="1" s="1"/>
  <c r="B30" i="1" s="1" a="1"/>
  <c r="B30" i="1" s="1"/>
  <c r="B33" i="1" s="1" a="1"/>
  <c r="B33" i="1" s="1"/>
  <c r="B36" i="1" s="1" a="1"/>
  <c r="B36" i="1" s="1"/>
  <c r="B39" i="1" s="1" a="1"/>
  <c r="B39" i="1" s="1"/>
  <c r="B44" i="1" s="1" a="1"/>
  <c r="B44" i="1" s="1"/>
  <c r="B48" i="1" s="1" a="1"/>
  <c r="B48" i="1" s="1"/>
  <c r="B52" i="1" s="1" a="1"/>
  <c r="B52" i="1" s="1"/>
  <c r="T8" i="1"/>
  <c r="Q8" i="1"/>
  <c r="P8" i="1"/>
  <c r="T7" i="1"/>
  <c r="Q7" i="1"/>
  <c r="P7" i="1"/>
  <c r="T6" i="1"/>
  <c r="Q6" i="1"/>
  <c r="P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tc={E528FB85-B1D8-40E1-A263-BF56E7F05FB6}</author>
    <author>tc={99D1C766-7E36-4D98-9F47-B1B3F3323E57}</author>
    <author>tc={68A5317B-5E3D-4421-8D47-F41686700018}</author>
    <author>tc={FA297FF5-3E26-4FAB-842F-A005F60FCCA7}</author>
    <author>tc={94720E27-ABC6-407E-89C1-EB888F765C69}</author>
  </authors>
  <commentList>
    <comment ref="A39" authorId="0" shapeId="0" xr:uid="{E528FB85-B1D8-40E1-A263-BF56E7F05FB6}">
      <text>
        <t>[Threaded comment]
Your version of Excel allows you to read this threaded comment; however, any edits to it will get removed if the file is opened in a newer version of Excel. Learn more: https://go.microsoft.com/fwlink/?linkid=870924
Comment:
TUNNEL LOADING IS ONE TO ONE (B TO T) FROM THIS BATCH</t>
      </text>
    </comment>
    <comment ref="C55" authorId="1" shapeId="0" xr:uid="{99D1C766-7E36-4D98-9F47-B1B3F3323E57}">
      <text>
        <t>[Threaded comment]
Your version of Excel allows you to read this threaded comment; however, any edits to it will get removed if the file is opened in a newer version of Excel. Learn more: https://go.microsoft.com/fwlink/?linkid=870924
Comment:
    INDIVIDUAL BUNKER SAMPLES FOR REPORTS START</t>
      </text>
    </comment>
    <comment ref="M82" authorId="2" shapeId="0" xr:uid="{68A5317B-5E3D-4421-8D47-F41686700018}">
      <text>
        <t>[Threaded comment]
Your version of Excel allows you to read this threaded comment; however, any edits to it will get removed if the file is opened in a newer version of Excel. Learn more: https://go.microsoft.com/fwlink/?linkid=870924
Comment:
    LEFT OVER FROM BUNKER 8 AND 9</t>
      </text>
    </comment>
    <comment ref="P82" authorId="3" shapeId="0" xr:uid="{FA297FF5-3E26-4FAB-842F-A005F60FCCA7}">
      <text>
        <t>[Threaded comment]
Your version of Excel allows you to read this threaded comment; however, any edits to it will get removed if the file is opened in a newer version of Excel. Learn more: https://go.microsoft.com/fwlink/?linkid=870924
Comment:
    LEFT OVER FROM BUNKER 8 AND 9</t>
      </text>
    </comment>
    <comment ref="D84" authorId="4" shapeId="0" xr:uid="{94720E27-ABC6-407E-89C1-EB888F765C6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SUFFICIENT MATERIAL ON;Y FOR 2 BUNKERS 
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<sst xmlns="http://schemas.openxmlformats.org/spreadsheetml/2006/main" count="89" uniqueCount="74">
  <si>
    <t>FRESH BOWL HORTICULTURE PRIVATE LIMITED</t>
  </si>
  <si>
    <t>Sr. No.</t>
  </si>
  <si>
    <t>M Batch no</t>
  </si>
  <si>
    <t>I Batch no</t>
  </si>
  <si>
    <t>Bunker Filling</t>
  </si>
  <si>
    <t>Bunker Reload-1</t>
  </si>
  <si>
    <t>Bunker Reload-2</t>
  </si>
  <si>
    <t>Tunnel Loading</t>
  </si>
  <si>
    <t xml:space="preserve">TUNNEL OUT </t>
  </si>
  <si>
    <t>HARVET ESTIMATE DATE</t>
  </si>
  <si>
    <t>Bunker No.</t>
  </si>
  <si>
    <t>Date</t>
  </si>
  <si>
    <t>Timing</t>
  </si>
  <si>
    <t>Tunnel No</t>
  </si>
  <si>
    <t>EST Date</t>
  </si>
  <si>
    <t>ACTUAL DATE</t>
  </si>
  <si>
    <t>TIME</t>
  </si>
  <si>
    <t>1,2,3</t>
  </si>
  <si>
    <t>4,5,6</t>
  </si>
  <si>
    <t>7,8,9</t>
  </si>
  <si>
    <t>10,11,12</t>
  </si>
  <si>
    <t>8: PM</t>
  </si>
  <si>
    <t>13,14,15</t>
  </si>
  <si>
    <t>16,17,18</t>
  </si>
  <si>
    <t>19,20,21</t>
  </si>
  <si>
    <t>22,23,24</t>
  </si>
  <si>
    <t>25,26,27</t>
  </si>
  <si>
    <t>28,29,30</t>
  </si>
  <si>
    <t>2:40PM</t>
  </si>
  <si>
    <t>31,32,33</t>
  </si>
  <si>
    <t>34,35,36</t>
  </si>
  <si>
    <t>37,38,39</t>
  </si>
  <si>
    <t>4.06 PM</t>
  </si>
  <si>
    <t>40,41,42</t>
  </si>
  <si>
    <t>46,47,48</t>
  </si>
  <si>
    <t>3:00PM</t>
  </si>
  <si>
    <t>4:00am</t>
  </si>
  <si>
    <t>49,50,51</t>
  </si>
  <si>
    <t>52,53,54</t>
  </si>
  <si>
    <t>55,56,57</t>
  </si>
  <si>
    <t>58,59,60</t>
  </si>
  <si>
    <t>61,62,63</t>
  </si>
  <si>
    <t>8:Am</t>
  </si>
  <si>
    <t>64,65,66</t>
  </si>
  <si>
    <t>67,68,69</t>
  </si>
  <si>
    <t>11:25AM</t>
  </si>
  <si>
    <t>6:00AM</t>
  </si>
  <si>
    <t>70,71,72</t>
  </si>
  <si>
    <t>4:00PM</t>
  </si>
  <si>
    <t>73,74,75</t>
  </si>
  <si>
    <t>5:10AM</t>
  </si>
  <si>
    <t>8:15AM</t>
  </si>
  <si>
    <t>12:00AM</t>
  </si>
  <si>
    <t>9:00AM</t>
  </si>
  <si>
    <t>12:30PM</t>
  </si>
  <si>
    <t>8:30AM</t>
  </si>
  <si>
    <t>8:40PM</t>
  </si>
  <si>
    <t>6:00PM</t>
  </si>
  <si>
    <t>11:00PM</t>
  </si>
  <si>
    <t>10:00AM</t>
  </si>
  <si>
    <t>12:50PM</t>
  </si>
  <si>
    <t>9:30AM</t>
  </si>
  <si>
    <t>97,98,99</t>
  </si>
  <si>
    <t>5:40PM</t>
  </si>
  <si>
    <t>1:50AM</t>
  </si>
  <si>
    <t>8:00AM</t>
  </si>
  <si>
    <t>6:10PM</t>
  </si>
  <si>
    <t>11:30PM</t>
  </si>
  <si>
    <t>6:30PM</t>
  </si>
  <si>
    <t>8:10AM</t>
  </si>
  <si>
    <t>6:20AM</t>
  </si>
  <si>
    <t>6:15AM</t>
  </si>
  <si>
    <t>11:40PM</t>
  </si>
  <si>
    <t>8:00PM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</si>
</sst>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h:mm\ AM/PM;@"/>
    <numFmt numFmtId="165" formatCode="[$-409]d\-mmm\-yy;@"/>
  </numFmts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b/>
      <sz val="22"/>
      <color theme="1"/>
      <name val="Times New Roman"/>
      <family val="1"/>
    </font>
    <font>
      <i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0000"/>
      <name val="Carlito"/>
    </font>
    <font>
      <b/>
      <sz val="12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rgb="FF7F7F7F"/>
      </top>
      <bottom style="thin">
        <color rgb="FFBFBFBF"/>
      </bottom>
      <diagonal/>
    </border>
    <border>
      <left/>
      <right/>
      <top style="thin">
        <color rgb="FF7F7F7F"/>
      </top>
      <bottom style="thin">
        <color rgb="FFBFBFBF"/>
      </bottom>
      <diagonal/>
    </border>
    <border>
      <left/>
      <right style="medium">
        <color indexed="64"/>
      </right>
      <top style="thin">
        <color rgb="FF7F7F7F"/>
      </top>
      <bottom style="thin">
        <color rgb="FFBFBFBF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164" fontId="2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165" fontId="6" fillId="2" borderId="0" xfId="0" applyNumberFormat="1" applyFont="1" applyFill="1" applyAlignment="1">
      <alignment horizontal="center" vertical="center"/>
    </xf>
    <xf numFmtId="164" fontId="6" fillId="2" borderId="6" xfId="0" applyNumberFormat="1" applyFont="1" applyFill="1" applyBorder="1" applyAlignment="1">
      <alignment horizontal="center" vertical="center"/>
    </xf>
    <xf numFmtId="0" fontId="6" fillId="2" borderId="7" xfId="0" applyFont="1" applyFill="1" applyBorder="1" applyAlignment="1">
      <alignment vertical="center"/>
    </xf>
    <xf numFmtId="165" fontId="6" fillId="2" borderId="0" xfId="0" applyNumberFormat="1" applyFont="1" applyFill="1" applyAlignment="1">
      <alignment vertical="center"/>
    </xf>
    <xf numFmtId="164" fontId="6" fillId="2" borderId="6" xfId="0" applyNumberFormat="1" applyFont="1" applyFill="1" applyBorder="1" applyAlignment="1">
      <alignment vertical="center"/>
    </xf>
    <xf numFmtId="0" fontId="6" fillId="2" borderId="0" xfId="0" applyFont="1" applyFill="1" applyAlignment="1">
      <alignment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65" fontId="6" fillId="0" borderId="4" xfId="0" applyNumberFormat="1" applyFont="1" applyBorder="1" applyAlignment="1">
      <alignment horizontal="center" vertical="center"/>
    </xf>
    <xf numFmtId="164" fontId="6" fillId="0" borderId="2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65" fontId="5" fillId="0" borderId="3" xfId="0" applyNumberFormat="1" applyFont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vertical="center"/>
    </xf>
    <xf numFmtId="0" fontId="6" fillId="0" borderId="5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164" fontId="6" fillId="0" borderId="6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5" fontId="5" fillId="0" borderId="7" xfId="0" applyNumberFormat="1" applyFont="1" applyBorder="1" applyAlignment="1">
      <alignment horizontal="center" vertical="center"/>
    </xf>
    <xf numFmtId="0" fontId="6" fillId="4" borderId="12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165" fontId="6" fillId="0" borderId="14" xfId="0" applyNumberFormat="1" applyFont="1" applyBorder="1" applyAlignment="1">
      <alignment horizontal="center" vertical="center"/>
    </xf>
    <xf numFmtId="164" fontId="6" fillId="0" borderId="11" xfId="0" applyNumberFormat="1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165" fontId="5" fillId="0" borderId="13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165" fontId="8" fillId="0" borderId="0" xfId="0" applyNumberFormat="1" applyFont="1" applyAlignment="1">
      <alignment horizontal="center" vertical="center"/>
    </xf>
    <xf numFmtId="164" fontId="8" fillId="0" borderId="6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165" fontId="8" fillId="0" borderId="14" xfId="0" applyNumberFormat="1" applyFont="1" applyBorder="1" applyAlignment="1">
      <alignment horizontal="center" vertical="center"/>
    </xf>
    <xf numFmtId="164" fontId="8" fillId="0" borderId="11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165" fontId="8" fillId="0" borderId="4" xfId="0" applyNumberFormat="1" applyFont="1" applyBorder="1" applyAlignment="1">
      <alignment horizontal="center" vertical="center"/>
    </xf>
    <xf numFmtId="164" fontId="8" fillId="0" borderId="2" xfId="0" applyNumberFormat="1" applyFont="1" applyBorder="1" applyAlignment="1">
      <alignment horizontal="center" vertical="center"/>
    </xf>
    <xf numFmtId="15" fontId="6" fillId="0" borderId="4" xfId="0" applyNumberFormat="1" applyFont="1" applyBorder="1" applyAlignment="1">
      <alignment horizontal="center" vertical="center"/>
    </xf>
    <xf numFmtId="15" fontId="6" fillId="0" borderId="0" xfId="0" applyNumberFormat="1" applyFont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15" fontId="6" fillId="0" borderId="14" xfId="0" applyNumberFormat="1" applyFont="1" applyBorder="1" applyAlignment="1">
      <alignment horizontal="center" vertical="center"/>
    </xf>
    <xf numFmtId="18" fontId="8" fillId="0" borderId="1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8" fontId="6" fillId="0" borderId="11" xfId="0" applyNumberFormat="1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15" fontId="8" fillId="0" borderId="14" xfId="0" applyNumberFormat="1" applyFont="1" applyBorder="1" applyAlignment="1">
      <alignment horizontal="center" vertical="center"/>
    </xf>
    <xf numFmtId="3" fontId="6" fillId="4" borderId="2" xfId="0" applyNumberFormat="1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3" fontId="6" fillId="0" borderId="2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3" fontId="6" fillId="0" borderId="6" xfId="0" applyNumberFormat="1" applyFont="1" applyBorder="1" applyAlignment="1">
      <alignment horizontal="center" vertical="center"/>
    </xf>
    <xf numFmtId="165" fontId="6" fillId="0" borderId="15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harishma myneni" id="{C69B2770-7441-4E4C-BAA6-C508E07C3EDA}" userId="bed76616ec59d11a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39" dT="2026-06-10T06:34:46.60" personId="{C69B2770-7441-4E4C-BAA6-C508E07C3EDA}" id="{E528FB85-B1D8-40E1-A263-BF56E7F05FB6}">
    <text xml:space="preserve">
TUNNEL LOADING IS ONE TO ONE (B TO T) FROM THIS BATCH</text>
  </threadedComment>
  <threadedComment ref="C55" dT="2026-06-10T06:35:56.06" personId="{C69B2770-7441-4E4C-BAA6-C508E07C3EDA}" id="{99D1C766-7E36-4D98-9F47-B1B3F3323E57}">
    <text>INDIVIDUAL BUNKER SAMPLES FOR REPORTS START</text>
  </threadedComment>
  <threadedComment ref="M82" dT="2026-06-27T15:32:56.39" personId="{C69B2770-7441-4E4C-BAA6-C508E07C3EDA}" id="{68A5317B-5E3D-4421-8D47-F41686700018}">
    <text>LEFT OVER FROM BUNKER 8 AND 9</text>
  </threadedComment>
  <threadedComment ref="P82" dT="2026-06-27T15:32:56.39" personId="{C69B2770-7441-4E4C-BAA6-C508E07C3EDA}" id="{FA297FF5-3E26-4FAB-842F-A005F60FCCA7}">
    <text>LEFT OVER FROM BUNKER 8 AND 9</text>
  </threadedComment>
  <threadedComment ref="D84" dT="2026-06-29T07:59:30.71" personId="{C69B2770-7441-4E4C-BAA6-C508E07C3EDA}" id="{94720E27-ABC6-407E-89C1-EB888F765C69}">
    <text xml:space="preserve">SUFFICIENT MATERIAL ON;Y FOR 2 BUNKERS 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C8A2E-E967-4CE6-8315-4782E8023F8C}">
  <dimension ref="A1:T144"/>
  <sheetViews>
    <sheetView tabSelected="1" zoomScaleNormal="100" workbookViewId="0">
      <pane xSplit="3" ySplit="5" topLeftCell="D114" activePane="bottomRight" state="frozen"/>
      <selection pane="topRight" activeCell="D1" sqref="D1"/>
      <selection pane="bottomLeft" activeCell="A6" sqref="A6"/>
      <selection pane="bottomRight" activeCell="R129" sqref="R129"/>
    </sheetView>
  </sheetViews>
  <sheetFormatPr defaultColWidth="15.140625" defaultRowHeight="18.75"/>
  <cols>
    <col min="1" max="1" width="10.5703125" style="73" customWidth="1"/>
    <col min="2" max="2" width="13" style="47" customWidth="1"/>
    <col min="3" max="3" width="10.5703125" style="30" customWidth="1"/>
    <col min="4" max="4" width="10.5703125" style="31" customWidth="1"/>
    <col min="5" max="5" width="10.5703125" style="32" customWidth="1"/>
    <col min="6" max="6" width="12.140625" style="33" customWidth="1"/>
    <col min="7" max="7" width="10.5703125" style="31" customWidth="1"/>
    <col min="8" max="8" width="10.5703125" style="32" customWidth="1"/>
    <col min="9" max="9" width="10.5703125" style="33" customWidth="1"/>
    <col min="10" max="10" width="10.5703125" style="31" hidden="1" customWidth="1"/>
    <col min="11" max="11" width="10.5703125" style="32" hidden="1" customWidth="1"/>
    <col min="12" max="12" width="10.5703125" style="33" hidden="1" customWidth="1"/>
    <col min="13" max="13" width="10.5703125" style="31" customWidth="1"/>
    <col min="14" max="14" width="10.5703125" style="32" customWidth="1"/>
    <col min="15" max="15" width="10.5703125" style="33" customWidth="1"/>
    <col min="16" max="17" width="10.5703125" style="34" customWidth="1"/>
    <col min="18" max="18" width="10.5703125" style="32" customWidth="1"/>
    <col min="19" max="19" width="10.5703125" style="33" customWidth="1"/>
    <col min="20" max="20" width="30" style="69" customWidth="1"/>
    <col min="21" max="16384" width="15.140625" style="12"/>
  </cols>
  <sheetData>
    <row r="1" spans="1:20" s="7" customFormat="1" ht="27">
      <c r="A1" s="1" t="s">
        <v>0</v>
      </c>
      <c r="B1" s="2"/>
      <c r="C1" s="1"/>
      <c r="D1" s="3"/>
      <c r="E1" s="4"/>
      <c r="F1" s="5"/>
      <c r="G1" s="3"/>
      <c r="H1" s="4"/>
      <c r="I1" s="2"/>
      <c r="J1" s="3"/>
      <c r="K1" s="4"/>
      <c r="L1" s="2"/>
      <c r="M1" s="3"/>
      <c r="N1" s="4"/>
      <c r="O1" s="2"/>
      <c r="P1" s="4"/>
      <c r="Q1" s="4"/>
      <c r="R1" s="4"/>
      <c r="S1" s="2"/>
      <c r="T1" s="6"/>
    </row>
    <row r="2" spans="1:20">
      <c r="A2" s="8">
        <v>1</v>
      </c>
      <c r="B2" s="9">
        <v>2</v>
      </c>
      <c r="C2" s="8">
        <v>3</v>
      </c>
      <c r="D2" s="10">
        <v>4</v>
      </c>
      <c r="E2" s="10">
        <v>5</v>
      </c>
      <c r="F2" s="8">
        <v>6</v>
      </c>
      <c r="G2" s="10">
        <v>7</v>
      </c>
      <c r="H2" s="10">
        <v>8</v>
      </c>
      <c r="I2" s="8">
        <v>9</v>
      </c>
      <c r="J2" s="10">
        <v>10</v>
      </c>
      <c r="K2" s="10">
        <v>11</v>
      </c>
      <c r="L2" s="8">
        <v>12</v>
      </c>
      <c r="M2" s="10">
        <v>13</v>
      </c>
      <c r="N2" s="10">
        <v>14</v>
      </c>
      <c r="O2" s="8">
        <v>15</v>
      </c>
      <c r="P2" s="11">
        <v>16</v>
      </c>
      <c r="Q2" s="10">
        <v>17</v>
      </c>
      <c r="R2" s="10">
        <v>18</v>
      </c>
      <c r="S2" s="8">
        <v>19</v>
      </c>
      <c r="T2" s="10"/>
    </row>
    <row r="3" spans="1:20" customFormat="1" ht="17.45" customHeight="1">
      <c r="A3" s="81" t="s">
        <v>1</v>
      </c>
      <c r="B3" s="79" t="s">
        <v>2</v>
      </c>
      <c r="C3" s="81" t="s">
        <v>3</v>
      </c>
      <c r="D3" s="74" t="s">
        <v>4</v>
      </c>
      <c r="E3" s="75"/>
      <c r="F3" s="76"/>
      <c r="G3" s="74" t="s">
        <v>5</v>
      </c>
      <c r="H3" s="75"/>
      <c r="I3" s="76"/>
      <c r="J3" s="74" t="s">
        <v>6</v>
      </c>
      <c r="K3" s="75"/>
      <c r="L3" s="76"/>
      <c r="M3" s="74" t="s">
        <v>7</v>
      </c>
      <c r="N3" s="75"/>
      <c r="O3" s="76"/>
      <c r="P3" s="77" t="s">
        <v>8</v>
      </c>
      <c r="Q3" s="78"/>
      <c r="R3" s="78"/>
      <c r="S3" s="79"/>
      <c r="T3" s="80" t="s">
        <v>9</v>
      </c>
    </row>
    <row r="4" spans="1:20" customFormat="1" ht="15.95" customHeight="1">
      <c r="A4" s="81"/>
      <c r="B4" s="79"/>
      <c r="C4" s="81"/>
      <c r="D4" s="13" t="s">
        <v>10</v>
      </c>
      <c r="E4" s="14" t="s">
        <v>11</v>
      </c>
      <c r="F4" s="15" t="s">
        <v>12</v>
      </c>
      <c r="G4" s="13" t="s">
        <v>10</v>
      </c>
      <c r="H4" s="14" t="s">
        <v>11</v>
      </c>
      <c r="I4" s="15" t="s">
        <v>12</v>
      </c>
      <c r="J4" s="16" t="s">
        <v>10</v>
      </c>
      <c r="K4" s="17" t="s">
        <v>11</v>
      </c>
      <c r="L4" s="18" t="s">
        <v>12</v>
      </c>
      <c r="M4" s="16" t="s">
        <v>13</v>
      </c>
      <c r="N4" s="17" t="s">
        <v>11</v>
      </c>
      <c r="O4" s="18" t="s">
        <v>12</v>
      </c>
      <c r="P4" s="19" t="s">
        <v>13</v>
      </c>
      <c r="Q4" s="19" t="s">
        <v>14</v>
      </c>
      <c r="R4" s="17" t="s">
        <v>15</v>
      </c>
      <c r="S4" s="18" t="s">
        <v>16</v>
      </c>
      <c r="T4" s="80"/>
    </row>
    <row r="5" spans="1:20" ht="19.5" thickBot="1">
      <c r="A5" s="81"/>
      <c r="B5" s="82"/>
      <c r="C5" s="83"/>
      <c r="D5" s="13"/>
      <c r="E5" s="14"/>
      <c r="F5" s="15"/>
      <c r="G5" s="13"/>
      <c r="H5" s="14"/>
      <c r="I5" s="15"/>
      <c r="J5" s="16"/>
      <c r="K5" s="17"/>
      <c r="L5" s="18"/>
      <c r="M5" s="16"/>
      <c r="N5" s="17"/>
      <c r="O5" s="18"/>
      <c r="P5" s="19"/>
      <c r="Q5" s="19"/>
      <c r="R5" s="17"/>
      <c r="S5" s="18"/>
      <c r="T5" s="80"/>
    </row>
    <row r="6" spans="1:20">
      <c r="A6" s="20">
        <v>1</v>
      </c>
      <c r="B6" s="21" t="s">
        <v>17</v>
      </c>
      <c r="C6" s="22" t="s">
        <v>17</v>
      </c>
      <c r="D6" s="23">
        <v>2</v>
      </c>
      <c r="E6" s="24">
        <v>46128</v>
      </c>
      <c r="F6" s="25">
        <v>0.33333333333333331</v>
      </c>
      <c r="G6" s="23">
        <v>5</v>
      </c>
      <c r="H6" s="24">
        <v>46130</v>
      </c>
      <c r="I6" s="25">
        <v>0</v>
      </c>
      <c r="J6" s="23">
        <v>8</v>
      </c>
      <c r="K6" s="24">
        <v>46132</v>
      </c>
      <c r="L6" s="25">
        <v>0</v>
      </c>
      <c r="M6" s="23">
        <v>6</v>
      </c>
      <c r="N6" s="24">
        <v>46133</v>
      </c>
      <c r="O6" s="25"/>
      <c r="P6" s="26">
        <f>M6</f>
        <v>6</v>
      </c>
      <c r="Q6" s="24">
        <f>N6+(150/24)</f>
        <v>46139.25</v>
      </c>
      <c r="R6" s="24">
        <v>46140</v>
      </c>
      <c r="S6" s="25"/>
      <c r="T6" s="27">
        <f>R6+51</f>
        <v>46191</v>
      </c>
    </row>
    <row r="7" spans="1:20">
      <c r="A7" s="28">
        <v>1</v>
      </c>
      <c r="B7" s="29"/>
      <c r="D7" s="31">
        <v>3</v>
      </c>
      <c r="E7" s="32">
        <v>46128</v>
      </c>
      <c r="F7" s="33">
        <v>0.45833333333333331</v>
      </c>
      <c r="G7" s="31">
        <v>6</v>
      </c>
      <c r="H7" s="32">
        <v>46130</v>
      </c>
      <c r="I7" s="33">
        <v>0.125</v>
      </c>
      <c r="J7" s="31">
        <v>9</v>
      </c>
      <c r="K7" s="32">
        <v>46132</v>
      </c>
      <c r="L7" s="33">
        <v>7.6388888888888895E-2</v>
      </c>
      <c r="M7" s="31">
        <v>7</v>
      </c>
      <c r="N7" s="32">
        <v>46133</v>
      </c>
      <c r="P7" s="34">
        <f t="shared" ref="P7:P39" si="0">M7</f>
        <v>7</v>
      </c>
      <c r="Q7" s="32">
        <f t="shared" ref="Q7:Q31" si="1">N7+(150/24)</f>
        <v>46139.25</v>
      </c>
      <c r="R7" s="32">
        <v>46141</v>
      </c>
      <c r="T7" s="35">
        <f t="shared" ref="T7:T70" si="2">R7+51</f>
        <v>46192</v>
      </c>
    </row>
    <row r="8" spans="1:20" ht="19.5" thickBot="1">
      <c r="A8" s="36">
        <v>1</v>
      </c>
      <c r="B8" s="37"/>
      <c r="C8" s="38"/>
      <c r="D8" s="39">
        <v>4</v>
      </c>
      <c r="E8" s="40">
        <v>46128</v>
      </c>
      <c r="F8" s="41">
        <v>0.625</v>
      </c>
      <c r="G8" s="39">
        <v>7</v>
      </c>
      <c r="H8" s="40">
        <v>46130</v>
      </c>
      <c r="I8" s="41">
        <v>0.20833333333333334</v>
      </c>
      <c r="J8" s="39">
        <v>10</v>
      </c>
      <c r="K8" s="40">
        <v>46132</v>
      </c>
      <c r="L8" s="41">
        <v>0.16666666666666666</v>
      </c>
      <c r="M8" s="39">
        <v>5</v>
      </c>
      <c r="N8" s="40">
        <v>46133</v>
      </c>
      <c r="O8" s="41"/>
      <c r="P8" s="42">
        <f t="shared" si="0"/>
        <v>5</v>
      </c>
      <c r="Q8" s="40">
        <f t="shared" si="1"/>
        <v>46139.25</v>
      </c>
      <c r="R8" s="40">
        <v>46142</v>
      </c>
      <c r="S8" s="41"/>
      <c r="T8" s="43">
        <f t="shared" si="2"/>
        <v>46193</v>
      </c>
    </row>
    <row r="9" spans="1:20">
      <c r="A9" s="20">
        <v>2</v>
      </c>
      <c r="B9" s="21" t="str" cm="1">
        <f t="array" ref="B9">_xlfn.TEXTJOIN(",",TRUE,VALUE(_xlfn.TEXTSPLIT(B6,","))+3)</f>
        <v>4,5,6</v>
      </c>
      <c r="C9" s="22" t="s">
        <v>18</v>
      </c>
      <c r="D9" s="23">
        <v>2</v>
      </c>
      <c r="E9" s="24">
        <v>46131</v>
      </c>
      <c r="F9" s="25">
        <v>3.125E-2</v>
      </c>
      <c r="G9" s="23">
        <v>5</v>
      </c>
      <c r="H9" s="24">
        <v>46133</v>
      </c>
      <c r="I9" s="25">
        <v>0.9375</v>
      </c>
      <c r="J9" s="23">
        <v>8</v>
      </c>
      <c r="K9" s="24">
        <v>46135</v>
      </c>
      <c r="L9" s="25">
        <v>4.1666666666666664E-2</v>
      </c>
      <c r="M9" s="23">
        <v>1</v>
      </c>
      <c r="N9" s="24">
        <v>46136</v>
      </c>
      <c r="O9" s="25"/>
      <c r="P9" s="26">
        <f t="shared" si="0"/>
        <v>1</v>
      </c>
      <c r="Q9" s="24">
        <f t="shared" si="1"/>
        <v>46142.25</v>
      </c>
      <c r="R9" s="24">
        <v>46143</v>
      </c>
      <c r="S9" s="25"/>
      <c r="T9" s="27">
        <f t="shared" si="2"/>
        <v>46194</v>
      </c>
    </row>
    <row r="10" spans="1:20">
      <c r="A10" s="28">
        <v>2</v>
      </c>
      <c r="B10" s="29"/>
      <c r="D10" s="31">
        <v>3</v>
      </c>
      <c r="E10" s="32">
        <v>46131</v>
      </c>
      <c r="F10" s="33">
        <v>0.14583333333333334</v>
      </c>
      <c r="G10" s="31">
        <v>6</v>
      </c>
      <c r="H10" s="32">
        <v>46134</v>
      </c>
      <c r="I10" s="33">
        <v>2.0833333333333332E-2</v>
      </c>
      <c r="J10" s="31">
        <v>9</v>
      </c>
      <c r="K10" s="32">
        <v>46135</v>
      </c>
      <c r="L10" s="33">
        <v>0.85416666666666663</v>
      </c>
      <c r="M10" s="31">
        <v>3</v>
      </c>
      <c r="N10" s="32">
        <v>46136</v>
      </c>
      <c r="P10" s="34">
        <f t="shared" si="0"/>
        <v>3</v>
      </c>
      <c r="Q10" s="32">
        <f t="shared" si="1"/>
        <v>46142.25</v>
      </c>
      <c r="R10" s="32">
        <v>46144</v>
      </c>
      <c r="T10" s="35">
        <f t="shared" si="2"/>
        <v>46195</v>
      </c>
    </row>
    <row r="11" spans="1:20" ht="19.5" thickBot="1">
      <c r="A11" s="36">
        <v>2</v>
      </c>
      <c r="B11" s="37"/>
      <c r="C11" s="38"/>
      <c r="D11" s="39">
        <v>4</v>
      </c>
      <c r="E11" s="40">
        <v>46131</v>
      </c>
      <c r="F11" s="41">
        <v>0.21527777777777779</v>
      </c>
      <c r="G11" s="39">
        <v>7</v>
      </c>
      <c r="H11" s="40">
        <v>46134</v>
      </c>
      <c r="I11" s="41">
        <v>0.14583333333333334</v>
      </c>
      <c r="J11" s="39">
        <v>10</v>
      </c>
      <c r="K11" s="40">
        <v>46135</v>
      </c>
      <c r="L11" s="41">
        <v>0.47916666666666669</v>
      </c>
      <c r="M11" s="39">
        <v>10</v>
      </c>
      <c r="N11" s="40">
        <v>46136</v>
      </c>
      <c r="O11" s="41"/>
      <c r="P11" s="42">
        <f t="shared" si="0"/>
        <v>10</v>
      </c>
      <c r="Q11" s="40">
        <f t="shared" si="1"/>
        <v>46142.25</v>
      </c>
      <c r="R11" s="40">
        <v>46143</v>
      </c>
      <c r="S11" s="41">
        <v>0.1875</v>
      </c>
      <c r="T11" s="43">
        <f t="shared" si="2"/>
        <v>46194</v>
      </c>
    </row>
    <row r="12" spans="1:20">
      <c r="A12" s="20">
        <v>3</v>
      </c>
      <c r="B12" s="21" t="str" cm="1">
        <f t="array" ref="B12">_xlfn.TEXTJOIN(",",TRUE,VALUE(_xlfn.TEXTSPLIT(B9,","))+3)</f>
        <v>7,8,9</v>
      </c>
      <c r="C12" s="22" t="s">
        <v>19</v>
      </c>
      <c r="D12" s="23">
        <v>2</v>
      </c>
      <c r="E12" s="24">
        <v>46134</v>
      </c>
      <c r="F12" s="25">
        <v>5.5555555555555552E-2</v>
      </c>
      <c r="G12" s="23">
        <v>5</v>
      </c>
      <c r="H12" s="24">
        <v>46135</v>
      </c>
      <c r="I12" s="25">
        <v>0.9243055555555556</v>
      </c>
      <c r="J12" s="23">
        <v>8</v>
      </c>
      <c r="K12" s="24">
        <v>46137</v>
      </c>
      <c r="L12" s="25">
        <v>0.64583333333333337</v>
      </c>
      <c r="M12" s="23">
        <v>11</v>
      </c>
      <c r="N12" s="24">
        <v>46139</v>
      </c>
      <c r="O12" s="25"/>
      <c r="P12" s="26">
        <f t="shared" si="0"/>
        <v>11</v>
      </c>
      <c r="Q12" s="24">
        <f t="shared" si="1"/>
        <v>46145.25</v>
      </c>
      <c r="R12" s="24">
        <v>46145</v>
      </c>
      <c r="S12" s="25"/>
      <c r="T12" s="27">
        <f t="shared" si="2"/>
        <v>46196</v>
      </c>
    </row>
    <row r="13" spans="1:20">
      <c r="A13" s="28">
        <v>3</v>
      </c>
      <c r="B13" s="29"/>
      <c r="D13" s="31">
        <v>3</v>
      </c>
      <c r="E13" s="32">
        <v>46134</v>
      </c>
      <c r="F13" s="33">
        <v>0.15625</v>
      </c>
      <c r="G13" s="31">
        <v>6</v>
      </c>
      <c r="H13" s="32">
        <v>46135</v>
      </c>
      <c r="I13" s="33">
        <v>2.0833333333333332E-2</v>
      </c>
      <c r="J13" s="31">
        <v>9</v>
      </c>
      <c r="K13" s="32">
        <v>46137</v>
      </c>
      <c r="L13" s="33">
        <v>0.72222222222222221</v>
      </c>
      <c r="M13" s="31">
        <v>12</v>
      </c>
      <c r="N13" s="32">
        <v>46139</v>
      </c>
      <c r="P13" s="34">
        <f t="shared" si="0"/>
        <v>12</v>
      </c>
      <c r="Q13" s="32">
        <f t="shared" si="1"/>
        <v>46145.25</v>
      </c>
      <c r="R13" s="32">
        <v>46146</v>
      </c>
      <c r="T13" s="35">
        <f t="shared" si="2"/>
        <v>46197</v>
      </c>
    </row>
    <row r="14" spans="1:20" ht="19.5" thickBot="1">
      <c r="A14" s="36">
        <v>3</v>
      </c>
      <c r="B14" s="37"/>
      <c r="C14" s="38"/>
      <c r="D14" s="39">
        <v>4</v>
      </c>
      <c r="E14" s="40">
        <v>46134</v>
      </c>
      <c r="F14" s="41">
        <v>0.45833333333333331</v>
      </c>
      <c r="G14" s="39">
        <v>7</v>
      </c>
      <c r="H14" s="40">
        <v>46135</v>
      </c>
      <c r="I14" s="41">
        <v>0.11458333333333333</v>
      </c>
      <c r="J14" s="39">
        <v>10</v>
      </c>
      <c r="K14" s="40">
        <v>46137</v>
      </c>
      <c r="L14" s="41">
        <v>0.47916666666666669</v>
      </c>
      <c r="M14" s="39">
        <v>2</v>
      </c>
      <c r="N14" s="40">
        <v>46139</v>
      </c>
      <c r="O14" s="41"/>
      <c r="P14" s="42">
        <f t="shared" si="0"/>
        <v>2</v>
      </c>
      <c r="Q14" s="40">
        <f t="shared" si="1"/>
        <v>46145.25</v>
      </c>
      <c r="R14" s="40">
        <v>46147</v>
      </c>
      <c r="S14" s="41"/>
      <c r="T14" s="43">
        <f t="shared" si="2"/>
        <v>46198</v>
      </c>
    </row>
    <row r="15" spans="1:20">
      <c r="A15" s="20">
        <v>4</v>
      </c>
      <c r="B15" s="21" t="str" cm="1">
        <f t="array" ref="B15">_xlfn.TEXTJOIN(",",TRUE,VALUE(_xlfn.TEXTSPLIT(B12,","))+3)</f>
        <v>10,11,12</v>
      </c>
      <c r="C15" s="22" t="s">
        <v>20</v>
      </c>
      <c r="D15" s="23">
        <v>2</v>
      </c>
      <c r="E15" s="24">
        <v>46138</v>
      </c>
      <c r="F15" s="25">
        <v>4.1666666666666664E-2</v>
      </c>
      <c r="G15" s="23">
        <v>5</v>
      </c>
      <c r="H15" s="24">
        <v>46140</v>
      </c>
      <c r="I15" s="25">
        <v>0.625</v>
      </c>
      <c r="J15" s="23">
        <v>8</v>
      </c>
      <c r="K15" s="24">
        <v>46142</v>
      </c>
      <c r="L15" s="25">
        <v>0.4375</v>
      </c>
      <c r="M15" s="23">
        <v>5</v>
      </c>
      <c r="N15" s="24">
        <v>46144</v>
      </c>
      <c r="O15" s="25">
        <v>0.73263888888888884</v>
      </c>
      <c r="P15" s="26">
        <f t="shared" si="0"/>
        <v>5</v>
      </c>
      <c r="Q15" s="24">
        <f t="shared" si="1"/>
        <v>46150.25</v>
      </c>
      <c r="R15" s="24">
        <v>46151</v>
      </c>
      <c r="S15" s="25"/>
      <c r="T15" s="27">
        <f t="shared" si="2"/>
        <v>46202</v>
      </c>
    </row>
    <row r="16" spans="1:20">
      <c r="A16" s="28">
        <v>4</v>
      </c>
      <c r="B16" s="29"/>
      <c r="D16" s="31">
        <v>3</v>
      </c>
      <c r="E16" s="32">
        <v>46138</v>
      </c>
      <c r="F16" s="33">
        <v>0.19444444444444445</v>
      </c>
      <c r="G16" s="31">
        <v>6</v>
      </c>
      <c r="H16" s="32">
        <v>46140</v>
      </c>
      <c r="I16" s="33">
        <v>0.69791666666666663</v>
      </c>
      <c r="J16" s="31">
        <v>9</v>
      </c>
      <c r="K16" s="32">
        <v>46142</v>
      </c>
      <c r="L16" s="33">
        <v>0.61805555555555558</v>
      </c>
      <c r="M16" s="31">
        <v>6</v>
      </c>
      <c r="N16" s="32">
        <v>46144</v>
      </c>
      <c r="O16" s="33" t="s">
        <v>21</v>
      </c>
      <c r="P16" s="34">
        <f t="shared" si="0"/>
        <v>6</v>
      </c>
      <c r="Q16" s="32">
        <f t="shared" si="1"/>
        <v>46150.25</v>
      </c>
      <c r="R16" s="32">
        <v>46152</v>
      </c>
      <c r="T16" s="35">
        <f t="shared" si="2"/>
        <v>46203</v>
      </c>
    </row>
    <row r="17" spans="1:20" ht="19.5" thickBot="1">
      <c r="A17" s="36">
        <v>4</v>
      </c>
      <c r="B17" s="37"/>
      <c r="C17" s="38"/>
      <c r="D17" s="39">
        <v>4</v>
      </c>
      <c r="E17" s="40">
        <v>46138</v>
      </c>
      <c r="F17" s="41">
        <v>0.40972222222222221</v>
      </c>
      <c r="G17" s="39">
        <v>7</v>
      </c>
      <c r="H17" s="40">
        <v>46140</v>
      </c>
      <c r="I17" s="41">
        <v>0.875</v>
      </c>
      <c r="J17" s="39">
        <v>10</v>
      </c>
      <c r="K17" s="40">
        <v>46142</v>
      </c>
      <c r="L17" s="41">
        <v>0.70833333333333337</v>
      </c>
      <c r="M17" s="39">
        <v>10</v>
      </c>
      <c r="N17" s="40">
        <v>46145</v>
      </c>
      <c r="O17" s="41">
        <v>0.1875</v>
      </c>
      <c r="P17" s="42">
        <f t="shared" si="0"/>
        <v>10</v>
      </c>
      <c r="Q17" s="40">
        <f t="shared" si="1"/>
        <v>46151.25</v>
      </c>
      <c r="R17" s="40">
        <v>46152</v>
      </c>
      <c r="S17" s="41"/>
      <c r="T17" s="43">
        <f t="shared" si="2"/>
        <v>46203</v>
      </c>
    </row>
    <row r="18" spans="1:20">
      <c r="A18" s="20">
        <v>5</v>
      </c>
      <c r="B18" s="21" t="str" cm="1">
        <f t="array" ref="B18">_xlfn.TEXTJOIN(",",TRUE,VALUE(_xlfn.TEXTSPLIT(B15,","))+3)</f>
        <v>13,14,15</v>
      </c>
      <c r="C18" s="22" t="s">
        <v>22</v>
      </c>
      <c r="D18" s="23">
        <v>2</v>
      </c>
      <c r="E18" s="24">
        <v>46141</v>
      </c>
      <c r="F18" s="25">
        <v>0.52083333333333337</v>
      </c>
      <c r="G18" s="23">
        <v>5</v>
      </c>
      <c r="H18" s="24">
        <v>46143</v>
      </c>
      <c r="I18" s="25">
        <v>0.4513888888888889</v>
      </c>
      <c r="J18" s="23">
        <v>8</v>
      </c>
      <c r="K18" s="24">
        <v>46145</v>
      </c>
      <c r="L18" s="25">
        <v>0.47916666666666669</v>
      </c>
      <c r="M18" s="23">
        <v>1</v>
      </c>
      <c r="N18" s="24">
        <v>46147</v>
      </c>
      <c r="O18" s="25">
        <v>0.99652777777777779</v>
      </c>
      <c r="P18" s="26">
        <f t="shared" si="0"/>
        <v>1</v>
      </c>
      <c r="Q18" s="24">
        <f t="shared" si="1"/>
        <v>46153.25</v>
      </c>
      <c r="R18" s="24">
        <v>46154</v>
      </c>
      <c r="S18" s="25"/>
      <c r="T18" s="27">
        <f t="shared" si="2"/>
        <v>46205</v>
      </c>
    </row>
    <row r="19" spans="1:20">
      <c r="A19" s="28">
        <v>5</v>
      </c>
      <c r="B19" s="29"/>
      <c r="D19" s="31">
        <v>3</v>
      </c>
      <c r="E19" s="32">
        <v>46141</v>
      </c>
      <c r="F19" s="33">
        <v>0.70833333333333337</v>
      </c>
      <c r="G19" s="31">
        <v>6</v>
      </c>
      <c r="H19" s="32">
        <v>46143</v>
      </c>
      <c r="I19" s="33">
        <v>0.59097222222222223</v>
      </c>
      <c r="J19" s="31">
        <v>9</v>
      </c>
      <c r="K19" s="32">
        <v>46145</v>
      </c>
      <c r="L19" s="33">
        <v>0.59722222222222221</v>
      </c>
      <c r="M19" s="31">
        <v>3</v>
      </c>
      <c r="N19" s="32">
        <v>46147</v>
      </c>
      <c r="O19" s="33">
        <v>0.69444444444444442</v>
      </c>
      <c r="P19" s="34">
        <f t="shared" si="0"/>
        <v>3</v>
      </c>
      <c r="Q19" s="32">
        <f t="shared" si="1"/>
        <v>46153.25</v>
      </c>
      <c r="R19" s="32">
        <v>46155</v>
      </c>
      <c r="T19" s="35">
        <f t="shared" si="2"/>
        <v>46206</v>
      </c>
    </row>
    <row r="20" spans="1:20" ht="19.5" thickBot="1">
      <c r="A20" s="36">
        <v>5</v>
      </c>
      <c r="B20" s="37"/>
      <c r="C20" s="38"/>
      <c r="D20" s="39">
        <v>4</v>
      </c>
      <c r="E20" s="40">
        <v>46141</v>
      </c>
      <c r="F20" s="41">
        <v>0.95138888888888884</v>
      </c>
      <c r="G20" s="39">
        <v>7</v>
      </c>
      <c r="H20" s="40">
        <v>46143</v>
      </c>
      <c r="I20" s="41"/>
      <c r="J20" s="39">
        <v>10</v>
      </c>
      <c r="K20" s="40">
        <v>46145</v>
      </c>
      <c r="L20" s="41">
        <v>0.67708333333333337</v>
      </c>
      <c r="M20" s="39">
        <v>11</v>
      </c>
      <c r="N20" s="40">
        <v>46147</v>
      </c>
      <c r="O20" s="41">
        <v>0.85069444444444442</v>
      </c>
      <c r="P20" s="42">
        <f t="shared" si="0"/>
        <v>11</v>
      </c>
      <c r="Q20" s="40">
        <f t="shared" si="1"/>
        <v>46153.25</v>
      </c>
      <c r="R20" s="40">
        <v>46154</v>
      </c>
      <c r="S20" s="41"/>
      <c r="T20" s="43">
        <f t="shared" si="2"/>
        <v>46205</v>
      </c>
    </row>
    <row r="21" spans="1:20">
      <c r="A21" s="20">
        <v>6</v>
      </c>
      <c r="B21" s="21" t="str" cm="1">
        <f t="array" ref="B21">_xlfn.TEXTJOIN(",",TRUE,VALUE(_xlfn.TEXTSPLIT(B18,","))+3)</f>
        <v>16,17,18</v>
      </c>
      <c r="C21" s="22" t="s">
        <v>23</v>
      </c>
      <c r="D21" s="23">
        <v>2</v>
      </c>
      <c r="E21" s="24">
        <v>46144</v>
      </c>
      <c r="F21" s="25">
        <v>8.3333333333333329E-2</v>
      </c>
      <c r="G21" s="23">
        <v>5</v>
      </c>
      <c r="H21" s="24">
        <v>46146</v>
      </c>
      <c r="I21" s="25">
        <v>0.21527777777777779</v>
      </c>
      <c r="J21" s="23">
        <v>6</v>
      </c>
      <c r="K21" s="24">
        <v>46148</v>
      </c>
      <c r="L21" s="25">
        <v>0.45833333333333331</v>
      </c>
      <c r="M21" s="23">
        <v>2</v>
      </c>
      <c r="N21" s="24">
        <v>46151</v>
      </c>
      <c r="O21" s="25">
        <v>0.3611111111111111</v>
      </c>
      <c r="P21" s="26">
        <f t="shared" si="0"/>
        <v>2</v>
      </c>
      <c r="Q21" s="24">
        <f t="shared" si="1"/>
        <v>46157.25</v>
      </c>
      <c r="R21" s="24">
        <v>46158</v>
      </c>
      <c r="S21" s="25"/>
      <c r="T21" s="27">
        <f t="shared" si="2"/>
        <v>46209</v>
      </c>
    </row>
    <row r="22" spans="1:20">
      <c r="A22" s="28">
        <v>6</v>
      </c>
      <c r="B22" s="29"/>
      <c r="D22" s="31">
        <v>3</v>
      </c>
      <c r="E22" s="32">
        <v>46144</v>
      </c>
      <c r="F22" s="33">
        <v>0.22916666666666666</v>
      </c>
      <c r="G22" s="31">
        <v>6</v>
      </c>
      <c r="H22" s="32">
        <v>46146</v>
      </c>
      <c r="I22" s="33">
        <v>0.45833333333333331</v>
      </c>
      <c r="J22" s="31">
        <v>7</v>
      </c>
      <c r="K22" s="32">
        <v>46148</v>
      </c>
      <c r="L22" s="33">
        <v>0.56944444444444442</v>
      </c>
      <c r="M22" s="31">
        <v>7</v>
      </c>
      <c r="N22" s="32">
        <v>46151</v>
      </c>
      <c r="O22" s="33">
        <v>0.4513888888888889</v>
      </c>
      <c r="P22" s="34">
        <f t="shared" si="0"/>
        <v>7</v>
      </c>
      <c r="Q22" s="32">
        <f t="shared" si="1"/>
        <v>46157.25</v>
      </c>
      <c r="R22" s="32">
        <v>46158</v>
      </c>
      <c r="T22" s="35">
        <f t="shared" si="2"/>
        <v>46209</v>
      </c>
    </row>
    <row r="23" spans="1:20" ht="19.5" thickBot="1">
      <c r="A23" s="36">
        <v>6</v>
      </c>
      <c r="B23" s="37"/>
      <c r="C23" s="38"/>
      <c r="D23" s="39">
        <v>4</v>
      </c>
      <c r="E23" s="40">
        <v>46144</v>
      </c>
      <c r="F23" s="41">
        <v>0.60416666666666663</v>
      </c>
      <c r="G23" s="39">
        <v>7</v>
      </c>
      <c r="H23" s="40">
        <v>46146</v>
      </c>
      <c r="I23" s="41"/>
      <c r="J23" s="39">
        <v>5</v>
      </c>
      <c r="K23" s="40">
        <v>46148</v>
      </c>
      <c r="L23" s="41">
        <v>0.66666666666666663</v>
      </c>
      <c r="M23" s="39">
        <v>8</v>
      </c>
      <c r="N23" s="40">
        <v>46151</v>
      </c>
      <c r="O23" s="41">
        <v>0.63541666666666663</v>
      </c>
      <c r="P23" s="42">
        <f t="shared" si="0"/>
        <v>8</v>
      </c>
      <c r="Q23" s="40">
        <f t="shared" si="1"/>
        <v>46157.25</v>
      </c>
      <c r="R23" s="40">
        <v>46159</v>
      </c>
      <c r="S23" s="41"/>
      <c r="T23" s="43">
        <f t="shared" si="2"/>
        <v>46210</v>
      </c>
    </row>
    <row r="24" spans="1:20">
      <c r="A24" s="20">
        <v>7</v>
      </c>
      <c r="B24" s="21" t="str" cm="1">
        <f t="array" ref="B24">_xlfn.TEXTJOIN(",",TRUE,VALUE(_xlfn.TEXTSPLIT(B21,","))+3)</f>
        <v>19,20,21</v>
      </c>
      <c r="C24" s="22" t="s">
        <v>24</v>
      </c>
      <c r="D24" s="23">
        <v>8</v>
      </c>
      <c r="E24" s="24">
        <v>46148</v>
      </c>
      <c r="F24" s="25">
        <v>0</v>
      </c>
      <c r="G24" s="23">
        <v>3</v>
      </c>
      <c r="H24" s="24">
        <v>46150</v>
      </c>
      <c r="I24" s="25">
        <v>0.84027777777777779</v>
      </c>
      <c r="J24" s="23">
        <v>9</v>
      </c>
      <c r="K24" s="24">
        <v>46152</v>
      </c>
      <c r="L24" s="25">
        <v>0.5625</v>
      </c>
      <c r="M24" s="23">
        <v>9</v>
      </c>
      <c r="N24" s="24">
        <v>46154</v>
      </c>
      <c r="O24" s="25">
        <v>0.49652777777777779</v>
      </c>
      <c r="P24" s="26">
        <f t="shared" si="0"/>
        <v>9</v>
      </c>
      <c r="Q24" s="24">
        <f t="shared" si="1"/>
        <v>46160.25</v>
      </c>
      <c r="R24" s="24">
        <v>46161</v>
      </c>
      <c r="S24" s="25"/>
      <c r="T24" s="27">
        <f t="shared" si="2"/>
        <v>46212</v>
      </c>
    </row>
    <row r="25" spans="1:20">
      <c r="A25" s="28">
        <v>7</v>
      </c>
      <c r="B25" s="29"/>
      <c r="D25" s="31">
        <v>9</v>
      </c>
      <c r="E25" s="32">
        <v>46148</v>
      </c>
      <c r="F25" s="33">
        <v>0.62847222222222221</v>
      </c>
      <c r="G25" s="31">
        <v>4</v>
      </c>
      <c r="H25" s="32">
        <v>46150</v>
      </c>
      <c r="J25" s="31">
        <v>10</v>
      </c>
      <c r="K25" s="32">
        <v>46152</v>
      </c>
      <c r="L25" s="33">
        <v>0.67361111111111116</v>
      </c>
      <c r="M25" s="31">
        <v>6</v>
      </c>
      <c r="N25" s="32">
        <v>46154</v>
      </c>
      <c r="O25" s="33">
        <v>0.64583333333333337</v>
      </c>
      <c r="P25" s="34">
        <f t="shared" si="0"/>
        <v>6</v>
      </c>
      <c r="Q25" s="32">
        <f t="shared" si="1"/>
        <v>46160.25</v>
      </c>
      <c r="R25" s="32">
        <v>46161</v>
      </c>
      <c r="T25" s="35">
        <f t="shared" si="2"/>
        <v>46212</v>
      </c>
    </row>
    <row r="26" spans="1:20" ht="19.5" thickBot="1">
      <c r="A26" s="36">
        <v>7</v>
      </c>
      <c r="B26" s="37"/>
      <c r="C26" s="38"/>
      <c r="D26" s="39">
        <v>10</v>
      </c>
      <c r="E26" s="40">
        <v>46148</v>
      </c>
      <c r="F26" s="41">
        <v>0.77083333333333337</v>
      </c>
      <c r="G26" s="39">
        <v>8</v>
      </c>
      <c r="H26" s="40">
        <v>46150</v>
      </c>
      <c r="I26" s="41"/>
      <c r="J26" s="39">
        <v>8</v>
      </c>
      <c r="K26" s="40">
        <v>46152</v>
      </c>
      <c r="L26" s="41">
        <v>0.85416666666666663</v>
      </c>
      <c r="M26" s="39">
        <v>5</v>
      </c>
      <c r="N26" s="40">
        <v>46154</v>
      </c>
      <c r="O26" s="41">
        <v>0.72222222222222221</v>
      </c>
      <c r="P26" s="42">
        <f t="shared" si="0"/>
        <v>5</v>
      </c>
      <c r="Q26" s="40">
        <f t="shared" si="1"/>
        <v>46160.25</v>
      </c>
      <c r="R26" s="40">
        <v>46162</v>
      </c>
      <c r="S26" s="41"/>
      <c r="T26" s="43">
        <f t="shared" si="2"/>
        <v>46213</v>
      </c>
    </row>
    <row r="27" spans="1:20">
      <c r="A27" s="20">
        <v>8</v>
      </c>
      <c r="B27" s="21" t="str" cm="1">
        <f t="array" ref="B27">_xlfn.TEXTJOIN(",",TRUE,VALUE(_xlfn.TEXTSPLIT(B24,","))+3)</f>
        <v>22,23,24</v>
      </c>
      <c r="C27" s="22" t="s">
        <v>25</v>
      </c>
      <c r="D27" s="23">
        <v>5</v>
      </c>
      <c r="E27" s="24">
        <v>46151</v>
      </c>
      <c r="F27" s="25">
        <v>0.97222222222222221</v>
      </c>
      <c r="G27" s="23">
        <v>3</v>
      </c>
      <c r="H27" s="24">
        <v>46154</v>
      </c>
      <c r="I27" s="25">
        <v>0.82638888888888884</v>
      </c>
      <c r="J27" s="23"/>
      <c r="K27" s="24"/>
      <c r="L27" s="25"/>
      <c r="M27" s="23">
        <v>1</v>
      </c>
      <c r="N27" s="24">
        <v>46158</v>
      </c>
      <c r="O27" s="25">
        <v>0.53125</v>
      </c>
      <c r="P27" s="26">
        <f t="shared" si="0"/>
        <v>1</v>
      </c>
      <c r="Q27" s="24">
        <f t="shared" si="1"/>
        <v>46164.25</v>
      </c>
      <c r="R27" s="24">
        <v>46164</v>
      </c>
      <c r="S27" s="25"/>
      <c r="T27" s="27">
        <f t="shared" si="2"/>
        <v>46215</v>
      </c>
    </row>
    <row r="28" spans="1:20">
      <c r="A28" s="28">
        <v>8</v>
      </c>
      <c r="B28" s="29"/>
      <c r="D28" s="31">
        <v>6</v>
      </c>
      <c r="E28" s="32">
        <v>46152</v>
      </c>
      <c r="F28" s="33">
        <v>0.10416666666666667</v>
      </c>
      <c r="G28" s="31">
        <v>4</v>
      </c>
      <c r="H28" s="32">
        <v>46154</v>
      </c>
      <c r="I28" s="33">
        <v>0.96527777777777779</v>
      </c>
      <c r="M28" s="31">
        <v>11</v>
      </c>
      <c r="N28" s="32">
        <v>46158</v>
      </c>
      <c r="O28" s="33">
        <v>0.64583333333333337</v>
      </c>
      <c r="P28" s="34">
        <f t="shared" si="0"/>
        <v>11</v>
      </c>
      <c r="Q28" s="32">
        <f t="shared" si="1"/>
        <v>46164.25</v>
      </c>
      <c r="R28" s="32">
        <v>46165</v>
      </c>
      <c r="T28" s="35">
        <f t="shared" si="2"/>
        <v>46216</v>
      </c>
    </row>
    <row r="29" spans="1:20" ht="19.5" thickBot="1">
      <c r="A29" s="36">
        <v>8</v>
      </c>
      <c r="B29" s="37"/>
      <c r="C29" s="38"/>
      <c r="D29" s="39">
        <v>7</v>
      </c>
      <c r="E29" s="40">
        <v>46152</v>
      </c>
      <c r="F29" s="41">
        <v>0.24305555555555555</v>
      </c>
      <c r="G29" s="39">
        <v>5</v>
      </c>
      <c r="H29" s="40">
        <v>46155</v>
      </c>
      <c r="I29" s="41">
        <v>9.7222222222222224E-2</v>
      </c>
      <c r="J29" s="39"/>
      <c r="K29" s="40"/>
      <c r="L29" s="41"/>
      <c r="M29" s="39">
        <v>12</v>
      </c>
      <c r="N29" s="40">
        <v>46158</v>
      </c>
      <c r="O29" s="41">
        <v>0.77083333333333337</v>
      </c>
      <c r="P29" s="42">
        <f t="shared" si="0"/>
        <v>12</v>
      </c>
      <c r="Q29" s="40">
        <f t="shared" si="1"/>
        <v>46164.25</v>
      </c>
      <c r="R29" s="40">
        <v>46166</v>
      </c>
      <c r="S29" s="41"/>
      <c r="T29" s="43">
        <f t="shared" si="2"/>
        <v>46217</v>
      </c>
    </row>
    <row r="30" spans="1:20">
      <c r="A30" s="20">
        <v>9</v>
      </c>
      <c r="B30" s="21" t="str" cm="1">
        <f t="array" ref="B30">_xlfn.TEXTJOIN(",",TRUE,VALUE(_xlfn.TEXTSPLIT(B27,","))+3)</f>
        <v>25,26,27</v>
      </c>
      <c r="C30" s="22" t="s">
        <v>26</v>
      </c>
      <c r="D30" s="23">
        <v>6</v>
      </c>
      <c r="E30" s="24">
        <v>46155</v>
      </c>
      <c r="F30" s="25">
        <v>0.84375</v>
      </c>
      <c r="G30" s="23">
        <v>2</v>
      </c>
      <c r="H30" s="24">
        <v>46159</v>
      </c>
      <c r="I30" s="25">
        <v>0.39583333333333331</v>
      </c>
      <c r="J30" s="23"/>
      <c r="K30" s="24"/>
      <c r="L30" s="25"/>
      <c r="M30" s="23">
        <v>7</v>
      </c>
      <c r="N30" s="24">
        <v>46162</v>
      </c>
      <c r="O30" s="25">
        <v>0.37152777777777779</v>
      </c>
      <c r="P30" s="26">
        <f t="shared" si="0"/>
        <v>7</v>
      </c>
      <c r="Q30" s="24">
        <f t="shared" si="1"/>
        <v>46168.25</v>
      </c>
      <c r="R30" s="24">
        <v>46168</v>
      </c>
      <c r="S30" s="25"/>
      <c r="T30" s="27">
        <f t="shared" si="2"/>
        <v>46219</v>
      </c>
    </row>
    <row r="31" spans="1:20">
      <c r="A31" s="28">
        <v>9</v>
      </c>
      <c r="B31" s="29"/>
      <c r="D31" s="31">
        <v>7</v>
      </c>
      <c r="E31" s="32">
        <v>46156</v>
      </c>
      <c r="F31" s="33">
        <v>5.8333333333333334E-2</v>
      </c>
      <c r="G31" s="31">
        <v>3</v>
      </c>
      <c r="H31" s="32">
        <v>46159</v>
      </c>
      <c r="I31" s="33">
        <v>0.47916666666666669</v>
      </c>
      <c r="M31" s="31">
        <v>8</v>
      </c>
      <c r="N31" s="32">
        <v>46162</v>
      </c>
      <c r="O31" s="33">
        <v>0.35416666666666669</v>
      </c>
      <c r="P31" s="34">
        <f t="shared" si="0"/>
        <v>8</v>
      </c>
      <c r="Q31" s="32">
        <f t="shared" si="1"/>
        <v>46168.25</v>
      </c>
      <c r="R31" s="32">
        <v>46169</v>
      </c>
      <c r="T31" s="35">
        <f t="shared" si="2"/>
        <v>46220</v>
      </c>
    </row>
    <row r="32" spans="1:20" ht="19.5" thickBot="1">
      <c r="A32" s="36">
        <v>9</v>
      </c>
      <c r="B32" s="37"/>
      <c r="C32" s="38"/>
      <c r="D32" s="39">
        <v>8</v>
      </c>
      <c r="E32" s="40">
        <v>46156</v>
      </c>
      <c r="F32" s="41">
        <v>0.25</v>
      </c>
      <c r="G32" s="39">
        <v>4</v>
      </c>
      <c r="H32" s="40">
        <v>46159</v>
      </c>
      <c r="I32" s="41">
        <v>0.65277777777777779</v>
      </c>
      <c r="J32" s="39"/>
      <c r="K32" s="40"/>
      <c r="L32" s="41"/>
      <c r="M32" s="39">
        <v>4</v>
      </c>
      <c r="N32" s="40">
        <v>46162</v>
      </c>
      <c r="O32" s="41">
        <v>0.63194444444444442</v>
      </c>
      <c r="P32" s="42">
        <f t="shared" si="0"/>
        <v>4</v>
      </c>
      <c r="Q32" s="40">
        <f>N32+(150/24)</f>
        <v>46168.25</v>
      </c>
      <c r="R32" s="40">
        <v>46169</v>
      </c>
      <c r="S32" s="41"/>
      <c r="T32" s="43">
        <f t="shared" si="2"/>
        <v>46220</v>
      </c>
    </row>
    <row r="33" spans="1:20">
      <c r="A33" s="20">
        <v>10</v>
      </c>
      <c r="B33" s="21" t="str" cm="1">
        <f t="array" ref="B33">_xlfn.TEXTJOIN(",",TRUE,VALUE(_xlfn.TEXTSPLIT(B30,","))+3)</f>
        <v>28,29,30</v>
      </c>
      <c r="C33" s="22" t="s">
        <v>27</v>
      </c>
      <c r="D33" s="23">
        <v>9</v>
      </c>
      <c r="E33" s="24">
        <v>46158</v>
      </c>
      <c r="F33" s="25">
        <v>2.0833333333333332E-2</v>
      </c>
      <c r="G33" s="23">
        <v>5</v>
      </c>
      <c r="H33" s="24">
        <v>46161</v>
      </c>
      <c r="I33" s="25">
        <v>0.40277777777777779</v>
      </c>
      <c r="J33" s="23">
        <v>1</v>
      </c>
      <c r="K33" s="24">
        <v>46163</v>
      </c>
      <c r="L33" s="25">
        <v>0.97013888888888888</v>
      </c>
      <c r="M33" s="23">
        <v>5</v>
      </c>
      <c r="N33" s="24">
        <v>46165</v>
      </c>
      <c r="O33" s="25">
        <v>0.19444444444444445</v>
      </c>
      <c r="P33" s="26">
        <f t="shared" si="0"/>
        <v>5</v>
      </c>
      <c r="Q33" s="24">
        <f t="shared" ref="Q33:Q39" si="3">N33+(150/24)</f>
        <v>46171.25</v>
      </c>
      <c r="R33" s="24">
        <v>46171</v>
      </c>
      <c r="S33" s="25"/>
      <c r="T33" s="27">
        <f t="shared" si="2"/>
        <v>46222</v>
      </c>
    </row>
    <row r="34" spans="1:20">
      <c r="A34" s="28">
        <v>10</v>
      </c>
      <c r="B34" s="29"/>
      <c r="D34" s="31">
        <v>10</v>
      </c>
      <c r="E34" s="32">
        <v>46158</v>
      </c>
      <c r="F34" s="33">
        <v>0.14583333333333334</v>
      </c>
      <c r="G34" s="31">
        <v>9</v>
      </c>
      <c r="H34" s="32">
        <v>46161</v>
      </c>
      <c r="I34" s="33">
        <v>0.60416666666666663</v>
      </c>
      <c r="J34" s="31">
        <v>2</v>
      </c>
      <c r="K34" s="32">
        <v>46164</v>
      </c>
      <c r="L34" s="33">
        <v>6.9444444444444448E-2</v>
      </c>
      <c r="M34" s="31">
        <v>6</v>
      </c>
      <c r="N34" s="32">
        <v>46165</v>
      </c>
      <c r="O34" s="33">
        <v>0.3263888888888889</v>
      </c>
      <c r="P34" s="34">
        <f t="shared" si="0"/>
        <v>6</v>
      </c>
      <c r="Q34" s="32">
        <f t="shared" si="3"/>
        <v>46171.25</v>
      </c>
      <c r="R34" s="32">
        <v>46172</v>
      </c>
      <c r="T34" s="35">
        <f t="shared" si="2"/>
        <v>46223</v>
      </c>
    </row>
    <row r="35" spans="1:20" ht="19.5" thickBot="1">
      <c r="A35" s="36">
        <v>10</v>
      </c>
      <c r="B35" s="37"/>
      <c r="C35" s="38"/>
      <c r="D35" s="39">
        <v>11</v>
      </c>
      <c r="E35" s="40">
        <v>46158</v>
      </c>
      <c r="F35" s="41">
        <v>0.34027777777777779</v>
      </c>
      <c r="G35" s="39">
        <v>10</v>
      </c>
      <c r="H35" s="40">
        <v>46161</v>
      </c>
      <c r="I35" s="41">
        <v>0.72916666666666663</v>
      </c>
      <c r="J35" s="39">
        <v>5</v>
      </c>
      <c r="K35" s="40">
        <v>46164</v>
      </c>
      <c r="L35" s="41">
        <v>0.2048611111111111</v>
      </c>
      <c r="M35" s="39">
        <v>10</v>
      </c>
      <c r="N35" s="40">
        <v>46165</v>
      </c>
      <c r="O35" s="41">
        <v>0.40972222222222221</v>
      </c>
      <c r="P35" s="42">
        <f t="shared" si="0"/>
        <v>10</v>
      </c>
      <c r="Q35" s="40">
        <f t="shared" si="3"/>
        <v>46171.25</v>
      </c>
      <c r="R35" s="40">
        <v>46172</v>
      </c>
      <c r="S35" s="41" t="s">
        <v>28</v>
      </c>
      <c r="T35" s="43">
        <f t="shared" si="2"/>
        <v>46223</v>
      </c>
    </row>
    <row r="36" spans="1:20">
      <c r="A36" s="20">
        <v>11</v>
      </c>
      <c r="B36" s="21" t="str" cm="1">
        <f t="array" ref="B36">_xlfn.TEXTJOIN(",",TRUE,VALUE(_xlfn.TEXTSPLIT(B33,","))+3)</f>
        <v>31,32,33</v>
      </c>
      <c r="C36" s="22" t="s">
        <v>29</v>
      </c>
      <c r="D36" s="23">
        <v>6</v>
      </c>
      <c r="E36" s="24">
        <v>46160</v>
      </c>
      <c r="F36" s="25">
        <v>0</v>
      </c>
      <c r="G36" s="23">
        <v>11</v>
      </c>
      <c r="H36" s="24">
        <v>46162</v>
      </c>
      <c r="I36" s="25">
        <v>0.97916666666666663</v>
      </c>
      <c r="J36" s="23">
        <v>9</v>
      </c>
      <c r="K36" s="24">
        <v>46165</v>
      </c>
      <c r="L36" s="25">
        <v>0.98611111111111116</v>
      </c>
      <c r="M36" s="23">
        <v>2</v>
      </c>
      <c r="N36" s="24">
        <v>46167</v>
      </c>
      <c r="O36" s="25">
        <v>0.34722222222222221</v>
      </c>
      <c r="P36" s="26">
        <f t="shared" si="0"/>
        <v>2</v>
      </c>
      <c r="Q36" s="24">
        <f t="shared" si="3"/>
        <v>46173.25</v>
      </c>
      <c r="R36" s="24">
        <v>46174</v>
      </c>
      <c r="S36" s="25">
        <v>0.22916666666666666</v>
      </c>
      <c r="T36" s="27">
        <f t="shared" si="2"/>
        <v>46225</v>
      </c>
    </row>
    <row r="37" spans="1:20">
      <c r="A37" s="28">
        <v>11</v>
      </c>
      <c r="B37" s="29"/>
      <c r="D37" s="31">
        <v>7</v>
      </c>
      <c r="E37" s="32">
        <v>46160</v>
      </c>
      <c r="F37" s="33">
        <v>0.1388888888888889</v>
      </c>
      <c r="G37" s="31">
        <v>3</v>
      </c>
      <c r="H37" s="32">
        <v>46163</v>
      </c>
      <c r="I37" s="33">
        <v>0.10069444444444445</v>
      </c>
      <c r="J37" s="31">
        <v>10</v>
      </c>
      <c r="K37" s="32">
        <v>46165</v>
      </c>
      <c r="L37" s="33">
        <v>0.61458333333333337</v>
      </c>
      <c r="M37" s="31">
        <v>1</v>
      </c>
      <c r="N37" s="32">
        <v>46167</v>
      </c>
      <c r="O37" s="33">
        <v>0.44791666666666669</v>
      </c>
      <c r="P37" s="34">
        <f t="shared" si="0"/>
        <v>1</v>
      </c>
      <c r="Q37" s="32">
        <f t="shared" si="3"/>
        <v>46173.25</v>
      </c>
      <c r="R37" s="32">
        <v>46173</v>
      </c>
      <c r="S37" s="33">
        <v>0.67361111111111116</v>
      </c>
      <c r="T37" s="35">
        <f t="shared" si="2"/>
        <v>46224</v>
      </c>
    </row>
    <row r="38" spans="1:20" ht="19.5" thickBot="1">
      <c r="A38" s="36">
        <v>11</v>
      </c>
      <c r="B38" s="37"/>
      <c r="C38" s="38"/>
      <c r="D38" s="39">
        <v>8</v>
      </c>
      <c r="E38" s="40">
        <v>46160</v>
      </c>
      <c r="F38" s="41">
        <v>0.40625</v>
      </c>
      <c r="G38" s="39">
        <v>4</v>
      </c>
      <c r="H38" s="40">
        <v>46163</v>
      </c>
      <c r="I38" s="41">
        <v>0.2013888888888889</v>
      </c>
      <c r="J38" s="39">
        <v>11</v>
      </c>
      <c r="K38" s="40">
        <v>46165</v>
      </c>
      <c r="L38" s="41">
        <v>0.73611111111111116</v>
      </c>
      <c r="M38" s="39">
        <v>11</v>
      </c>
      <c r="N38" s="40">
        <v>46167</v>
      </c>
      <c r="O38" s="41">
        <v>0.625</v>
      </c>
      <c r="P38" s="42">
        <f t="shared" si="0"/>
        <v>11</v>
      </c>
      <c r="Q38" s="40">
        <f t="shared" si="3"/>
        <v>46173.25</v>
      </c>
      <c r="R38" s="40">
        <v>46175</v>
      </c>
      <c r="S38" s="41">
        <v>0.16666666666666666</v>
      </c>
      <c r="T38" s="43">
        <f t="shared" si="2"/>
        <v>46226</v>
      </c>
    </row>
    <row r="39" spans="1:20">
      <c r="A39" s="20">
        <v>12</v>
      </c>
      <c r="B39" s="21" t="str" cm="1">
        <f t="array" ref="B39">_xlfn.TEXTJOIN(",",TRUE,VALUE(_xlfn.TEXTSPLIT(B36,","))+3)</f>
        <v>34,35,36</v>
      </c>
      <c r="C39" s="22" t="s">
        <v>30</v>
      </c>
      <c r="D39" s="23">
        <v>6</v>
      </c>
      <c r="E39" s="24">
        <v>46163</v>
      </c>
      <c r="F39" s="25">
        <v>0.43055555555555558</v>
      </c>
      <c r="G39" s="23">
        <v>2</v>
      </c>
      <c r="H39" s="24">
        <v>46166</v>
      </c>
      <c r="I39" s="25">
        <v>0.51736111111111116</v>
      </c>
      <c r="J39" s="23"/>
      <c r="K39" s="24"/>
      <c r="L39" s="25"/>
      <c r="M39" s="23">
        <v>3</v>
      </c>
      <c r="N39" s="24">
        <v>46169</v>
      </c>
      <c r="O39" s="25">
        <v>0.95138888888888884</v>
      </c>
      <c r="P39" s="26">
        <f t="shared" si="0"/>
        <v>3</v>
      </c>
      <c r="Q39" s="24">
        <f t="shared" si="3"/>
        <v>46175.25</v>
      </c>
      <c r="R39" s="24">
        <v>46176</v>
      </c>
      <c r="S39" s="25">
        <v>0.54166666666666663</v>
      </c>
      <c r="T39" s="27">
        <f t="shared" si="2"/>
        <v>46227</v>
      </c>
    </row>
    <row r="40" spans="1:20">
      <c r="A40" s="28">
        <v>12</v>
      </c>
      <c r="B40" s="29"/>
      <c r="D40" s="31">
        <v>7</v>
      </c>
      <c r="E40" s="32">
        <v>46163</v>
      </c>
      <c r="F40" s="33">
        <v>0.60416666666666663</v>
      </c>
      <c r="G40" s="44">
        <v>1</v>
      </c>
      <c r="H40" s="45">
        <v>46166</v>
      </c>
      <c r="I40" s="46">
        <v>0.6875</v>
      </c>
      <c r="T40" s="35">
        <f t="shared" si="2"/>
        <v>51</v>
      </c>
    </row>
    <row r="41" spans="1:20">
      <c r="A41" s="28">
        <v>12</v>
      </c>
      <c r="B41" s="29"/>
      <c r="G41" s="31">
        <v>7</v>
      </c>
      <c r="H41" s="32">
        <v>46167</v>
      </c>
      <c r="I41" s="33">
        <v>0.71250000000000002</v>
      </c>
      <c r="M41" s="31">
        <v>9</v>
      </c>
      <c r="N41" s="32">
        <v>46169</v>
      </c>
      <c r="O41" s="33">
        <v>0.35416666666666669</v>
      </c>
      <c r="P41" s="34">
        <f>M41</f>
        <v>9</v>
      </c>
      <c r="Q41" s="32">
        <f>N41+(150/24)</f>
        <v>46175.25</v>
      </c>
      <c r="R41" s="32">
        <v>46179</v>
      </c>
      <c r="T41" s="35">
        <f t="shared" si="2"/>
        <v>46230</v>
      </c>
    </row>
    <row r="42" spans="1:20">
      <c r="A42" s="28">
        <v>12</v>
      </c>
      <c r="B42" s="29"/>
      <c r="D42" s="31">
        <v>8</v>
      </c>
      <c r="E42" s="32">
        <v>46163</v>
      </c>
      <c r="F42" s="33">
        <v>0.74652777777777779</v>
      </c>
      <c r="G42" s="44">
        <v>6</v>
      </c>
      <c r="H42" s="45">
        <v>46166</v>
      </c>
      <c r="I42" s="46">
        <v>0.93402777777777779</v>
      </c>
      <c r="T42" s="35">
        <f t="shared" si="2"/>
        <v>51</v>
      </c>
    </row>
    <row r="43" spans="1:20" ht="19.5" thickBot="1">
      <c r="A43" s="36">
        <v>12</v>
      </c>
      <c r="B43" s="37"/>
      <c r="C43" s="38"/>
      <c r="D43" s="39"/>
      <c r="E43" s="40"/>
      <c r="F43" s="41"/>
      <c r="G43" s="39">
        <v>8</v>
      </c>
      <c r="H43" s="40">
        <v>46166</v>
      </c>
      <c r="I43" s="41">
        <v>0.96875</v>
      </c>
      <c r="J43" s="39"/>
      <c r="K43" s="40"/>
      <c r="L43" s="41"/>
      <c r="M43" s="39">
        <v>12</v>
      </c>
      <c r="N43" s="40">
        <v>46169</v>
      </c>
      <c r="O43" s="41">
        <v>0.43055555555555558</v>
      </c>
      <c r="P43" s="42">
        <f>M43</f>
        <v>12</v>
      </c>
      <c r="Q43" s="40">
        <f>N43+(150/24)</f>
        <v>46175.25</v>
      </c>
      <c r="R43" s="40">
        <v>46176</v>
      </c>
      <c r="S43" s="41"/>
      <c r="T43" s="43">
        <f t="shared" si="2"/>
        <v>46227</v>
      </c>
    </row>
    <row r="44" spans="1:20">
      <c r="A44" s="20">
        <v>13</v>
      </c>
      <c r="B44" s="21" t="str" cm="1">
        <f t="array" ref="B44">_xlfn.TEXTJOIN(",",TRUE,VALUE(_xlfn.TEXTSPLIT(B39,","))+3)</f>
        <v>37,38,39</v>
      </c>
      <c r="C44" s="22" t="s">
        <v>31</v>
      </c>
      <c r="D44" s="23">
        <v>3</v>
      </c>
      <c r="E44" s="24">
        <v>46165</v>
      </c>
      <c r="F44" s="25">
        <v>0.95833333333333337</v>
      </c>
      <c r="G44" s="23">
        <v>9</v>
      </c>
      <c r="H44" s="24">
        <v>46168</v>
      </c>
      <c r="I44" s="25">
        <v>7.6388888888888895E-2</v>
      </c>
      <c r="J44" s="23"/>
      <c r="K44" s="24"/>
      <c r="L44" s="25"/>
      <c r="M44" s="23">
        <v>7</v>
      </c>
      <c r="N44" s="24">
        <v>46170</v>
      </c>
      <c r="O44" s="25">
        <v>0.86458333333333337</v>
      </c>
      <c r="P44" s="26">
        <f t="shared" ref="P44:P47" si="4">M44</f>
        <v>7</v>
      </c>
      <c r="Q44" s="24">
        <f t="shared" ref="Q44:Q47" si="5">N44+(150/24)</f>
        <v>46176.25</v>
      </c>
      <c r="R44" s="24">
        <v>46179</v>
      </c>
      <c r="S44" s="25"/>
      <c r="T44" s="27">
        <f t="shared" si="2"/>
        <v>46230</v>
      </c>
    </row>
    <row r="45" spans="1:20">
      <c r="A45" s="28">
        <v>13</v>
      </c>
      <c r="B45" s="29"/>
      <c r="D45" s="31">
        <v>4</v>
      </c>
      <c r="E45" s="32">
        <v>46166</v>
      </c>
      <c r="F45" s="33">
        <v>8.3333333333333329E-2</v>
      </c>
      <c r="G45" s="31">
        <v>10</v>
      </c>
      <c r="H45" s="32">
        <v>46168</v>
      </c>
      <c r="I45" s="33">
        <v>0.1875</v>
      </c>
      <c r="N45" s="34"/>
      <c r="O45" s="47"/>
      <c r="T45" s="35">
        <f t="shared" si="2"/>
        <v>51</v>
      </c>
    </row>
    <row r="46" spans="1:20">
      <c r="A46" s="28">
        <v>13</v>
      </c>
      <c r="B46" s="29"/>
      <c r="D46" s="31">
        <v>5</v>
      </c>
      <c r="E46" s="32">
        <v>46166</v>
      </c>
      <c r="F46" s="33">
        <v>0.22222222222222221</v>
      </c>
      <c r="G46" s="44">
        <v>11</v>
      </c>
      <c r="H46" s="45">
        <v>46168</v>
      </c>
      <c r="I46" s="46">
        <v>0.34722222222222221</v>
      </c>
      <c r="M46" s="31">
        <v>4</v>
      </c>
      <c r="N46" s="32">
        <v>46170</v>
      </c>
      <c r="O46" s="33">
        <v>0.63194444444444442</v>
      </c>
      <c r="P46" s="34">
        <f t="shared" si="4"/>
        <v>4</v>
      </c>
      <c r="Q46" s="32">
        <f>N46+(150/24)</f>
        <v>46176.25</v>
      </c>
      <c r="R46" s="32">
        <v>46177</v>
      </c>
      <c r="T46" s="35">
        <f t="shared" si="2"/>
        <v>46228</v>
      </c>
    </row>
    <row r="47" spans="1:20" ht="19.5" thickBot="1">
      <c r="A47" s="36">
        <v>13</v>
      </c>
      <c r="B47" s="37"/>
      <c r="C47" s="38"/>
      <c r="D47" s="39"/>
      <c r="E47" s="40"/>
      <c r="F47" s="41"/>
      <c r="G47" s="48">
        <v>6</v>
      </c>
      <c r="H47" s="49">
        <v>46169</v>
      </c>
      <c r="I47" s="50" t="s">
        <v>32</v>
      </c>
      <c r="J47" s="39"/>
      <c r="K47" s="40"/>
      <c r="L47" s="41"/>
      <c r="M47" s="39">
        <v>8</v>
      </c>
      <c r="N47" s="40">
        <v>46171</v>
      </c>
      <c r="O47" s="41">
        <v>0.50694444444444442</v>
      </c>
      <c r="P47" s="42">
        <f t="shared" si="4"/>
        <v>8</v>
      </c>
      <c r="Q47" s="40">
        <f t="shared" si="5"/>
        <v>46177.25</v>
      </c>
      <c r="R47" s="40">
        <v>46178</v>
      </c>
      <c r="S47" s="41"/>
      <c r="T47" s="43">
        <f t="shared" si="2"/>
        <v>46229</v>
      </c>
    </row>
    <row r="48" spans="1:20">
      <c r="A48" s="20">
        <v>14</v>
      </c>
      <c r="B48" s="21" t="str" cm="1">
        <f t="array" ref="B48">_xlfn.TEXTJOIN(",",TRUE,VALUE(_xlfn.TEXTSPLIT(B44,","))+3)</f>
        <v>40,41,42</v>
      </c>
      <c r="C48" s="22" t="s">
        <v>33</v>
      </c>
      <c r="D48" s="51">
        <v>6</v>
      </c>
      <c r="E48" s="52">
        <v>46168</v>
      </c>
      <c r="F48" s="53">
        <v>0.6743055555555556</v>
      </c>
      <c r="G48" s="23"/>
      <c r="H48" s="24"/>
      <c r="I48" s="25"/>
      <c r="J48" s="23"/>
      <c r="K48" s="24"/>
      <c r="L48" s="25"/>
      <c r="M48" s="23"/>
      <c r="N48" s="24"/>
      <c r="O48" s="25"/>
      <c r="P48" s="26"/>
      <c r="Q48" s="24"/>
      <c r="R48" s="24"/>
      <c r="S48" s="25"/>
      <c r="T48" s="27">
        <f t="shared" si="2"/>
        <v>51</v>
      </c>
    </row>
    <row r="49" spans="1:20">
      <c r="A49" s="28">
        <v>14</v>
      </c>
      <c r="B49" s="29"/>
      <c r="D49" s="31">
        <v>4</v>
      </c>
      <c r="E49" s="32">
        <v>46168</v>
      </c>
      <c r="F49" s="33">
        <v>0.82638888888888884</v>
      </c>
      <c r="G49" s="31">
        <v>10</v>
      </c>
      <c r="H49" s="32">
        <v>46171</v>
      </c>
      <c r="I49" s="33">
        <v>0.59722222222222221</v>
      </c>
      <c r="M49" s="31">
        <v>5</v>
      </c>
      <c r="N49" s="32">
        <v>46174</v>
      </c>
      <c r="O49" s="33">
        <v>0.1388888888888889</v>
      </c>
      <c r="P49" s="34">
        <f>M50</f>
        <v>10</v>
      </c>
      <c r="Q49" s="32">
        <f>N50+(150/24)</f>
        <v>46180.25</v>
      </c>
      <c r="R49" s="32">
        <v>46181</v>
      </c>
      <c r="T49" s="35">
        <f t="shared" si="2"/>
        <v>46232</v>
      </c>
    </row>
    <row r="50" spans="1:20">
      <c r="A50" s="28">
        <v>14</v>
      </c>
      <c r="B50" s="29"/>
      <c r="D50" s="31">
        <v>3</v>
      </c>
      <c r="E50" s="32">
        <v>46169</v>
      </c>
      <c r="F50" s="33">
        <v>0</v>
      </c>
      <c r="G50" s="31">
        <v>11</v>
      </c>
      <c r="H50" s="32">
        <v>46171</v>
      </c>
      <c r="I50" s="33">
        <v>0.69444444444444442</v>
      </c>
      <c r="M50" s="31">
        <v>10</v>
      </c>
      <c r="N50" s="32">
        <v>46174</v>
      </c>
      <c r="O50" s="33">
        <v>0.40555555555555556</v>
      </c>
      <c r="P50" s="34">
        <f>M49</f>
        <v>5</v>
      </c>
      <c r="Q50" s="32">
        <f>N49+(150/24)</f>
        <v>46180.25</v>
      </c>
      <c r="R50" s="32">
        <v>46180</v>
      </c>
      <c r="S50" s="33">
        <v>0.5</v>
      </c>
      <c r="T50" s="35">
        <f t="shared" si="2"/>
        <v>46231</v>
      </c>
    </row>
    <row r="51" spans="1:20" ht="19.5" thickBot="1">
      <c r="A51" s="36">
        <v>14</v>
      </c>
      <c r="B51" s="37"/>
      <c r="C51" s="38"/>
      <c r="D51" s="39">
        <v>1</v>
      </c>
      <c r="E51" s="40">
        <v>46169</v>
      </c>
      <c r="F51" s="41">
        <v>0.48680555555555555</v>
      </c>
      <c r="G51" s="39">
        <v>6</v>
      </c>
      <c r="H51" s="40">
        <v>46172</v>
      </c>
      <c r="I51" s="41">
        <v>0.10416666666666667</v>
      </c>
      <c r="J51" s="39"/>
      <c r="K51" s="40"/>
      <c r="L51" s="41"/>
      <c r="M51" s="39">
        <v>1</v>
      </c>
      <c r="N51" s="40">
        <v>46174</v>
      </c>
      <c r="O51" s="41">
        <v>0.48958333333333331</v>
      </c>
      <c r="P51" s="42">
        <f t="shared" ref="P51:P110" si="6">M51</f>
        <v>1</v>
      </c>
      <c r="Q51" s="40">
        <f t="shared" ref="Q51" si="7">N51+(150/24)</f>
        <v>46180.25</v>
      </c>
      <c r="R51" s="40">
        <v>46181</v>
      </c>
      <c r="S51" s="41"/>
      <c r="T51" s="43">
        <f t="shared" si="2"/>
        <v>46232</v>
      </c>
    </row>
    <row r="52" spans="1:20">
      <c r="A52" s="20">
        <v>15</v>
      </c>
      <c r="B52" s="21" t="str" cm="1">
        <f t="array" ref="B52">_xlfn.TEXTJOIN(",",TRUE,VALUE(_xlfn.TEXTSPLIT(B48,","))+3)</f>
        <v>43,44,45</v>
      </c>
      <c r="C52" s="22">
        <v>43</v>
      </c>
      <c r="D52" s="23">
        <v>7</v>
      </c>
      <c r="E52" s="24">
        <v>46170</v>
      </c>
      <c r="F52" s="25">
        <v>0.96527777777777779</v>
      </c>
      <c r="G52" s="23">
        <v>4</v>
      </c>
      <c r="H52" s="24">
        <v>46173</v>
      </c>
      <c r="I52" s="25">
        <v>0.15277777777777779</v>
      </c>
      <c r="J52" s="23"/>
      <c r="K52" s="24"/>
      <c r="L52" s="25"/>
      <c r="M52" s="23">
        <v>2</v>
      </c>
      <c r="N52" s="24">
        <v>265320</v>
      </c>
      <c r="O52" s="25">
        <v>0.40972222222222221</v>
      </c>
      <c r="P52" s="26">
        <f t="shared" si="6"/>
        <v>2</v>
      </c>
      <c r="Q52" s="24">
        <f>N52+(150/24)</f>
        <v>265326.25</v>
      </c>
      <c r="R52" s="24">
        <v>46183</v>
      </c>
      <c r="S52" s="25">
        <v>0.70833333333333337</v>
      </c>
      <c r="T52" s="27">
        <f t="shared" si="2"/>
        <v>46234</v>
      </c>
    </row>
    <row r="53" spans="1:20">
      <c r="A53" s="28">
        <v>15</v>
      </c>
      <c r="B53" s="29"/>
      <c r="C53" s="30">
        <v>44</v>
      </c>
      <c r="D53" s="44">
        <v>8</v>
      </c>
      <c r="E53" s="45">
        <v>46171</v>
      </c>
      <c r="F53" s="46">
        <v>0.15972222222222221</v>
      </c>
      <c r="G53" s="44">
        <v>5</v>
      </c>
      <c r="H53" s="45">
        <v>46172</v>
      </c>
      <c r="I53" s="46">
        <v>0.66666666666666663</v>
      </c>
      <c r="M53" s="31">
        <v>6</v>
      </c>
      <c r="N53" s="32">
        <v>265320</v>
      </c>
      <c r="O53" s="33">
        <v>0.49305555555555558</v>
      </c>
      <c r="P53" s="34">
        <f t="shared" si="6"/>
        <v>6</v>
      </c>
      <c r="Q53" s="32">
        <f>N53+(150/24)</f>
        <v>265326.25</v>
      </c>
      <c r="R53" s="32">
        <v>46182</v>
      </c>
      <c r="S53" s="33">
        <v>0.45833333333333331</v>
      </c>
      <c r="T53" s="35">
        <f t="shared" si="2"/>
        <v>46233</v>
      </c>
    </row>
    <row r="54" spans="1:20" ht="19.5" thickBot="1">
      <c r="A54" s="36">
        <v>15</v>
      </c>
      <c r="B54" s="37"/>
      <c r="C54" s="38">
        <v>45</v>
      </c>
      <c r="D54" s="39">
        <v>9</v>
      </c>
      <c r="E54" s="40">
        <v>46171</v>
      </c>
      <c r="F54" s="41">
        <v>0.36805555555555558</v>
      </c>
      <c r="G54" s="39">
        <v>7</v>
      </c>
      <c r="H54" s="40">
        <v>46173</v>
      </c>
      <c r="I54" s="41">
        <v>0.93819444444444444</v>
      </c>
      <c r="J54" s="39"/>
      <c r="K54" s="40"/>
      <c r="L54" s="41"/>
      <c r="M54" s="39">
        <v>11</v>
      </c>
      <c r="N54" s="40">
        <v>265320</v>
      </c>
      <c r="O54" s="41">
        <v>0.9375</v>
      </c>
      <c r="P54" s="42">
        <f t="shared" si="6"/>
        <v>11</v>
      </c>
      <c r="Q54" s="40">
        <f>N54+(150/24)</f>
        <v>265326.25</v>
      </c>
      <c r="R54" s="40">
        <v>46183</v>
      </c>
      <c r="S54" s="41">
        <v>0.4236111111111111</v>
      </c>
      <c r="T54" s="43">
        <f t="shared" si="2"/>
        <v>46234</v>
      </c>
    </row>
    <row r="55" spans="1:20">
      <c r="A55" s="20">
        <v>16</v>
      </c>
      <c r="B55" s="21" t="s">
        <v>34</v>
      </c>
      <c r="C55" s="22">
        <v>46</v>
      </c>
      <c r="D55" s="23">
        <v>1</v>
      </c>
      <c r="E55" s="24">
        <v>46173</v>
      </c>
      <c r="F55" s="25">
        <v>0.41666666666666669</v>
      </c>
      <c r="G55" s="23">
        <v>10</v>
      </c>
      <c r="H55" s="54">
        <v>46176</v>
      </c>
      <c r="I55" s="25">
        <v>5.5555555555555552E-2</v>
      </c>
      <c r="J55" s="23"/>
      <c r="K55" s="24"/>
      <c r="L55" s="25"/>
      <c r="M55" s="23">
        <v>12</v>
      </c>
      <c r="N55" s="24">
        <v>46178</v>
      </c>
      <c r="O55" s="25">
        <v>9.0277777777777776E-2</v>
      </c>
      <c r="P55" s="26">
        <f t="shared" si="6"/>
        <v>12</v>
      </c>
      <c r="Q55" s="24">
        <f>N55+(150/24)</f>
        <v>46184.25</v>
      </c>
      <c r="R55" s="24">
        <v>46185</v>
      </c>
      <c r="S55" s="25">
        <v>0.1875</v>
      </c>
      <c r="T55" s="27">
        <f t="shared" si="2"/>
        <v>46236</v>
      </c>
    </row>
    <row r="56" spans="1:20">
      <c r="A56" s="28">
        <v>16</v>
      </c>
      <c r="B56" s="29"/>
      <c r="C56" s="30">
        <v>47</v>
      </c>
      <c r="D56" s="31">
        <v>2</v>
      </c>
      <c r="E56" s="32">
        <v>46173</v>
      </c>
      <c r="F56" s="33">
        <v>0.51736111111111116</v>
      </c>
      <c r="G56" s="31">
        <v>9</v>
      </c>
      <c r="H56" s="55">
        <v>46176</v>
      </c>
      <c r="I56" s="33">
        <v>0.1875</v>
      </c>
      <c r="M56" s="31">
        <v>3</v>
      </c>
      <c r="N56" s="32">
        <v>46177</v>
      </c>
      <c r="O56" s="33">
        <v>0.96527777777777779</v>
      </c>
      <c r="P56" s="34">
        <f t="shared" si="6"/>
        <v>3</v>
      </c>
      <c r="Q56" s="32">
        <f t="shared" ref="Q56:Q95" si="8">N56+(150/24)</f>
        <v>46183.25</v>
      </c>
      <c r="R56" s="32">
        <v>46184</v>
      </c>
      <c r="S56" s="33">
        <v>0.29166666666666669</v>
      </c>
      <c r="T56" s="35">
        <f t="shared" si="2"/>
        <v>46235</v>
      </c>
    </row>
    <row r="57" spans="1:20">
      <c r="A57" s="28">
        <v>16</v>
      </c>
      <c r="B57" s="29"/>
      <c r="C57" s="56">
        <v>48</v>
      </c>
      <c r="D57" s="44">
        <v>3</v>
      </c>
      <c r="E57" s="45">
        <v>46173</v>
      </c>
      <c r="F57" s="46" t="s">
        <v>35</v>
      </c>
      <c r="H57" s="55"/>
      <c r="Q57" s="32"/>
      <c r="T57" s="35"/>
    </row>
    <row r="58" spans="1:20" ht="19.5" thickBot="1">
      <c r="A58" s="36">
        <v>16</v>
      </c>
      <c r="B58" s="37"/>
      <c r="C58" s="38">
        <v>48</v>
      </c>
      <c r="D58" s="39">
        <v>8</v>
      </c>
      <c r="E58" s="40">
        <v>46174</v>
      </c>
      <c r="F58" s="41">
        <v>0.59027777777777779</v>
      </c>
      <c r="G58" s="39">
        <v>11</v>
      </c>
      <c r="H58" s="57">
        <v>46176</v>
      </c>
      <c r="I58" s="41">
        <v>0.46527777777777779</v>
      </c>
      <c r="J58" s="39"/>
      <c r="K58" s="40"/>
      <c r="L58" s="41"/>
      <c r="M58" s="39">
        <v>4</v>
      </c>
      <c r="N58" s="40">
        <v>46179</v>
      </c>
      <c r="O58" s="41">
        <v>0.96527777777777779</v>
      </c>
      <c r="P58" s="42">
        <f t="shared" si="6"/>
        <v>4</v>
      </c>
      <c r="Q58" s="40">
        <f t="shared" si="8"/>
        <v>46185.25</v>
      </c>
      <c r="R58" s="40">
        <v>46186</v>
      </c>
      <c r="S58" s="41" t="s">
        <v>36</v>
      </c>
      <c r="T58" s="43">
        <f t="shared" si="2"/>
        <v>46237</v>
      </c>
    </row>
    <row r="59" spans="1:20">
      <c r="A59" s="20">
        <v>17</v>
      </c>
      <c r="B59" s="21" t="s">
        <v>37</v>
      </c>
      <c r="C59" s="22">
        <v>49</v>
      </c>
      <c r="D59" s="51">
        <v>6</v>
      </c>
      <c r="E59" s="52">
        <v>46176</v>
      </c>
      <c r="F59" s="53">
        <v>0.56944444444444442</v>
      </c>
      <c r="G59" s="23"/>
      <c r="H59" s="24"/>
      <c r="I59" s="25"/>
      <c r="J59" s="23"/>
      <c r="K59" s="24"/>
      <c r="L59" s="25"/>
      <c r="M59" s="23"/>
      <c r="N59" s="24"/>
      <c r="O59" s="25"/>
      <c r="P59" s="26"/>
      <c r="Q59" s="24"/>
      <c r="R59" s="24"/>
      <c r="S59" s="25"/>
      <c r="T59" s="27"/>
    </row>
    <row r="60" spans="1:20">
      <c r="A60" s="28">
        <v>17</v>
      </c>
      <c r="B60" s="29"/>
      <c r="C60" s="30">
        <v>49</v>
      </c>
      <c r="D60" s="31">
        <v>3</v>
      </c>
      <c r="E60" s="32">
        <v>46178</v>
      </c>
      <c r="F60" s="33">
        <v>0.45833333333333331</v>
      </c>
      <c r="G60" s="31">
        <v>11</v>
      </c>
      <c r="H60" s="32">
        <v>46180</v>
      </c>
      <c r="I60" s="33">
        <v>0.16666666666666666</v>
      </c>
      <c r="M60" s="31">
        <v>8</v>
      </c>
      <c r="N60" s="32">
        <v>46182</v>
      </c>
      <c r="O60" s="33">
        <v>8.3333333333333329E-2</v>
      </c>
      <c r="P60" s="34">
        <f t="shared" si="6"/>
        <v>8</v>
      </c>
      <c r="Q60" s="32">
        <f>N60+(150/24)</f>
        <v>46188.25</v>
      </c>
      <c r="R60" s="32">
        <v>46189</v>
      </c>
      <c r="S60" s="33">
        <v>0.50694444444444442</v>
      </c>
      <c r="T60" s="35">
        <f t="shared" si="2"/>
        <v>46240</v>
      </c>
    </row>
    <row r="61" spans="1:20">
      <c r="A61" s="28">
        <v>17</v>
      </c>
      <c r="B61" s="29"/>
      <c r="C61" s="30">
        <v>50</v>
      </c>
      <c r="D61" s="44">
        <v>5</v>
      </c>
      <c r="E61" s="45">
        <v>46176</v>
      </c>
      <c r="F61" s="46">
        <v>0.70138888888888884</v>
      </c>
      <c r="T61" s="35"/>
    </row>
    <row r="62" spans="1:20">
      <c r="A62" s="28">
        <v>17</v>
      </c>
      <c r="B62" s="29"/>
      <c r="C62" s="30">
        <v>50</v>
      </c>
      <c r="D62" s="31">
        <v>2</v>
      </c>
      <c r="E62" s="32">
        <v>46179</v>
      </c>
      <c r="F62" s="33">
        <v>0.66319444444444442</v>
      </c>
      <c r="G62" s="31">
        <v>10</v>
      </c>
      <c r="H62" s="32">
        <v>46179</v>
      </c>
      <c r="I62" s="33">
        <v>0.95138888888888884</v>
      </c>
      <c r="M62" s="31">
        <v>5</v>
      </c>
      <c r="N62" s="32">
        <v>46182</v>
      </c>
      <c r="O62" s="33">
        <v>0.21527777777777779</v>
      </c>
      <c r="P62" s="34">
        <f t="shared" si="6"/>
        <v>5</v>
      </c>
      <c r="Q62" s="32">
        <f>N62+(150/24)</f>
        <v>46188.25</v>
      </c>
      <c r="R62" s="32">
        <v>46189</v>
      </c>
      <c r="S62" s="33">
        <v>0.67361111111111116</v>
      </c>
      <c r="T62" s="35">
        <f t="shared" si="2"/>
        <v>46240</v>
      </c>
    </row>
    <row r="63" spans="1:20" ht="19.5" thickBot="1">
      <c r="A63" s="36">
        <v>17</v>
      </c>
      <c r="B63" s="37"/>
      <c r="C63" s="38">
        <v>51</v>
      </c>
      <c r="D63" s="39">
        <v>4</v>
      </c>
      <c r="E63" s="40">
        <v>46177</v>
      </c>
      <c r="F63" s="41">
        <v>0.86111111111111116</v>
      </c>
      <c r="G63" s="39">
        <v>9</v>
      </c>
      <c r="H63" s="40">
        <v>46179</v>
      </c>
      <c r="I63" s="41">
        <v>0.63194444444444442</v>
      </c>
      <c r="J63" s="39"/>
      <c r="K63" s="40"/>
      <c r="L63" s="41"/>
      <c r="M63" s="39">
        <v>7</v>
      </c>
      <c r="N63" s="40">
        <v>46181</v>
      </c>
      <c r="O63" s="41">
        <v>0.9375</v>
      </c>
      <c r="P63" s="42">
        <f t="shared" si="6"/>
        <v>7</v>
      </c>
      <c r="Q63" s="40">
        <f>N63+(150/24)</f>
        <v>46187.25</v>
      </c>
      <c r="R63" s="40">
        <v>46188</v>
      </c>
      <c r="S63" s="41">
        <v>0.18055555555555555</v>
      </c>
      <c r="T63" s="43">
        <f t="shared" si="2"/>
        <v>46239</v>
      </c>
    </row>
    <row r="64" spans="1:20">
      <c r="A64" s="20">
        <v>18</v>
      </c>
      <c r="B64" s="21" t="s">
        <v>38</v>
      </c>
      <c r="C64" s="22">
        <v>52</v>
      </c>
      <c r="D64" s="23">
        <v>6</v>
      </c>
      <c r="E64" s="24">
        <v>46178</v>
      </c>
      <c r="F64" s="25">
        <v>0.82638888888888884</v>
      </c>
      <c r="G64" s="23">
        <v>3</v>
      </c>
      <c r="H64" s="24">
        <v>46180</v>
      </c>
      <c r="I64" s="25">
        <v>0.47916666666666669</v>
      </c>
      <c r="J64" s="23">
        <v>7</v>
      </c>
      <c r="K64" s="24">
        <v>46183</v>
      </c>
      <c r="L64" s="25">
        <v>0.11805555555555555</v>
      </c>
      <c r="M64" s="23">
        <v>2</v>
      </c>
      <c r="N64" s="24">
        <v>46185</v>
      </c>
      <c r="O64" s="25">
        <v>0.4513888888888889</v>
      </c>
      <c r="P64" s="26">
        <f t="shared" si="6"/>
        <v>2</v>
      </c>
      <c r="Q64" s="24">
        <f t="shared" si="8"/>
        <v>46191.25</v>
      </c>
      <c r="R64" s="24">
        <v>46193</v>
      </c>
      <c r="S64" s="25">
        <v>0.1736111111111111</v>
      </c>
      <c r="T64" s="27">
        <f t="shared" si="2"/>
        <v>46244</v>
      </c>
    </row>
    <row r="65" spans="1:20">
      <c r="A65" s="28">
        <v>18</v>
      </c>
      <c r="B65" s="29"/>
      <c r="C65" s="30">
        <v>53</v>
      </c>
      <c r="D65" s="31">
        <v>7</v>
      </c>
      <c r="E65" s="32">
        <v>46179</v>
      </c>
      <c r="F65" s="33">
        <v>1.3888888888888888E-2</v>
      </c>
      <c r="G65" s="31">
        <v>2</v>
      </c>
      <c r="H65" s="32">
        <v>46180</v>
      </c>
      <c r="I65" s="33">
        <v>0.61458333333333337</v>
      </c>
      <c r="J65" s="31">
        <v>8</v>
      </c>
      <c r="K65" s="32">
        <v>46183</v>
      </c>
      <c r="L65" s="33">
        <v>0.2361111111111111</v>
      </c>
      <c r="M65" s="31">
        <v>3</v>
      </c>
      <c r="N65" s="32">
        <v>46185</v>
      </c>
      <c r="O65" s="33">
        <v>0.61805555555555558</v>
      </c>
      <c r="P65" s="34">
        <f t="shared" si="6"/>
        <v>3</v>
      </c>
      <c r="Q65" s="32">
        <f t="shared" si="8"/>
        <v>46191.25</v>
      </c>
      <c r="R65" s="32">
        <v>46192</v>
      </c>
      <c r="S65" s="33">
        <v>0.40972222222222221</v>
      </c>
      <c r="T65" s="35">
        <f t="shared" si="2"/>
        <v>46243</v>
      </c>
    </row>
    <row r="66" spans="1:20" ht="19.5" thickBot="1">
      <c r="A66" s="36">
        <v>18</v>
      </c>
      <c r="B66" s="37"/>
      <c r="C66" s="38">
        <v>54</v>
      </c>
      <c r="D66" s="39">
        <v>8</v>
      </c>
      <c r="E66" s="40">
        <v>46179</v>
      </c>
      <c r="F66" s="41">
        <v>0.14583333333333334</v>
      </c>
      <c r="G66" s="39">
        <v>1</v>
      </c>
      <c r="H66" s="40">
        <v>46180</v>
      </c>
      <c r="I66" s="41">
        <v>0.72916666666666663</v>
      </c>
      <c r="J66" s="39">
        <v>9</v>
      </c>
      <c r="K66" s="40">
        <v>46183</v>
      </c>
      <c r="L66" s="41">
        <v>0.41666666666666669</v>
      </c>
      <c r="M66" s="39">
        <v>11</v>
      </c>
      <c r="N66" s="40">
        <v>46185</v>
      </c>
      <c r="O66" s="41">
        <v>0.69791666666666663</v>
      </c>
      <c r="P66" s="42">
        <f t="shared" si="6"/>
        <v>11</v>
      </c>
      <c r="Q66" s="40">
        <f t="shared" si="8"/>
        <v>46191.25</v>
      </c>
      <c r="R66" s="40">
        <v>46193</v>
      </c>
      <c r="S66" s="41">
        <v>0.61111111111111116</v>
      </c>
      <c r="T66" s="43">
        <f t="shared" si="2"/>
        <v>46244</v>
      </c>
    </row>
    <row r="67" spans="1:20">
      <c r="A67" s="20">
        <v>19</v>
      </c>
      <c r="B67" s="21" t="s">
        <v>39</v>
      </c>
      <c r="C67" s="22">
        <v>55</v>
      </c>
      <c r="D67" s="23">
        <v>4</v>
      </c>
      <c r="E67" s="24">
        <v>46182</v>
      </c>
      <c r="F67" s="25">
        <v>0.625</v>
      </c>
      <c r="G67" s="23">
        <v>3</v>
      </c>
      <c r="H67" s="24">
        <v>46185</v>
      </c>
      <c r="I67" s="25">
        <v>0.35069444444444442</v>
      </c>
      <c r="J67" s="23"/>
      <c r="K67" s="24"/>
      <c r="L67" s="25"/>
      <c r="M67" s="23">
        <v>6</v>
      </c>
      <c r="N67" s="24">
        <v>46188</v>
      </c>
      <c r="O67" s="25">
        <v>0.48958333333333331</v>
      </c>
      <c r="P67" s="26">
        <f t="shared" si="6"/>
        <v>6</v>
      </c>
      <c r="Q67" s="24">
        <f t="shared" si="8"/>
        <v>46194.25</v>
      </c>
      <c r="R67" s="24">
        <v>46194</v>
      </c>
      <c r="S67" s="25">
        <v>0.22222222222222221</v>
      </c>
      <c r="T67" s="27">
        <f t="shared" si="2"/>
        <v>46245</v>
      </c>
    </row>
    <row r="68" spans="1:20">
      <c r="A68" s="28">
        <v>19</v>
      </c>
      <c r="B68" s="29"/>
      <c r="C68" s="30">
        <v>56</v>
      </c>
      <c r="D68" s="31">
        <v>5</v>
      </c>
      <c r="E68" s="32">
        <v>46182</v>
      </c>
      <c r="F68" s="33">
        <v>0.83333333333333337</v>
      </c>
      <c r="G68" s="31">
        <v>2</v>
      </c>
      <c r="H68" s="32">
        <v>46185</v>
      </c>
      <c r="I68" s="33">
        <v>0.86458333333333337</v>
      </c>
      <c r="M68" s="31">
        <v>10</v>
      </c>
      <c r="N68" s="32">
        <v>46188</v>
      </c>
      <c r="O68" s="33">
        <v>7.2916666666666671E-2</v>
      </c>
      <c r="P68" s="34">
        <f t="shared" si="6"/>
        <v>10</v>
      </c>
      <c r="Q68" s="32">
        <f t="shared" si="8"/>
        <v>46194.25</v>
      </c>
      <c r="R68" s="32">
        <v>46196</v>
      </c>
      <c r="S68" s="33">
        <v>0.16666666666666666</v>
      </c>
      <c r="T68" s="35">
        <f t="shared" si="2"/>
        <v>46247</v>
      </c>
    </row>
    <row r="69" spans="1:20" ht="19.5" thickBot="1">
      <c r="A69" s="36">
        <v>19</v>
      </c>
      <c r="B69" s="37"/>
      <c r="C69" s="38">
        <v>57</v>
      </c>
      <c r="D69" s="39">
        <v>6</v>
      </c>
      <c r="E69" s="40">
        <v>46182</v>
      </c>
      <c r="F69" s="41">
        <v>0.97916666666666663</v>
      </c>
      <c r="G69" s="39">
        <v>1</v>
      </c>
      <c r="H69" s="40">
        <v>46185</v>
      </c>
      <c r="I69" s="41">
        <v>0.99861111111111112</v>
      </c>
      <c r="J69" s="39"/>
      <c r="K69" s="40"/>
      <c r="L69" s="41"/>
      <c r="M69" s="39">
        <v>9</v>
      </c>
      <c r="N69" s="40">
        <v>46188</v>
      </c>
      <c r="O69" s="41">
        <v>0.1736111111111111</v>
      </c>
      <c r="P69" s="42">
        <f t="shared" si="6"/>
        <v>9</v>
      </c>
      <c r="Q69" s="40">
        <f t="shared" si="8"/>
        <v>46194.25</v>
      </c>
      <c r="R69" s="40">
        <v>46195</v>
      </c>
      <c r="S69" s="41">
        <v>0.20833333333333334</v>
      </c>
      <c r="T69" s="43">
        <f t="shared" si="2"/>
        <v>46246</v>
      </c>
    </row>
    <row r="70" spans="1:20">
      <c r="A70" s="20">
        <v>20</v>
      </c>
      <c r="B70" s="21" t="s">
        <v>40</v>
      </c>
      <c r="C70" s="22">
        <v>58</v>
      </c>
      <c r="D70" s="23">
        <v>10</v>
      </c>
      <c r="E70" s="24">
        <v>46186</v>
      </c>
      <c r="F70" s="25">
        <v>0.10416666666666667</v>
      </c>
      <c r="G70" s="23">
        <v>7</v>
      </c>
      <c r="H70" s="24">
        <v>46188</v>
      </c>
      <c r="I70" s="25">
        <v>0.45833333333333331</v>
      </c>
      <c r="J70" s="23"/>
      <c r="K70" s="26"/>
      <c r="L70" s="25"/>
      <c r="M70" s="23">
        <v>1</v>
      </c>
      <c r="N70" s="24">
        <v>46190</v>
      </c>
      <c r="O70" s="25">
        <v>0.95833333333333337</v>
      </c>
      <c r="P70" s="26">
        <f t="shared" si="6"/>
        <v>1</v>
      </c>
      <c r="Q70" s="24">
        <f t="shared" si="8"/>
        <v>46196.25</v>
      </c>
      <c r="R70" s="24">
        <v>46197</v>
      </c>
      <c r="S70" s="25">
        <v>0.49305555555555558</v>
      </c>
      <c r="T70" s="27">
        <f t="shared" si="2"/>
        <v>46248</v>
      </c>
    </row>
    <row r="71" spans="1:20">
      <c r="A71" s="28">
        <v>20</v>
      </c>
      <c r="B71" s="29"/>
      <c r="C71" s="30">
        <v>59</v>
      </c>
      <c r="D71" s="31">
        <v>11</v>
      </c>
      <c r="E71" s="32">
        <v>46186</v>
      </c>
      <c r="F71" s="33">
        <v>0.33333333333333331</v>
      </c>
      <c r="G71" s="31">
        <v>8</v>
      </c>
      <c r="H71" s="32">
        <v>46189</v>
      </c>
      <c r="I71" s="33">
        <v>0.39583333333333331</v>
      </c>
      <c r="K71" s="34"/>
      <c r="M71" s="31">
        <v>8</v>
      </c>
      <c r="N71" s="32">
        <v>46192</v>
      </c>
      <c r="O71" s="33">
        <v>8.3333333333333329E-2</v>
      </c>
      <c r="P71" s="34">
        <f t="shared" si="6"/>
        <v>8</v>
      </c>
      <c r="Q71" s="32">
        <f t="shared" si="8"/>
        <v>46198.25</v>
      </c>
      <c r="R71" s="32">
        <v>46198</v>
      </c>
      <c r="S71" s="33">
        <v>0.56944444444444442</v>
      </c>
      <c r="T71" s="35">
        <f t="shared" ref="T71:T128" si="9">R71+51</f>
        <v>46249</v>
      </c>
    </row>
    <row r="72" spans="1:20" ht="19.5" thickBot="1">
      <c r="A72" s="36">
        <v>20</v>
      </c>
      <c r="B72" s="37"/>
      <c r="C72" s="38">
        <v>60</v>
      </c>
      <c r="D72" s="39">
        <v>9</v>
      </c>
      <c r="E72" s="40">
        <v>46186</v>
      </c>
      <c r="F72" s="41">
        <v>0.4861111111111111</v>
      </c>
      <c r="G72" s="39">
        <v>1</v>
      </c>
      <c r="H72" s="40">
        <v>46189</v>
      </c>
      <c r="I72" s="41">
        <v>0.51041666666666663</v>
      </c>
      <c r="J72" s="39"/>
      <c r="K72" s="42"/>
      <c r="L72" s="41"/>
      <c r="M72" s="39">
        <v>4</v>
      </c>
      <c r="N72" s="40">
        <v>46192</v>
      </c>
      <c r="O72" s="41">
        <v>0.28472222222222221</v>
      </c>
      <c r="P72" s="42">
        <f t="shared" si="6"/>
        <v>4</v>
      </c>
      <c r="Q72" s="40">
        <f t="shared" si="8"/>
        <v>46198.25</v>
      </c>
      <c r="R72" s="40">
        <v>46199</v>
      </c>
      <c r="S72" s="41">
        <v>0.36805555555555558</v>
      </c>
      <c r="T72" s="43">
        <f t="shared" si="9"/>
        <v>46250</v>
      </c>
    </row>
    <row r="73" spans="1:20">
      <c r="A73" s="20">
        <v>22</v>
      </c>
      <c r="B73" s="21" t="s">
        <v>41</v>
      </c>
      <c r="C73" s="22">
        <v>61</v>
      </c>
      <c r="D73" s="23">
        <v>2</v>
      </c>
      <c r="E73" s="24">
        <v>46188</v>
      </c>
      <c r="F73" s="25">
        <v>0.64583333333333337</v>
      </c>
      <c r="G73" s="23">
        <v>7</v>
      </c>
      <c r="H73" s="24">
        <v>46191</v>
      </c>
      <c r="I73" s="25">
        <v>0.41666666666666669</v>
      </c>
      <c r="J73" s="23"/>
      <c r="K73" s="26"/>
      <c r="L73" s="25"/>
      <c r="M73" s="23">
        <v>5</v>
      </c>
      <c r="N73" s="24">
        <v>46194</v>
      </c>
      <c r="O73" s="25">
        <v>0.125</v>
      </c>
      <c r="P73" s="26">
        <f t="shared" si="6"/>
        <v>5</v>
      </c>
      <c r="Q73" s="24">
        <f t="shared" si="8"/>
        <v>46200.25</v>
      </c>
      <c r="R73" s="24">
        <v>46200</v>
      </c>
      <c r="S73" s="25">
        <v>0.61805555555555558</v>
      </c>
      <c r="T73" s="27">
        <f t="shared" si="9"/>
        <v>46251</v>
      </c>
    </row>
    <row r="74" spans="1:20">
      <c r="A74" s="28">
        <v>22</v>
      </c>
      <c r="B74" s="29"/>
      <c r="C74" s="30">
        <v>62</v>
      </c>
      <c r="D74" s="31">
        <v>9</v>
      </c>
      <c r="E74" s="32">
        <v>46188</v>
      </c>
      <c r="F74" s="33">
        <v>0.88194444444444442</v>
      </c>
      <c r="G74" s="31">
        <v>11</v>
      </c>
      <c r="H74" s="32">
        <v>46192</v>
      </c>
      <c r="I74" s="33">
        <v>0.41666666666666669</v>
      </c>
      <c r="K74" s="34"/>
      <c r="M74" s="31">
        <v>3</v>
      </c>
      <c r="N74" s="32">
        <v>46195</v>
      </c>
      <c r="O74" s="33">
        <v>0.14583333333333334</v>
      </c>
      <c r="P74" s="34">
        <f t="shared" si="6"/>
        <v>3</v>
      </c>
      <c r="Q74" s="32">
        <f t="shared" si="8"/>
        <v>46201.25</v>
      </c>
      <c r="R74" s="32">
        <v>46202</v>
      </c>
      <c r="S74" s="33">
        <v>0.625</v>
      </c>
      <c r="T74" s="35">
        <f t="shared" si="9"/>
        <v>46253</v>
      </c>
    </row>
    <row r="75" spans="1:20" ht="19.5" thickBot="1">
      <c r="A75" s="36">
        <v>22</v>
      </c>
      <c r="B75" s="37"/>
      <c r="C75" s="38">
        <v>63</v>
      </c>
      <c r="D75" s="39">
        <v>4</v>
      </c>
      <c r="E75" s="40">
        <v>46189</v>
      </c>
      <c r="F75" s="41">
        <v>7.6388888888888895E-2</v>
      </c>
      <c r="G75" s="39">
        <v>10</v>
      </c>
      <c r="H75" s="40">
        <v>46191</v>
      </c>
      <c r="I75" s="41">
        <v>0.75694444444444442</v>
      </c>
      <c r="J75" s="39"/>
      <c r="K75" s="42"/>
      <c r="L75" s="41"/>
      <c r="M75" s="39">
        <v>12</v>
      </c>
      <c r="N75" s="40">
        <v>46194</v>
      </c>
      <c r="O75" s="41">
        <v>0.82638888888888884</v>
      </c>
      <c r="P75" s="42">
        <f t="shared" si="6"/>
        <v>12</v>
      </c>
      <c r="Q75" s="40">
        <f t="shared" si="8"/>
        <v>46200.25</v>
      </c>
      <c r="R75" s="40">
        <v>46201</v>
      </c>
      <c r="S75" s="41" t="s">
        <v>42</v>
      </c>
      <c r="T75" s="43">
        <f t="shared" si="9"/>
        <v>46252</v>
      </c>
    </row>
    <row r="76" spans="1:20">
      <c r="A76" s="20">
        <v>23</v>
      </c>
      <c r="B76" s="21" t="s">
        <v>43</v>
      </c>
      <c r="C76" s="22">
        <v>64</v>
      </c>
      <c r="D76" s="23">
        <v>4</v>
      </c>
      <c r="E76" s="24">
        <v>46192</v>
      </c>
      <c r="F76" s="25">
        <v>0.52777777777777779</v>
      </c>
      <c r="G76" s="23">
        <v>6</v>
      </c>
      <c r="H76" s="24">
        <v>46195</v>
      </c>
      <c r="I76" s="25">
        <v>2.7777777777777776E-2</v>
      </c>
      <c r="J76" s="23">
        <v>7</v>
      </c>
      <c r="K76" s="24">
        <v>46197</v>
      </c>
      <c r="L76" s="25">
        <v>0.3923611111111111</v>
      </c>
      <c r="M76" s="23">
        <v>6</v>
      </c>
      <c r="N76" s="24">
        <v>46198</v>
      </c>
      <c r="O76" s="25">
        <v>0.98263888888888884</v>
      </c>
      <c r="P76" s="26">
        <f t="shared" si="6"/>
        <v>6</v>
      </c>
      <c r="Q76" s="24">
        <f t="shared" si="8"/>
        <v>46204.25</v>
      </c>
      <c r="R76" s="24">
        <v>46205</v>
      </c>
      <c r="S76" s="25">
        <v>0.4236111111111111</v>
      </c>
      <c r="T76" s="27">
        <f t="shared" si="9"/>
        <v>46256</v>
      </c>
    </row>
    <row r="77" spans="1:20">
      <c r="A77" s="28">
        <v>23</v>
      </c>
      <c r="B77" s="29"/>
      <c r="C77" s="56">
        <v>65</v>
      </c>
      <c r="D77" s="44">
        <v>5</v>
      </c>
      <c r="E77" s="45">
        <v>46191</v>
      </c>
      <c r="F77" s="46">
        <v>0.85416666666666663</v>
      </c>
      <c r="Q77" s="32"/>
      <c r="T77" s="35"/>
    </row>
    <row r="78" spans="1:20">
      <c r="A78" s="28">
        <v>23</v>
      </c>
      <c r="B78" s="29"/>
      <c r="C78" s="30">
        <v>65</v>
      </c>
      <c r="D78" s="31">
        <v>1</v>
      </c>
      <c r="E78" s="55">
        <v>46192</v>
      </c>
      <c r="F78" s="33">
        <v>0.86805555555555558</v>
      </c>
      <c r="G78" s="31">
        <v>4</v>
      </c>
      <c r="H78" s="32">
        <v>46195</v>
      </c>
      <c r="I78" s="33">
        <v>0.45833333333333331</v>
      </c>
      <c r="M78" s="31">
        <v>7</v>
      </c>
      <c r="N78" s="32">
        <v>46198</v>
      </c>
      <c r="O78" s="33">
        <v>6.25E-2</v>
      </c>
      <c r="P78" s="34">
        <f t="shared" si="6"/>
        <v>7</v>
      </c>
      <c r="Q78" s="32">
        <f t="shared" si="8"/>
        <v>46204.25</v>
      </c>
      <c r="R78" s="32">
        <v>46204</v>
      </c>
      <c r="S78" s="33">
        <v>0.40625</v>
      </c>
      <c r="T78" s="35">
        <f t="shared" si="9"/>
        <v>46255</v>
      </c>
    </row>
    <row r="79" spans="1:20" ht="19.5" thickBot="1">
      <c r="A79" s="36">
        <v>23</v>
      </c>
      <c r="B79" s="37"/>
      <c r="C79" s="38">
        <v>66</v>
      </c>
      <c r="D79" s="39">
        <v>3</v>
      </c>
      <c r="E79" s="40">
        <v>46191</v>
      </c>
      <c r="F79" s="41">
        <v>0.96527777777777779</v>
      </c>
      <c r="G79" s="39">
        <v>5</v>
      </c>
      <c r="H79" s="40">
        <v>46194</v>
      </c>
      <c r="I79" s="41">
        <v>0.46180555555555558</v>
      </c>
      <c r="J79" s="39"/>
      <c r="K79" s="40"/>
      <c r="L79" s="41"/>
      <c r="M79" s="39">
        <v>2</v>
      </c>
      <c r="N79" s="40">
        <v>46197</v>
      </c>
      <c r="O79" s="41">
        <v>0.49305555555555558</v>
      </c>
      <c r="P79" s="42">
        <f t="shared" si="6"/>
        <v>2</v>
      </c>
      <c r="Q79" s="40">
        <f t="shared" si="8"/>
        <v>46203.25</v>
      </c>
      <c r="R79" s="40">
        <v>46203</v>
      </c>
      <c r="S79" s="41">
        <v>0.45833333333333331</v>
      </c>
      <c r="T79" s="43">
        <f t="shared" si="9"/>
        <v>46254</v>
      </c>
    </row>
    <row r="80" spans="1:20">
      <c r="A80" s="20">
        <v>24</v>
      </c>
      <c r="B80" s="21" t="s">
        <v>44</v>
      </c>
      <c r="C80" s="22">
        <v>67</v>
      </c>
      <c r="D80" s="23">
        <v>10</v>
      </c>
      <c r="E80" s="24">
        <v>46195</v>
      </c>
      <c r="F80" s="25">
        <v>0.54166666666666663</v>
      </c>
      <c r="G80" s="23">
        <v>8</v>
      </c>
      <c r="H80" s="24">
        <v>46198</v>
      </c>
      <c r="I80" s="25">
        <v>0.46527777777777779</v>
      </c>
      <c r="J80" s="23"/>
      <c r="K80" s="24"/>
      <c r="L80" s="25"/>
      <c r="M80" s="23">
        <v>10</v>
      </c>
      <c r="N80" s="24">
        <v>46200</v>
      </c>
      <c r="O80" s="25">
        <v>5.2083333333333336E-2</v>
      </c>
      <c r="P80" s="26">
        <f t="shared" si="6"/>
        <v>10</v>
      </c>
      <c r="Q80" s="24">
        <f t="shared" si="8"/>
        <v>46206.25</v>
      </c>
      <c r="R80" s="24">
        <v>46210</v>
      </c>
      <c r="S80" s="25">
        <v>0.47916666666666669</v>
      </c>
      <c r="T80" s="27">
        <f t="shared" si="9"/>
        <v>46261</v>
      </c>
    </row>
    <row r="81" spans="1:20" ht="19.5" customHeight="1">
      <c r="A81" s="28">
        <v>24</v>
      </c>
      <c r="B81" s="29"/>
      <c r="C81" s="30">
        <v>68</v>
      </c>
      <c r="D81" s="31">
        <v>11</v>
      </c>
      <c r="E81" s="32">
        <v>46195</v>
      </c>
      <c r="F81" s="33">
        <v>0.72916666666666663</v>
      </c>
      <c r="G81" s="31">
        <v>9</v>
      </c>
      <c r="H81" s="32">
        <v>46198</v>
      </c>
      <c r="I81" s="33">
        <v>0.64583333333333337</v>
      </c>
      <c r="M81" s="31">
        <v>11</v>
      </c>
      <c r="N81" s="32">
        <v>46200</v>
      </c>
      <c r="O81" s="33">
        <v>0.15972222222222221</v>
      </c>
      <c r="P81" s="34">
        <f t="shared" si="6"/>
        <v>11</v>
      </c>
      <c r="Q81" s="32">
        <f t="shared" si="8"/>
        <v>46206.25</v>
      </c>
      <c r="R81" s="32">
        <v>46209</v>
      </c>
      <c r="S81" s="33">
        <v>0.25694444444444442</v>
      </c>
      <c r="T81" s="35">
        <f t="shared" si="9"/>
        <v>46260</v>
      </c>
    </row>
    <row r="82" spans="1:20" ht="19.5" customHeight="1">
      <c r="A82" s="28">
        <v>24</v>
      </c>
      <c r="B82" s="29"/>
      <c r="C82" s="30">
        <v>69</v>
      </c>
      <c r="M82" s="31">
        <v>8</v>
      </c>
      <c r="N82" s="32">
        <v>46200</v>
      </c>
      <c r="O82" s="33">
        <v>0.4548611111111111</v>
      </c>
      <c r="P82" s="34">
        <f t="shared" si="6"/>
        <v>8</v>
      </c>
      <c r="Q82" s="32">
        <f>N82+(150/24)</f>
        <v>46206.25</v>
      </c>
      <c r="T82" s="35">
        <f t="shared" si="9"/>
        <v>51</v>
      </c>
    </row>
    <row r="83" spans="1:20" ht="19.5" customHeight="1">
      <c r="A83" s="28">
        <v>24</v>
      </c>
      <c r="B83" s="29"/>
      <c r="M83" s="44">
        <v>1</v>
      </c>
      <c r="N83" s="45">
        <v>46202</v>
      </c>
      <c r="O83" s="46">
        <v>0.50694444444444442</v>
      </c>
      <c r="P83" s="34">
        <f t="shared" si="6"/>
        <v>1</v>
      </c>
      <c r="Q83" s="32">
        <v>46208</v>
      </c>
      <c r="R83" s="32">
        <v>46210</v>
      </c>
      <c r="S83" s="33" t="s">
        <v>45</v>
      </c>
      <c r="T83" s="35">
        <f t="shared" si="9"/>
        <v>46261</v>
      </c>
    </row>
    <row r="84" spans="1:20" ht="19.5" thickBot="1">
      <c r="A84" s="36">
        <v>24</v>
      </c>
      <c r="B84" s="37"/>
      <c r="C84" s="38"/>
      <c r="D84" s="39"/>
      <c r="E84" s="40"/>
      <c r="F84" s="41"/>
      <c r="G84" s="39"/>
      <c r="H84" s="40"/>
      <c r="I84" s="41"/>
      <c r="J84" s="39"/>
      <c r="K84" s="40"/>
      <c r="L84" s="41"/>
      <c r="M84" s="48">
        <v>5</v>
      </c>
      <c r="N84" s="49">
        <v>46202</v>
      </c>
      <c r="O84" s="58">
        <v>0.13194444444444445</v>
      </c>
      <c r="P84" s="42">
        <f t="shared" si="6"/>
        <v>5</v>
      </c>
      <c r="Q84" s="32">
        <v>46208</v>
      </c>
      <c r="R84" s="40">
        <v>46209</v>
      </c>
      <c r="S84" s="41" t="s">
        <v>46</v>
      </c>
      <c r="T84" s="43">
        <f t="shared" si="9"/>
        <v>46260</v>
      </c>
    </row>
    <row r="85" spans="1:20">
      <c r="A85" s="20">
        <v>25</v>
      </c>
      <c r="B85" s="21" t="s">
        <v>47</v>
      </c>
      <c r="C85" s="59">
        <v>70</v>
      </c>
      <c r="D85" s="51">
        <v>6</v>
      </c>
      <c r="E85" s="52">
        <v>46198</v>
      </c>
      <c r="F85" s="53">
        <v>0.40277777777777779</v>
      </c>
      <c r="G85" s="23"/>
      <c r="H85" s="24"/>
      <c r="I85" s="25"/>
      <c r="J85" s="23"/>
      <c r="K85" s="26"/>
      <c r="L85" s="25"/>
      <c r="M85" s="23"/>
      <c r="N85" s="24"/>
      <c r="O85" s="25"/>
      <c r="P85" s="26"/>
      <c r="Q85" s="24"/>
      <c r="R85" s="24"/>
      <c r="S85" s="25"/>
      <c r="T85" s="27">
        <f t="shared" si="9"/>
        <v>51</v>
      </c>
    </row>
    <row r="86" spans="1:20">
      <c r="A86" s="28">
        <v>25</v>
      </c>
      <c r="B86" s="29"/>
      <c r="C86" s="30">
        <v>70</v>
      </c>
      <c r="D86" s="31">
        <v>10</v>
      </c>
      <c r="E86" s="55">
        <v>46199</v>
      </c>
      <c r="F86" s="33">
        <v>0.46875</v>
      </c>
      <c r="G86" s="31">
        <v>9</v>
      </c>
      <c r="H86" s="32">
        <v>46202</v>
      </c>
      <c r="I86" s="33">
        <v>0.43402777777777779</v>
      </c>
      <c r="K86" s="34"/>
      <c r="M86" s="31">
        <v>9</v>
      </c>
      <c r="N86" s="32">
        <v>46205</v>
      </c>
      <c r="O86" s="33">
        <v>0.16666666666666666</v>
      </c>
      <c r="P86" s="34">
        <v>9</v>
      </c>
      <c r="Q86" s="32">
        <f>N87+(150/24)</f>
        <v>46210.25</v>
      </c>
      <c r="R86" s="32">
        <v>46211</v>
      </c>
      <c r="S86" s="33">
        <v>0.59722222222222221</v>
      </c>
      <c r="T86" s="35">
        <f t="shared" si="9"/>
        <v>46262</v>
      </c>
    </row>
    <row r="87" spans="1:20">
      <c r="A87" s="28">
        <v>25</v>
      </c>
      <c r="B87" s="29"/>
      <c r="C87" s="30">
        <v>71</v>
      </c>
      <c r="D87" s="31">
        <v>5</v>
      </c>
      <c r="E87" s="32">
        <v>46198</v>
      </c>
      <c r="F87" s="33">
        <v>0.51388888888888884</v>
      </c>
      <c r="G87" s="31">
        <v>7</v>
      </c>
      <c r="H87" s="32">
        <v>46201</v>
      </c>
      <c r="I87" s="33">
        <v>0.61805555555555558</v>
      </c>
      <c r="K87" s="34"/>
      <c r="M87" s="31">
        <v>8</v>
      </c>
      <c r="N87" s="32">
        <v>46204</v>
      </c>
      <c r="O87" s="33">
        <v>0.375</v>
      </c>
      <c r="P87" s="34">
        <v>8</v>
      </c>
      <c r="Q87" s="32"/>
      <c r="T87" s="35">
        <f t="shared" si="9"/>
        <v>51</v>
      </c>
    </row>
    <row r="88" spans="1:20">
      <c r="A88" s="28">
        <v>25</v>
      </c>
      <c r="B88" s="29"/>
      <c r="C88" s="56">
        <v>72</v>
      </c>
      <c r="D88" s="44">
        <v>4</v>
      </c>
      <c r="E88" s="45">
        <v>46198</v>
      </c>
      <c r="F88" s="46">
        <v>0.69097222222222221</v>
      </c>
      <c r="Q88" s="32">
        <f>N86+(150/24)</f>
        <v>46211.25</v>
      </c>
      <c r="R88" s="32">
        <v>46212</v>
      </c>
      <c r="S88" s="33">
        <v>0.30555555555555558</v>
      </c>
      <c r="T88" s="35">
        <f t="shared" si="9"/>
        <v>46263</v>
      </c>
    </row>
    <row r="89" spans="1:20">
      <c r="A89" s="28">
        <v>25</v>
      </c>
      <c r="B89" s="29"/>
      <c r="C89" s="30">
        <v>72</v>
      </c>
      <c r="D89" s="31">
        <v>11</v>
      </c>
      <c r="E89" s="32">
        <v>46199</v>
      </c>
      <c r="F89" s="33">
        <v>0.63541666666666663</v>
      </c>
      <c r="G89" s="44">
        <v>8</v>
      </c>
      <c r="H89" s="45">
        <v>46202</v>
      </c>
      <c r="I89" s="46">
        <v>0.34375</v>
      </c>
      <c r="Q89" s="32"/>
      <c r="T89" s="35">
        <f t="shared" si="9"/>
        <v>51</v>
      </c>
    </row>
    <row r="90" spans="1:20" ht="19.5" thickBot="1">
      <c r="A90" s="36">
        <v>25</v>
      </c>
      <c r="B90" s="37"/>
      <c r="C90" s="38"/>
      <c r="D90" s="39"/>
      <c r="E90" s="40"/>
      <c r="F90" s="41"/>
      <c r="G90" s="39">
        <v>11</v>
      </c>
      <c r="H90" s="57">
        <v>46203</v>
      </c>
      <c r="I90" s="60">
        <v>0.73611111111111116</v>
      </c>
      <c r="J90" s="39"/>
      <c r="K90" s="40"/>
      <c r="L90" s="41"/>
      <c r="M90" s="39">
        <v>2</v>
      </c>
      <c r="N90" s="40">
        <v>46205</v>
      </c>
      <c r="O90" s="41">
        <v>0.3576388888888889</v>
      </c>
      <c r="P90" s="42">
        <f t="shared" si="6"/>
        <v>2</v>
      </c>
      <c r="Q90" s="40">
        <f t="shared" si="8"/>
        <v>46211.25</v>
      </c>
      <c r="R90" s="40">
        <v>46212</v>
      </c>
      <c r="S90" s="41" t="s">
        <v>48</v>
      </c>
      <c r="T90" s="43">
        <f t="shared" si="9"/>
        <v>46263</v>
      </c>
    </row>
    <row r="91" spans="1:20">
      <c r="A91" s="20">
        <v>26</v>
      </c>
      <c r="B91" s="21" t="s">
        <v>49</v>
      </c>
      <c r="C91" s="22">
        <v>73</v>
      </c>
      <c r="D91" s="23">
        <v>2</v>
      </c>
      <c r="E91" s="24">
        <v>46201</v>
      </c>
      <c r="F91" s="25">
        <v>0.3263888888888889</v>
      </c>
      <c r="G91" s="23">
        <v>6</v>
      </c>
      <c r="H91" s="24">
        <v>46204</v>
      </c>
      <c r="I91" s="25">
        <v>0.13194444444444445</v>
      </c>
      <c r="J91" s="23"/>
      <c r="K91" s="24"/>
      <c r="L91" s="25"/>
      <c r="M91" s="23">
        <v>3</v>
      </c>
      <c r="N91" s="24">
        <v>46206</v>
      </c>
      <c r="O91" s="25">
        <v>0.33819444444444446</v>
      </c>
      <c r="P91" s="26">
        <f t="shared" si="6"/>
        <v>3</v>
      </c>
      <c r="Q91" s="24">
        <f t="shared" si="8"/>
        <v>46212.25</v>
      </c>
      <c r="R91" s="24">
        <v>46214</v>
      </c>
      <c r="S91" s="25">
        <v>0.44444444444444442</v>
      </c>
      <c r="T91" s="27">
        <f t="shared" si="9"/>
        <v>46265</v>
      </c>
    </row>
    <row r="92" spans="1:20" ht="19.5" customHeight="1">
      <c r="A92" s="28">
        <v>26</v>
      </c>
      <c r="B92" s="29"/>
      <c r="C92" s="30">
        <v>74</v>
      </c>
      <c r="D92" s="31">
        <v>3</v>
      </c>
      <c r="E92" s="32">
        <v>46201</v>
      </c>
      <c r="F92" s="33">
        <v>0.45833333333333331</v>
      </c>
      <c r="G92" s="31">
        <v>7</v>
      </c>
      <c r="H92" s="32">
        <v>46204</v>
      </c>
      <c r="I92" s="33">
        <v>0.58680555555555558</v>
      </c>
      <c r="M92" s="31">
        <v>11</v>
      </c>
      <c r="N92" s="32">
        <v>46206</v>
      </c>
      <c r="O92" s="33">
        <v>0.57638888888888884</v>
      </c>
      <c r="P92" s="34">
        <f t="shared" si="6"/>
        <v>11</v>
      </c>
      <c r="Q92" s="32">
        <f t="shared" si="8"/>
        <v>46212.25</v>
      </c>
      <c r="R92" s="32">
        <v>46213</v>
      </c>
      <c r="S92" s="33">
        <v>0.45833333333333331</v>
      </c>
      <c r="T92" s="35">
        <f t="shared" si="9"/>
        <v>46264</v>
      </c>
    </row>
    <row r="93" spans="1:20" ht="19.5" thickBot="1">
      <c r="A93" s="36">
        <v>26</v>
      </c>
      <c r="B93" s="37"/>
      <c r="C93" s="38">
        <v>75</v>
      </c>
      <c r="D93" s="39">
        <v>4</v>
      </c>
      <c r="E93" s="40">
        <v>46201</v>
      </c>
      <c r="F93" s="41">
        <v>0.70833333333333337</v>
      </c>
      <c r="G93" s="39">
        <v>8</v>
      </c>
      <c r="H93" s="40">
        <v>46204</v>
      </c>
      <c r="I93" s="41">
        <v>0.68055555555555558</v>
      </c>
      <c r="J93" s="39"/>
      <c r="K93" s="40"/>
      <c r="L93" s="41"/>
      <c r="M93" s="39">
        <v>10</v>
      </c>
      <c r="N93" s="40">
        <v>46206</v>
      </c>
      <c r="O93" s="41">
        <v>0.68402777777777779</v>
      </c>
      <c r="P93" s="42">
        <f t="shared" si="6"/>
        <v>10</v>
      </c>
      <c r="Q93" s="40">
        <f t="shared" si="8"/>
        <v>46212.25</v>
      </c>
      <c r="R93" s="40">
        <v>46215</v>
      </c>
      <c r="S93" s="41">
        <v>0.3263888888888889</v>
      </c>
      <c r="T93" s="43">
        <f t="shared" si="9"/>
        <v>46266</v>
      </c>
    </row>
    <row r="94" spans="1:20">
      <c r="A94" s="20">
        <v>27</v>
      </c>
      <c r="B94" s="21" t="str" cm="1">
        <f t="array" ref="B94">_xlfn.TEXTJOIN(",",TRUE,VALUE(_xlfn.TEXTSPLIT(B91,","))+3)</f>
        <v>76,77,78</v>
      </c>
      <c r="C94" s="22">
        <v>76</v>
      </c>
      <c r="D94" s="23">
        <v>3</v>
      </c>
      <c r="E94" s="24">
        <v>46205</v>
      </c>
      <c r="F94" s="25">
        <v>0.47569444444444442</v>
      </c>
      <c r="G94" s="23">
        <v>5</v>
      </c>
      <c r="H94" s="24">
        <v>46208</v>
      </c>
      <c r="I94" s="25">
        <v>0.40972222222222221</v>
      </c>
      <c r="J94" s="23"/>
      <c r="K94" s="24"/>
      <c r="L94" s="25"/>
      <c r="M94" s="23">
        <v>7</v>
      </c>
      <c r="N94" s="24">
        <v>46210</v>
      </c>
      <c r="O94" s="25">
        <v>0.72222222222222221</v>
      </c>
      <c r="P94" s="26">
        <f t="shared" si="6"/>
        <v>7</v>
      </c>
      <c r="Q94" s="24">
        <f t="shared" si="8"/>
        <v>46216.25</v>
      </c>
      <c r="R94" s="24">
        <v>46217</v>
      </c>
      <c r="S94" s="25">
        <v>0.29166666666666669</v>
      </c>
      <c r="T94" s="27">
        <f t="shared" si="9"/>
        <v>46268</v>
      </c>
    </row>
    <row r="95" spans="1:20" ht="19.5" customHeight="1">
      <c r="A95" s="28">
        <v>27</v>
      </c>
      <c r="B95" s="29"/>
      <c r="C95" s="30">
        <v>77</v>
      </c>
      <c r="D95" s="31">
        <v>4</v>
      </c>
      <c r="E95" s="32">
        <v>46205</v>
      </c>
      <c r="F95" s="33">
        <v>0.63888888888888884</v>
      </c>
      <c r="G95" s="31">
        <v>6</v>
      </c>
      <c r="H95" s="32">
        <v>46208</v>
      </c>
      <c r="I95" s="33">
        <v>0.50694444444444442</v>
      </c>
      <c r="M95" s="31">
        <v>4</v>
      </c>
      <c r="N95" s="32">
        <v>46211</v>
      </c>
      <c r="O95" s="33">
        <v>2.4305555555555556E-2</v>
      </c>
      <c r="P95" s="34">
        <f t="shared" si="6"/>
        <v>4</v>
      </c>
      <c r="Q95" s="32">
        <f t="shared" si="8"/>
        <v>46217.25</v>
      </c>
      <c r="R95" s="32">
        <v>46218</v>
      </c>
      <c r="S95" s="33" t="s">
        <v>50</v>
      </c>
      <c r="T95" s="35">
        <f t="shared" si="9"/>
        <v>46269</v>
      </c>
    </row>
    <row r="96" spans="1:20" ht="19.5" customHeight="1" thickBot="1">
      <c r="A96" s="36">
        <v>27</v>
      </c>
      <c r="B96" s="37"/>
      <c r="C96" s="61">
        <v>78</v>
      </c>
      <c r="D96" s="48">
        <v>5</v>
      </c>
      <c r="E96" s="49">
        <v>46205</v>
      </c>
      <c r="F96" s="50">
        <v>0.74652777777777779</v>
      </c>
      <c r="G96" s="48">
        <v>11</v>
      </c>
      <c r="H96" s="62">
        <v>46206</v>
      </c>
      <c r="I96" s="58">
        <v>0.80555555555555558</v>
      </c>
      <c r="J96" s="39"/>
      <c r="K96" s="40"/>
      <c r="L96" s="41"/>
      <c r="M96" s="39">
        <v>6</v>
      </c>
      <c r="N96" s="40">
        <v>46210</v>
      </c>
      <c r="O96" s="41">
        <v>0.38541666666666669</v>
      </c>
      <c r="P96" s="42">
        <f t="shared" si="6"/>
        <v>6</v>
      </c>
      <c r="Q96" s="40">
        <f>N96+(150/24)</f>
        <v>46216.25</v>
      </c>
      <c r="R96" s="40">
        <v>46219</v>
      </c>
      <c r="S96" s="41" t="s">
        <v>51</v>
      </c>
      <c r="T96" s="43">
        <f t="shared" si="9"/>
        <v>46270</v>
      </c>
    </row>
    <row r="97" spans="1:20">
      <c r="A97" s="20">
        <v>28</v>
      </c>
      <c r="B97" s="21" t="str" cm="1">
        <f t="array" ref="B97">_xlfn.TEXTJOIN(",",TRUE,VALUE(_xlfn.TEXTSPLIT(B94,","))+3)</f>
        <v>79,80,81</v>
      </c>
      <c r="C97" s="22">
        <v>79</v>
      </c>
      <c r="D97" s="23">
        <v>10</v>
      </c>
      <c r="E97" s="24">
        <v>46572</v>
      </c>
      <c r="F97" s="25">
        <v>0.61458333333333337</v>
      </c>
      <c r="G97" s="23">
        <v>7</v>
      </c>
      <c r="H97" s="24">
        <v>46210</v>
      </c>
      <c r="I97" s="25">
        <v>0.54166666666666663</v>
      </c>
      <c r="J97" s="23"/>
      <c r="K97" s="24"/>
      <c r="L97" s="25"/>
      <c r="M97" s="23">
        <v>1</v>
      </c>
      <c r="N97" s="24">
        <v>46213</v>
      </c>
      <c r="O97" s="25">
        <v>0.51388888888888884</v>
      </c>
      <c r="P97" s="26">
        <f t="shared" si="6"/>
        <v>1</v>
      </c>
      <c r="Q97" s="24">
        <f t="shared" ref="Q97:Q142" si="10">N97+(150/24)</f>
        <v>46219.25</v>
      </c>
      <c r="R97" s="24">
        <v>46221</v>
      </c>
      <c r="S97" s="25" t="s">
        <v>52</v>
      </c>
      <c r="T97" s="27">
        <f t="shared" si="9"/>
        <v>46272</v>
      </c>
    </row>
    <row r="98" spans="1:20" ht="19.5" customHeight="1">
      <c r="A98" s="28">
        <v>28</v>
      </c>
      <c r="B98" s="29"/>
      <c r="C98" s="30">
        <v>80</v>
      </c>
      <c r="D98" s="31">
        <v>9</v>
      </c>
      <c r="E98" s="32">
        <v>46572</v>
      </c>
      <c r="F98" s="33">
        <v>0.8125</v>
      </c>
      <c r="G98" s="31">
        <v>11</v>
      </c>
      <c r="H98" s="32">
        <v>46210</v>
      </c>
      <c r="I98" s="33">
        <v>0.66666666666666663</v>
      </c>
      <c r="M98" s="31">
        <v>5</v>
      </c>
      <c r="N98" s="32">
        <v>46213</v>
      </c>
      <c r="O98" s="33">
        <v>0.65277777777777779</v>
      </c>
      <c r="P98" s="34">
        <f t="shared" si="6"/>
        <v>5</v>
      </c>
      <c r="Q98" s="32">
        <f t="shared" si="10"/>
        <v>46219.25</v>
      </c>
      <c r="R98" s="32">
        <v>46220</v>
      </c>
      <c r="S98" s="33" t="s">
        <v>53</v>
      </c>
      <c r="T98" s="35">
        <f t="shared" si="9"/>
        <v>46271</v>
      </c>
    </row>
    <row r="99" spans="1:20" ht="19.5" thickBot="1">
      <c r="A99" s="36">
        <v>28</v>
      </c>
      <c r="B99" s="37"/>
      <c r="C99" s="38">
        <v>81</v>
      </c>
      <c r="D99" s="39">
        <v>8</v>
      </c>
      <c r="E99" s="40">
        <v>46208</v>
      </c>
      <c r="F99" s="41">
        <v>5.5555555555555552E-2</v>
      </c>
      <c r="G99" s="39">
        <v>10</v>
      </c>
      <c r="H99" s="40">
        <v>46210</v>
      </c>
      <c r="I99" s="41">
        <v>0.88888888888888884</v>
      </c>
      <c r="J99" s="39"/>
      <c r="K99" s="40"/>
      <c r="L99" s="41"/>
      <c r="M99" s="39">
        <v>8</v>
      </c>
      <c r="N99" s="40">
        <v>46214</v>
      </c>
      <c r="O99" s="41">
        <v>0.39583333333333331</v>
      </c>
      <c r="P99" s="42">
        <f t="shared" si="6"/>
        <v>8</v>
      </c>
      <c r="Q99" s="40">
        <f t="shared" si="10"/>
        <v>46220.25</v>
      </c>
      <c r="R99" s="40">
        <v>46222</v>
      </c>
      <c r="S99" s="41" t="s">
        <v>54</v>
      </c>
      <c r="T99" s="43">
        <f t="shared" si="9"/>
        <v>46273</v>
      </c>
    </row>
    <row r="100" spans="1:20">
      <c r="A100" s="20">
        <v>29</v>
      </c>
      <c r="B100" s="21" t="str" cm="1">
        <f t="array" ref="B100">_xlfn.TEXTJOIN(",",TRUE,VALUE(_xlfn.TEXTSPLIT(B97,","))+3)</f>
        <v>82,83,84</v>
      </c>
      <c r="C100" s="22">
        <v>82</v>
      </c>
      <c r="D100" s="23">
        <v>4</v>
      </c>
      <c r="E100" s="24">
        <v>46211</v>
      </c>
      <c r="F100" s="25">
        <v>0.125</v>
      </c>
      <c r="G100" s="23">
        <v>11</v>
      </c>
      <c r="H100" s="24">
        <v>46213</v>
      </c>
      <c r="I100" s="25">
        <v>0.94444444444444442</v>
      </c>
      <c r="J100" s="23"/>
      <c r="K100" s="24"/>
      <c r="L100" s="25"/>
      <c r="M100" s="23">
        <v>2</v>
      </c>
      <c r="N100" s="24">
        <v>46216</v>
      </c>
      <c r="O100" s="25">
        <v>0.49305555555555558</v>
      </c>
      <c r="P100" s="26">
        <f t="shared" si="6"/>
        <v>2</v>
      </c>
      <c r="Q100" s="24">
        <f t="shared" si="10"/>
        <v>46222.25</v>
      </c>
      <c r="R100" s="24">
        <v>46224</v>
      </c>
      <c r="S100" s="25" t="s">
        <v>55</v>
      </c>
      <c r="T100" s="27">
        <f t="shared" si="9"/>
        <v>46275</v>
      </c>
    </row>
    <row r="101" spans="1:20">
      <c r="A101" s="28">
        <v>29</v>
      </c>
      <c r="B101" s="29"/>
      <c r="C101" s="30">
        <v>83</v>
      </c>
      <c r="D101" s="31">
        <v>3</v>
      </c>
      <c r="E101" s="32">
        <v>46211</v>
      </c>
      <c r="F101" s="33">
        <v>0.38541666666666669</v>
      </c>
      <c r="G101" s="31">
        <v>7</v>
      </c>
      <c r="H101" s="32">
        <v>46213</v>
      </c>
      <c r="I101" s="33">
        <v>0.78125</v>
      </c>
      <c r="M101" s="31">
        <v>9</v>
      </c>
      <c r="N101" s="32">
        <v>46216</v>
      </c>
      <c r="O101" s="33">
        <v>0.39583333333333331</v>
      </c>
      <c r="P101" s="34">
        <f t="shared" si="6"/>
        <v>9</v>
      </c>
      <c r="Q101" s="32">
        <f t="shared" si="10"/>
        <v>46222.25</v>
      </c>
      <c r="R101" s="32">
        <v>46223</v>
      </c>
      <c r="S101" s="33">
        <v>0.41666666666666669</v>
      </c>
      <c r="T101" s="35">
        <f t="shared" si="9"/>
        <v>46274</v>
      </c>
    </row>
    <row r="102" spans="1:20" ht="19.5" thickBot="1">
      <c r="A102" s="36">
        <v>29</v>
      </c>
      <c r="B102" s="37"/>
      <c r="C102" s="38">
        <v>84</v>
      </c>
      <c r="D102" s="39">
        <v>5</v>
      </c>
      <c r="E102" s="40">
        <v>46211</v>
      </c>
      <c r="F102" s="41">
        <v>0.52083333333333337</v>
      </c>
      <c r="G102" s="39">
        <v>4</v>
      </c>
      <c r="H102" s="40">
        <v>46214</v>
      </c>
      <c r="I102" s="41">
        <v>0.5</v>
      </c>
      <c r="J102" s="39"/>
      <c r="K102" s="40"/>
      <c r="L102" s="41"/>
      <c r="M102" s="39">
        <v>12</v>
      </c>
      <c r="N102" s="40">
        <v>46217</v>
      </c>
      <c r="O102" s="41">
        <v>0.1111111111111111</v>
      </c>
      <c r="P102" s="42">
        <f t="shared" si="6"/>
        <v>12</v>
      </c>
      <c r="Q102" s="40">
        <f t="shared" si="10"/>
        <v>46223.25</v>
      </c>
      <c r="R102" s="40">
        <v>46225</v>
      </c>
      <c r="S102" s="41" t="s">
        <v>56</v>
      </c>
      <c r="T102" s="43">
        <f t="shared" si="9"/>
        <v>46276</v>
      </c>
    </row>
    <row r="103" spans="1:20">
      <c r="A103" s="20">
        <v>31</v>
      </c>
      <c r="B103" s="21" t="str" cm="1">
        <f t="array" ref="B103">_xlfn.TEXTJOIN(",",TRUE,VALUE(_xlfn.TEXTSPLIT(B100,","))+3)</f>
        <v>85,86,87</v>
      </c>
      <c r="C103" s="22">
        <v>85</v>
      </c>
      <c r="D103" s="23">
        <v>9</v>
      </c>
      <c r="E103" s="24">
        <v>46212</v>
      </c>
      <c r="F103" s="25">
        <v>0.58333333333333337</v>
      </c>
      <c r="G103" s="23">
        <v>8</v>
      </c>
      <c r="H103" s="24">
        <v>46214</v>
      </c>
      <c r="I103" s="25">
        <v>0.27083333333333331</v>
      </c>
      <c r="J103" s="23"/>
      <c r="K103" s="24"/>
      <c r="L103" s="25"/>
      <c r="M103" s="23">
        <v>11</v>
      </c>
      <c r="N103" s="24">
        <v>46217</v>
      </c>
      <c r="O103" s="25">
        <v>0.60416666666666663</v>
      </c>
      <c r="P103" s="26">
        <f t="shared" si="6"/>
        <v>11</v>
      </c>
      <c r="Q103" s="24">
        <f t="shared" si="10"/>
        <v>46223.25</v>
      </c>
      <c r="R103" s="24">
        <v>46224</v>
      </c>
      <c r="S103" s="25" t="s">
        <v>57</v>
      </c>
      <c r="T103" s="27">
        <f t="shared" si="9"/>
        <v>46275</v>
      </c>
    </row>
    <row r="104" spans="1:20">
      <c r="A104" s="28">
        <v>31</v>
      </c>
      <c r="B104" s="29"/>
      <c r="C104" s="30">
        <v>86</v>
      </c>
      <c r="D104" s="31">
        <v>8</v>
      </c>
      <c r="E104" s="32">
        <v>46212</v>
      </c>
      <c r="F104" s="33">
        <v>0.74652777777777779</v>
      </c>
      <c r="G104" s="31">
        <v>5</v>
      </c>
      <c r="H104" s="32">
        <v>46214</v>
      </c>
      <c r="I104" s="33">
        <v>0.64583333333333337</v>
      </c>
      <c r="M104" s="31">
        <v>3</v>
      </c>
      <c r="N104" s="32">
        <v>46217</v>
      </c>
      <c r="O104" s="33">
        <v>0.39583333333333331</v>
      </c>
      <c r="P104" s="34">
        <f t="shared" si="6"/>
        <v>3</v>
      </c>
      <c r="Q104" s="32">
        <f t="shared" si="10"/>
        <v>46223.25</v>
      </c>
      <c r="R104" s="32">
        <v>46225</v>
      </c>
      <c r="S104" s="33" t="s">
        <v>53</v>
      </c>
      <c r="T104" s="35">
        <f t="shared" si="9"/>
        <v>46276</v>
      </c>
    </row>
    <row r="105" spans="1:20" ht="19.5" thickBot="1">
      <c r="A105" s="36">
        <v>31</v>
      </c>
      <c r="B105" s="37"/>
      <c r="C105" s="38">
        <v>87</v>
      </c>
      <c r="D105" s="39"/>
      <c r="E105" s="40">
        <v>46212</v>
      </c>
      <c r="F105" s="41"/>
      <c r="G105" s="39">
        <v>6</v>
      </c>
      <c r="H105" s="40">
        <v>46215</v>
      </c>
      <c r="I105" s="41">
        <v>0</v>
      </c>
      <c r="J105" s="39"/>
      <c r="K105" s="40"/>
      <c r="L105" s="41"/>
      <c r="M105" s="39">
        <v>10</v>
      </c>
      <c r="N105" s="40">
        <v>46218</v>
      </c>
      <c r="O105" s="41">
        <v>0.625</v>
      </c>
      <c r="P105" s="42">
        <f t="shared" si="6"/>
        <v>10</v>
      </c>
      <c r="Q105" s="40">
        <f t="shared" si="10"/>
        <v>46224.25</v>
      </c>
      <c r="R105" s="40">
        <v>46226</v>
      </c>
      <c r="S105" s="41">
        <v>0.63194444444444442</v>
      </c>
      <c r="T105" s="43">
        <f t="shared" si="9"/>
        <v>46277</v>
      </c>
    </row>
    <row r="106" spans="1:20">
      <c r="A106" s="20">
        <v>32</v>
      </c>
      <c r="B106" s="21" t="str" cm="1">
        <f t="array" ref="B106">_xlfn.TEXTJOIN(",",TRUE,VALUE(_xlfn.TEXTSPLIT(B103,","))+3)</f>
        <v>88,89,90</v>
      </c>
      <c r="C106" s="22">
        <v>88</v>
      </c>
      <c r="D106" s="23">
        <v>9</v>
      </c>
      <c r="E106" s="24">
        <v>46215</v>
      </c>
      <c r="F106" s="25">
        <v>0.83333333333333337</v>
      </c>
      <c r="G106" s="23">
        <v>11</v>
      </c>
      <c r="H106" s="24">
        <v>46218</v>
      </c>
      <c r="I106" s="25">
        <v>0.75</v>
      </c>
      <c r="J106" s="23"/>
      <c r="K106" s="24"/>
      <c r="L106" s="25"/>
      <c r="M106" s="23">
        <v>6</v>
      </c>
      <c r="N106" s="24">
        <v>46220</v>
      </c>
      <c r="O106" s="25">
        <v>0.3888888888888889</v>
      </c>
      <c r="P106" s="26">
        <f t="shared" si="6"/>
        <v>6</v>
      </c>
      <c r="Q106" s="24">
        <f t="shared" si="10"/>
        <v>46226.25</v>
      </c>
      <c r="R106" s="24">
        <v>46228</v>
      </c>
      <c r="S106" s="25" t="s">
        <v>58</v>
      </c>
      <c r="T106" s="27">
        <f t="shared" si="9"/>
        <v>46279</v>
      </c>
    </row>
    <row r="107" spans="1:20">
      <c r="A107" s="28">
        <v>32</v>
      </c>
      <c r="B107" s="29"/>
      <c r="C107" s="30">
        <v>89</v>
      </c>
      <c r="D107" s="31">
        <v>10</v>
      </c>
      <c r="E107" s="32">
        <v>46215</v>
      </c>
      <c r="F107" s="33">
        <v>0.98611111111111116</v>
      </c>
      <c r="G107" s="31">
        <v>6</v>
      </c>
      <c r="H107" s="32">
        <v>46218</v>
      </c>
      <c r="I107" s="33">
        <v>0.94444444444444442</v>
      </c>
      <c r="M107" s="31">
        <v>5</v>
      </c>
      <c r="N107" s="32">
        <v>46221</v>
      </c>
      <c r="O107" s="33">
        <v>0.15277777777777779</v>
      </c>
      <c r="P107" s="34">
        <f t="shared" si="6"/>
        <v>5</v>
      </c>
      <c r="Q107" s="32">
        <f t="shared" si="10"/>
        <v>46227.25</v>
      </c>
      <c r="R107" s="32">
        <v>46228</v>
      </c>
      <c r="S107" s="33" t="s">
        <v>58</v>
      </c>
      <c r="T107" s="35">
        <f t="shared" si="9"/>
        <v>46279</v>
      </c>
    </row>
    <row r="108" spans="1:20" ht="19.5" thickBot="1">
      <c r="A108" s="36">
        <v>32</v>
      </c>
      <c r="B108" s="37"/>
      <c r="C108" s="38">
        <v>90</v>
      </c>
      <c r="D108" s="39">
        <v>3</v>
      </c>
      <c r="E108" s="40">
        <v>46216</v>
      </c>
      <c r="F108" s="41">
        <v>0.16319444444444445</v>
      </c>
      <c r="G108" s="39">
        <v>10</v>
      </c>
      <c r="H108" s="40">
        <v>46219</v>
      </c>
      <c r="I108" s="41">
        <v>9.0277777777777776E-2</v>
      </c>
      <c r="J108" s="39"/>
      <c r="K108" s="40"/>
      <c r="L108" s="41"/>
      <c r="M108" s="39">
        <v>7</v>
      </c>
      <c r="N108" s="40">
        <v>46220</v>
      </c>
      <c r="O108" s="41">
        <v>0.91319444444444442</v>
      </c>
      <c r="P108" s="42">
        <f t="shared" si="6"/>
        <v>7</v>
      </c>
      <c r="Q108" s="40">
        <f t="shared" si="10"/>
        <v>46226.25</v>
      </c>
      <c r="R108" s="40">
        <v>46228</v>
      </c>
      <c r="S108" s="41">
        <v>0.375</v>
      </c>
      <c r="T108" s="43">
        <f t="shared" si="9"/>
        <v>46279</v>
      </c>
    </row>
    <row r="109" spans="1:20">
      <c r="A109" s="20">
        <v>33</v>
      </c>
      <c r="B109" s="21" t="str" cm="1">
        <f t="array" ref="B109">_xlfn.TEXTJOIN(",",TRUE,VALUE(_xlfn.TEXTSPLIT(B106,","))+3)</f>
        <v>91,92,93</v>
      </c>
      <c r="C109" s="22">
        <v>91</v>
      </c>
      <c r="D109" s="23">
        <v>3</v>
      </c>
      <c r="E109" s="24">
        <v>46217</v>
      </c>
      <c r="F109" s="25">
        <v>0.95833333333333337</v>
      </c>
      <c r="G109" s="23">
        <v>8</v>
      </c>
      <c r="H109" s="24">
        <v>46221</v>
      </c>
      <c r="I109" s="25">
        <v>0.4236111111111111</v>
      </c>
      <c r="J109" s="23"/>
      <c r="K109" s="24"/>
      <c r="L109" s="25"/>
      <c r="M109" s="23">
        <v>1</v>
      </c>
      <c r="N109" s="24">
        <v>46223</v>
      </c>
      <c r="O109" s="25">
        <v>0.4513888888888889</v>
      </c>
      <c r="P109" s="26">
        <f t="shared" si="6"/>
        <v>1</v>
      </c>
      <c r="Q109" s="24">
        <f t="shared" si="10"/>
        <v>46229.25</v>
      </c>
      <c r="R109" s="24">
        <v>46231</v>
      </c>
      <c r="S109" s="25" t="s">
        <v>59</v>
      </c>
      <c r="T109" s="27">
        <f t="shared" si="9"/>
        <v>46282</v>
      </c>
    </row>
    <row r="110" spans="1:20">
      <c r="A110" s="28">
        <v>33</v>
      </c>
      <c r="B110" s="29"/>
      <c r="C110" s="30">
        <v>92</v>
      </c>
      <c r="D110" s="31">
        <v>7</v>
      </c>
      <c r="E110" s="32">
        <v>46218</v>
      </c>
      <c r="F110" s="33">
        <v>0.10416666666666667</v>
      </c>
      <c r="G110" s="31">
        <v>10</v>
      </c>
      <c r="H110" s="32">
        <v>46221</v>
      </c>
      <c r="I110" s="33">
        <v>9.7222222222222224E-2</v>
      </c>
      <c r="M110" s="31">
        <v>4</v>
      </c>
      <c r="N110" s="32">
        <v>46223</v>
      </c>
      <c r="O110" s="33">
        <v>0.35069444444444442</v>
      </c>
      <c r="P110" s="34">
        <f t="shared" si="6"/>
        <v>4</v>
      </c>
      <c r="Q110" s="32">
        <f t="shared" si="10"/>
        <v>46229.25</v>
      </c>
      <c r="R110" s="32">
        <v>46230</v>
      </c>
      <c r="S110" s="33" t="s">
        <v>60</v>
      </c>
      <c r="T110" s="35">
        <f t="shared" si="9"/>
        <v>46281</v>
      </c>
    </row>
    <row r="111" spans="1:20" ht="19.5" thickBot="1">
      <c r="A111" s="36">
        <v>33</v>
      </c>
      <c r="B111" s="37"/>
      <c r="C111" s="38">
        <v>93</v>
      </c>
      <c r="D111" s="39">
        <v>8</v>
      </c>
      <c r="E111" s="40">
        <v>46217</v>
      </c>
      <c r="F111" s="41">
        <v>0.4236111111111111</v>
      </c>
      <c r="G111" s="39">
        <v>7</v>
      </c>
      <c r="H111" s="40">
        <v>46221</v>
      </c>
      <c r="I111" s="41">
        <v>0.22916666666666666</v>
      </c>
      <c r="J111" s="39"/>
      <c r="K111" s="40"/>
      <c r="L111" s="41"/>
      <c r="M111" s="39">
        <v>8</v>
      </c>
      <c r="N111" s="40">
        <v>46223</v>
      </c>
      <c r="O111" s="41">
        <v>0.625</v>
      </c>
      <c r="P111" s="42">
        <f>M111</f>
        <v>8</v>
      </c>
      <c r="Q111" s="40">
        <f t="shared" si="10"/>
        <v>46229.25</v>
      </c>
      <c r="R111" s="40">
        <v>46229</v>
      </c>
      <c r="S111" s="41" t="s">
        <v>73</v>
      </c>
      <c r="T111" s="43">
        <f t="shared" si="9"/>
        <v>46280</v>
      </c>
    </row>
    <row r="112" spans="1:20">
      <c r="A112" s="20">
        <v>34</v>
      </c>
      <c r="B112" s="21" t="str" cm="1">
        <f t="array" ref="B112">_xlfn.TEXTJOIN(",",TRUE,VALUE(_xlfn.TEXTSPLIT(B109,","))+3)</f>
        <v>94,95,96</v>
      </c>
      <c r="C112" s="22">
        <v>94</v>
      </c>
      <c r="D112" s="23">
        <v>3</v>
      </c>
      <c r="E112" s="24">
        <v>46220</v>
      </c>
      <c r="F112" s="25">
        <v>0.48958333333333331</v>
      </c>
      <c r="G112" s="23">
        <v>4</v>
      </c>
      <c r="H112" s="24">
        <v>46222</v>
      </c>
      <c r="I112" s="25">
        <v>0.86805555555555558</v>
      </c>
      <c r="J112" s="23"/>
      <c r="K112" s="24"/>
      <c r="L112" s="25"/>
      <c r="M112" s="23">
        <v>2</v>
      </c>
      <c r="N112" s="24">
        <v>46225</v>
      </c>
      <c r="O112" s="25">
        <v>0.4375</v>
      </c>
      <c r="P112" s="26">
        <f>M112</f>
        <v>2</v>
      </c>
      <c r="Q112" s="24">
        <f t="shared" si="10"/>
        <v>46231.25</v>
      </c>
      <c r="R112" s="24">
        <v>46233</v>
      </c>
      <c r="S112" s="25">
        <v>0.29166666666666669</v>
      </c>
      <c r="T112" s="27">
        <f t="shared" si="9"/>
        <v>46284</v>
      </c>
    </row>
    <row r="113" spans="1:20" ht="19.5" thickBot="1">
      <c r="A113" s="28">
        <v>34</v>
      </c>
      <c r="B113" s="29"/>
      <c r="C113" s="30">
        <v>95</v>
      </c>
      <c r="D113" s="31">
        <v>9</v>
      </c>
      <c r="E113" s="32">
        <v>46220</v>
      </c>
      <c r="F113" s="33">
        <v>0.60416666666666663</v>
      </c>
      <c r="G113" s="31">
        <v>5</v>
      </c>
      <c r="H113" s="32">
        <v>46222</v>
      </c>
      <c r="I113" s="33">
        <v>0.94444444444444442</v>
      </c>
      <c r="M113" s="39">
        <v>9</v>
      </c>
      <c r="N113" s="40">
        <v>46225</v>
      </c>
      <c r="O113" s="41">
        <v>0.61111111111111116</v>
      </c>
      <c r="P113" s="42">
        <f>M113</f>
        <v>9</v>
      </c>
      <c r="Q113" s="40">
        <f>N113+(150/24)</f>
        <v>46231.25</v>
      </c>
      <c r="R113" s="40">
        <v>46231</v>
      </c>
      <c r="S113" s="41" t="s">
        <v>61</v>
      </c>
      <c r="T113" s="43">
        <f>R113+51</f>
        <v>46282</v>
      </c>
    </row>
    <row r="114" spans="1:20" ht="19.5" thickBot="1">
      <c r="A114" s="36">
        <v>34</v>
      </c>
      <c r="B114" s="37"/>
      <c r="C114" s="38">
        <v>96</v>
      </c>
      <c r="D114" s="39">
        <v>11</v>
      </c>
      <c r="E114" s="40">
        <v>46220</v>
      </c>
      <c r="F114" s="41">
        <v>0.69791666666666663</v>
      </c>
      <c r="G114" s="39">
        <v>6</v>
      </c>
      <c r="H114" s="40">
        <v>46223</v>
      </c>
      <c r="I114" s="41">
        <v>3.4722222222222224E-2</v>
      </c>
      <c r="J114" s="39"/>
      <c r="K114" s="40"/>
      <c r="L114" s="41"/>
      <c r="M114" s="31">
        <v>11</v>
      </c>
      <c r="N114" s="32">
        <v>46225</v>
      </c>
      <c r="O114" s="33" t="s">
        <v>72</v>
      </c>
      <c r="P114" s="34">
        <f>M114</f>
        <v>11</v>
      </c>
      <c r="Q114" s="40">
        <f>N114+(150/24)</f>
        <v>46231.25</v>
      </c>
      <c r="R114" s="32">
        <v>46234</v>
      </c>
      <c r="S114" s="33" t="s">
        <v>53</v>
      </c>
      <c r="T114" s="35">
        <f>R114+51</f>
        <v>46285</v>
      </c>
    </row>
    <row r="115" spans="1:20">
      <c r="A115" s="20">
        <v>35</v>
      </c>
      <c r="B115" s="21" t="s">
        <v>62</v>
      </c>
      <c r="C115" s="22">
        <v>97</v>
      </c>
      <c r="D115" s="23">
        <v>9</v>
      </c>
      <c r="E115" s="24">
        <v>46224</v>
      </c>
      <c r="F115" s="25">
        <v>0.57638888888888884</v>
      </c>
      <c r="G115" s="23">
        <v>5</v>
      </c>
      <c r="H115" s="24">
        <v>46226</v>
      </c>
      <c r="I115" s="25">
        <v>0.45833333333333331</v>
      </c>
      <c r="J115" s="23">
        <v>8</v>
      </c>
      <c r="K115" s="24">
        <v>46229</v>
      </c>
      <c r="L115" s="25">
        <v>0.41666666666666669</v>
      </c>
      <c r="M115" s="23">
        <v>5</v>
      </c>
      <c r="N115" s="24">
        <v>46230</v>
      </c>
      <c r="O115" s="25">
        <v>0.61805555555555558</v>
      </c>
      <c r="P115" s="26">
        <f t="shared" ref="P114:P117" si="11">M115</f>
        <v>5</v>
      </c>
      <c r="Q115" s="24">
        <f t="shared" si="10"/>
        <v>46236.25</v>
      </c>
      <c r="R115" s="24">
        <v>46238</v>
      </c>
      <c r="S115" s="25">
        <v>0.40625</v>
      </c>
      <c r="T115" s="27">
        <f t="shared" si="9"/>
        <v>46289</v>
      </c>
    </row>
    <row r="116" spans="1:20">
      <c r="A116" s="28">
        <v>35</v>
      </c>
      <c r="B116" s="29"/>
      <c r="C116" s="30">
        <v>98</v>
      </c>
      <c r="D116" s="31">
        <v>8</v>
      </c>
      <c r="E116" s="32">
        <v>46224</v>
      </c>
      <c r="F116" s="33">
        <v>0.67777777777777781</v>
      </c>
      <c r="G116" s="31">
        <v>6</v>
      </c>
      <c r="H116" s="32">
        <v>46226</v>
      </c>
      <c r="I116" s="33">
        <v>0.94791666666666663</v>
      </c>
      <c r="M116" s="31">
        <v>12</v>
      </c>
      <c r="N116" s="32">
        <v>46228</v>
      </c>
      <c r="O116" s="33">
        <v>0.94791666666666663</v>
      </c>
      <c r="P116" s="34">
        <f t="shared" si="11"/>
        <v>12</v>
      </c>
      <c r="Q116" s="32">
        <f t="shared" si="10"/>
        <v>46234.25</v>
      </c>
      <c r="R116" s="32">
        <v>46235</v>
      </c>
      <c r="S116" s="33">
        <v>0.46111111111111114</v>
      </c>
      <c r="T116" s="35">
        <f t="shared" si="9"/>
        <v>46286</v>
      </c>
    </row>
    <row r="117" spans="1:20">
      <c r="A117" s="28">
        <v>35</v>
      </c>
      <c r="B117" s="29"/>
      <c r="C117" s="30">
        <v>99</v>
      </c>
      <c r="D117" s="31">
        <v>10</v>
      </c>
      <c r="E117" s="32">
        <v>46224</v>
      </c>
      <c r="F117" s="33">
        <v>0.81944444444444442</v>
      </c>
      <c r="G117" s="31">
        <v>7</v>
      </c>
      <c r="H117" s="32">
        <v>46226</v>
      </c>
      <c r="I117" s="33">
        <v>0.83333333333333337</v>
      </c>
      <c r="J117" s="31">
        <v>5</v>
      </c>
      <c r="K117" s="32">
        <v>46229</v>
      </c>
      <c r="L117" s="33">
        <v>0.625</v>
      </c>
      <c r="M117" s="31">
        <v>6</v>
      </c>
      <c r="N117" s="32">
        <v>46230</v>
      </c>
      <c r="O117" s="33">
        <v>0.61805555555555558</v>
      </c>
      <c r="P117" s="34">
        <f t="shared" si="11"/>
        <v>6</v>
      </c>
      <c r="Q117" s="32">
        <f t="shared" si="10"/>
        <v>46236.25</v>
      </c>
      <c r="R117" s="32">
        <v>46237</v>
      </c>
      <c r="S117" s="33" t="s">
        <v>55</v>
      </c>
      <c r="T117" s="35">
        <f t="shared" si="9"/>
        <v>46288</v>
      </c>
    </row>
    <row r="118" spans="1:20" ht="19.5" thickBot="1">
      <c r="A118" s="36">
        <v>35</v>
      </c>
      <c r="B118" s="37"/>
      <c r="C118" s="38">
        <v>99</v>
      </c>
      <c r="D118" s="39">
        <v>11</v>
      </c>
      <c r="E118" s="40">
        <v>46224</v>
      </c>
      <c r="F118" s="41">
        <v>0.95833333333333337</v>
      </c>
      <c r="G118" s="39"/>
      <c r="H118" s="40"/>
      <c r="I118" s="41"/>
      <c r="J118" s="39"/>
      <c r="K118" s="40"/>
      <c r="L118" s="41"/>
      <c r="M118" s="39"/>
      <c r="N118" s="40"/>
      <c r="O118" s="41"/>
      <c r="P118" s="42"/>
      <c r="Q118" s="40"/>
      <c r="R118" s="40"/>
      <c r="S118" s="41"/>
      <c r="T118" s="43"/>
    </row>
    <row r="119" spans="1:20">
      <c r="A119" s="20">
        <v>36</v>
      </c>
      <c r="B119" s="63">
        <v>100101102</v>
      </c>
      <c r="C119" s="22">
        <v>100</v>
      </c>
      <c r="D119" s="23">
        <v>11</v>
      </c>
      <c r="E119" s="24">
        <v>46228</v>
      </c>
      <c r="F119" s="25">
        <v>0.47916666666666669</v>
      </c>
      <c r="G119" s="23">
        <v>7</v>
      </c>
      <c r="H119" s="24">
        <v>46230</v>
      </c>
      <c r="I119" s="25">
        <v>0.95138888888888884</v>
      </c>
      <c r="J119" s="23"/>
      <c r="K119" s="24"/>
      <c r="L119" s="25"/>
      <c r="M119" s="23">
        <v>7</v>
      </c>
      <c r="N119" s="24">
        <v>46233</v>
      </c>
      <c r="O119" s="25">
        <v>0.34375</v>
      </c>
      <c r="P119" s="26">
        <f>M119</f>
        <v>7</v>
      </c>
      <c r="Q119" s="24">
        <f t="shared" si="10"/>
        <v>46239.25</v>
      </c>
      <c r="R119" s="24">
        <v>46239</v>
      </c>
      <c r="S119" s="25">
        <v>0.33333333333333331</v>
      </c>
      <c r="T119" s="27">
        <f t="shared" si="9"/>
        <v>46290</v>
      </c>
    </row>
    <row r="120" spans="1:20">
      <c r="A120" s="28">
        <v>36</v>
      </c>
      <c r="B120" s="64"/>
      <c r="C120" s="30">
        <v>101</v>
      </c>
      <c r="D120" s="31">
        <v>10</v>
      </c>
      <c r="E120" s="32">
        <v>46228</v>
      </c>
      <c r="F120" s="33">
        <v>0.63194444444444442</v>
      </c>
      <c r="G120" s="31">
        <v>6</v>
      </c>
      <c r="H120" s="32">
        <v>46231</v>
      </c>
      <c r="I120" s="33">
        <v>5.7638888888888892E-2</v>
      </c>
      <c r="M120" s="31">
        <v>8</v>
      </c>
      <c r="N120" s="32">
        <v>46233</v>
      </c>
      <c r="O120" s="33">
        <v>0.58680555555555558</v>
      </c>
      <c r="P120" s="34">
        <f t="shared" ref="P120:P121" si="12">M120</f>
        <v>8</v>
      </c>
      <c r="Q120" s="32">
        <f t="shared" si="10"/>
        <v>46239.25</v>
      </c>
      <c r="R120" s="32">
        <v>46240</v>
      </c>
      <c r="S120" s="33">
        <v>0.63541666666666663</v>
      </c>
      <c r="T120" s="35">
        <f t="shared" si="9"/>
        <v>46291</v>
      </c>
    </row>
    <row r="121" spans="1:20" ht="19.5" thickBot="1">
      <c r="A121" s="36">
        <v>36</v>
      </c>
      <c r="B121" s="65"/>
      <c r="C121" s="38">
        <v>102</v>
      </c>
      <c r="D121" s="39">
        <v>9</v>
      </c>
      <c r="E121" s="40">
        <v>46228</v>
      </c>
      <c r="F121" s="41">
        <v>0.75</v>
      </c>
      <c r="G121" s="39">
        <v>5</v>
      </c>
      <c r="H121" s="40">
        <v>46231</v>
      </c>
      <c r="I121" s="41">
        <v>0.1701388888888889</v>
      </c>
      <c r="J121" s="39"/>
      <c r="K121" s="40"/>
      <c r="L121" s="41"/>
      <c r="M121" s="39">
        <v>4</v>
      </c>
      <c r="N121" s="40">
        <v>46233</v>
      </c>
      <c r="O121" s="41">
        <v>0.97916666666666663</v>
      </c>
      <c r="P121" s="34">
        <f t="shared" si="12"/>
        <v>4</v>
      </c>
      <c r="Q121" s="40">
        <f t="shared" si="10"/>
        <v>46239.25</v>
      </c>
      <c r="R121" s="40">
        <v>46241</v>
      </c>
      <c r="S121" s="41" t="s">
        <v>71</v>
      </c>
      <c r="T121" s="43">
        <f t="shared" si="9"/>
        <v>46292</v>
      </c>
    </row>
    <row r="122" spans="1:20">
      <c r="A122" s="22">
        <v>37</v>
      </c>
      <c r="B122" s="66">
        <v>103104105</v>
      </c>
      <c r="C122" s="22">
        <v>103</v>
      </c>
      <c r="D122" s="23">
        <v>9</v>
      </c>
      <c r="E122" s="24">
        <v>46231</v>
      </c>
      <c r="F122" s="25">
        <v>0.39930555555555558</v>
      </c>
      <c r="G122" s="23">
        <v>10</v>
      </c>
      <c r="H122" s="24">
        <v>46234</v>
      </c>
      <c r="I122" s="25">
        <v>0.50347222222222221</v>
      </c>
      <c r="J122" s="23"/>
      <c r="K122" s="24"/>
      <c r="L122" s="25"/>
      <c r="M122" s="23">
        <v>9</v>
      </c>
      <c r="N122" s="24">
        <v>46236</v>
      </c>
      <c r="O122" s="25">
        <v>0.95138888888888884</v>
      </c>
      <c r="P122" s="26">
        <f>M122</f>
        <v>9</v>
      </c>
      <c r="Q122" s="24">
        <f t="shared" si="10"/>
        <v>46242.25</v>
      </c>
      <c r="R122" s="24">
        <v>46244</v>
      </c>
      <c r="S122" s="25" t="s">
        <v>69</v>
      </c>
      <c r="T122" s="27">
        <f t="shared" si="9"/>
        <v>46295</v>
      </c>
    </row>
    <row r="123" spans="1:20">
      <c r="A123" s="30">
        <v>37</v>
      </c>
      <c r="C123" s="30">
        <v>104</v>
      </c>
      <c r="D123" s="31">
        <v>10</v>
      </c>
      <c r="E123" s="32">
        <v>46231</v>
      </c>
      <c r="F123" s="33">
        <v>0.54166666666666663</v>
      </c>
      <c r="G123" s="31">
        <v>8</v>
      </c>
      <c r="H123" s="32">
        <v>46234</v>
      </c>
      <c r="I123" s="33">
        <v>0.40972222222222221</v>
      </c>
      <c r="M123" s="31">
        <v>10</v>
      </c>
      <c r="N123" s="32">
        <v>46236</v>
      </c>
      <c r="O123" s="33">
        <v>0.81944444444444442</v>
      </c>
      <c r="P123" s="34">
        <f>M123</f>
        <v>10</v>
      </c>
      <c r="Q123" s="32">
        <f t="shared" si="10"/>
        <v>46242.25</v>
      </c>
      <c r="R123" s="32">
        <v>46243</v>
      </c>
      <c r="S123" s="33">
        <v>0.39930555555555558</v>
      </c>
      <c r="T123" s="35">
        <f t="shared" si="9"/>
        <v>46294</v>
      </c>
    </row>
    <row r="124" spans="1:20" ht="19.5" thickBot="1">
      <c r="A124" s="38">
        <v>37</v>
      </c>
      <c r="B124" s="67"/>
      <c r="C124" s="38">
        <v>105</v>
      </c>
      <c r="D124" s="39">
        <v>11</v>
      </c>
      <c r="E124" s="40">
        <v>46231</v>
      </c>
      <c r="F124" s="41">
        <v>0.70833333333333337</v>
      </c>
      <c r="G124" s="39">
        <v>9</v>
      </c>
      <c r="H124" s="40">
        <v>46234</v>
      </c>
      <c r="I124" s="41">
        <v>0.94444444444444442</v>
      </c>
      <c r="J124" s="39"/>
      <c r="K124" s="40"/>
      <c r="L124" s="41"/>
      <c r="M124" s="39">
        <v>3</v>
      </c>
      <c r="N124" s="40">
        <v>46237</v>
      </c>
      <c r="O124" s="41">
        <v>0.97916666666666663</v>
      </c>
      <c r="P124" s="34">
        <f>M124</f>
        <v>3</v>
      </c>
      <c r="Q124" s="40">
        <f t="shared" si="10"/>
        <v>46243.25</v>
      </c>
      <c r="R124" s="40">
        <v>46245</v>
      </c>
      <c r="S124" s="41" t="s">
        <v>65</v>
      </c>
      <c r="T124" s="43">
        <f t="shared" si="9"/>
        <v>46296</v>
      </c>
    </row>
    <row r="125" spans="1:20">
      <c r="A125" s="22">
        <v>38</v>
      </c>
      <c r="B125" s="66">
        <v>106107108</v>
      </c>
      <c r="C125" s="22">
        <v>106</v>
      </c>
      <c r="D125" s="23">
        <v>7</v>
      </c>
      <c r="E125" s="24">
        <v>46234</v>
      </c>
      <c r="F125" s="25">
        <v>0.61111111111111116</v>
      </c>
      <c r="G125" s="23">
        <v>10</v>
      </c>
      <c r="H125" s="24">
        <v>46237</v>
      </c>
      <c r="I125" s="25">
        <v>0.36805555555555558</v>
      </c>
      <c r="J125" s="23"/>
      <c r="K125" s="24"/>
      <c r="L125" s="25"/>
      <c r="M125" s="23">
        <v>2</v>
      </c>
      <c r="N125" s="24">
        <v>46240</v>
      </c>
      <c r="O125" s="25">
        <v>7.6388888888888895E-2</v>
      </c>
      <c r="P125" s="26">
        <f>M125</f>
        <v>2</v>
      </c>
      <c r="Q125" s="24">
        <f t="shared" si="10"/>
        <v>46246.25</v>
      </c>
      <c r="R125" s="24">
        <v>46246</v>
      </c>
      <c r="S125" s="25">
        <v>0.5</v>
      </c>
      <c r="T125" s="27">
        <f t="shared" si="9"/>
        <v>46297</v>
      </c>
    </row>
    <row r="126" spans="1:20">
      <c r="A126" s="30">
        <v>38</v>
      </c>
      <c r="C126" s="30">
        <v>107</v>
      </c>
      <c r="D126" s="31">
        <v>6</v>
      </c>
      <c r="E126" s="32">
        <v>46234</v>
      </c>
      <c r="F126" s="33">
        <v>0.72222222222222221</v>
      </c>
      <c r="G126" s="31">
        <v>7</v>
      </c>
      <c r="H126" s="32">
        <v>46238</v>
      </c>
      <c r="I126" s="33">
        <v>0.1111111111111111</v>
      </c>
      <c r="M126" s="31">
        <v>6</v>
      </c>
      <c r="N126" s="32">
        <v>46240</v>
      </c>
      <c r="O126" s="33">
        <v>0.92013888888888884</v>
      </c>
      <c r="P126" s="34">
        <f>M126</f>
        <v>6</v>
      </c>
      <c r="Q126" s="32">
        <f t="shared" si="10"/>
        <v>46246.25</v>
      </c>
      <c r="R126" s="32">
        <v>46248</v>
      </c>
      <c r="S126" s="33" t="s">
        <v>70</v>
      </c>
      <c r="T126" s="35">
        <f t="shared" si="9"/>
        <v>46299</v>
      </c>
    </row>
    <row r="127" spans="1:20">
      <c r="A127" s="30">
        <v>38</v>
      </c>
      <c r="C127" s="30">
        <v>108</v>
      </c>
      <c r="D127" s="31">
        <v>5</v>
      </c>
      <c r="E127" s="32">
        <v>46235</v>
      </c>
      <c r="F127" s="33">
        <v>4.1666666666666664E-2</v>
      </c>
      <c r="Q127" s="32"/>
      <c r="T127" s="35">
        <f t="shared" si="9"/>
        <v>51</v>
      </c>
    </row>
    <row r="128" spans="1:20" ht="19.5" thickBot="1">
      <c r="A128" s="38">
        <v>38</v>
      </c>
      <c r="B128" s="67"/>
      <c r="C128" s="38">
        <v>108</v>
      </c>
      <c r="D128" s="39">
        <v>11</v>
      </c>
      <c r="E128" s="40">
        <v>46235</v>
      </c>
      <c r="F128" s="41">
        <v>0.83611111111111114</v>
      </c>
      <c r="G128" s="39">
        <v>9</v>
      </c>
      <c r="H128" s="32">
        <v>46238</v>
      </c>
      <c r="I128" s="41">
        <v>0.4513888888888889</v>
      </c>
      <c r="J128" s="39"/>
      <c r="K128" s="40"/>
      <c r="L128" s="41"/>
      <c r="M128" s="39">
        <v>12</v>
      </c>
      <c r="N128" s="40">
        <v>46241</v>
      </c>
      <c r="O128" s="41">
        <v>5.5555555555555552E-2</v>
      </c>
      <c r="P128" s="34">
        <f t="shared" ref="P128:P134" si="13">M128</f>
        <v>12</v>
      </c>
      <c r="Q128" s="40">
        <f t="shared" si="10"/>
        <v>46247.25</v>
      </c>
      <c r="R128" s="40">
        <v>46247</v>
      </c>
      <c r="S128" s="41">
        <v>0.44444444444444442</v>
      </c>
      <c r="T128" s="43">
        <f t="shared" si="9"/>
        <v>46298</v>
      </c>
    </row>
    <row r="129" spans="1:20" ht="19.5" thickBot="1">
      <c r="A129" s="22">
        <v>39</v>
      </c>
      <c r="B129" s="66">
        <v>109110111</v>
      </c>
      <c r="C129" s="22">
        <v>109</v>
      </c>
      <c r="D129" s="23">
        <v>5</v>
      </c>
      <c r="E129" s="24">
        <v>46237</v>
      </c>
      <c r="F129" s="25">
        <v>0.15625</v>
      </c>
      <c r="G129" s="23">
        <v>10</v>
      </c>
      <c r="H129" s="24">
        <v>46241</v>
      </c>
      <c r="I129" s="25">
        <v>0.19097222222222221</v>
      </c>
      <c r="J129" s="23"/>
      <c r="K129" s="24"/>
      <c r="L129" s="25"/>
      <c r="M129" s="23">
        <v>5</v>
      </c>
      <c r="N129" s="24">
        <v>46243</v>
      </c>
      <c r="O129" s="25">
        <v>0.1736111111111111</v>
      </c>
      <c r="P129" s="26">
        <f t="shared" si="13"/>
        <v>5</v>
      </c>
      <c r="Q129" s="24">
        <f t="shared" si="10"/>
        <v>46249.25</v>
      </c>
      <c r="R129" s="24"/>
      <c r="S129" s="25"/>
      <c r="T129" s="68"/>
    </row>
    <row r="130" spans="1:20" ht="19.5" thickBot="1">
      <c r="A130" s="30">
        <v>39</v>
      </c>
      <c r="C130" s="30">
        <v>110</v>
      </c>
      <c r="D130" s="31">
        <v>13</v>
      </c>
      <c r="E130" s="32">
        <v>46237</v>
      </c>
      <c r="F130" s="33">
        <v>0.52777777777777779</v>
      </c>
      <c r="G130" s="31">
        <v>6</v>
      </c>
      <c r="H130" s="32">
        <v>46240</v>
      </c>
      <c r="I130" s="33">
        <v>0.21527777777777779</v>
      </c>
      <c r="M130" s="31">
        <v>8</v>
      </c>
      <c r="N130" s="32">
        <v>46242</v>
      </c>
      <c r="O130" s="33">
        <v>0.64583333333333337</v>
      </c>
      <c r="P130" s="26">
        <f t="shared" si="13"/>
        <v>8</v>
      </c>
      <c r="Q130" s="32">
        <f t="shared" si="10"/>
        <v>46248.25</v>
      </c>
    </row>
    <row r="131" spans="1:20" ht="19.5" thickBot="1">
      <c r="A131" s="38">
        <v>39</v>
      </c>
      <c r="B131" s="67"/>
      <c r="C131" s="38">
        <v>111</v>
      </c>
      <c r="D131" s="39">
        <v>8</v>
      </c>
      <c r="E131" s="40">
        <v>46237</v>
      </c>
      <c r="F131" s="41">
        <v>0.65972222222222221</v>
      </c>
      <c r="G131" s="39">
        <v>9</v>
      </c>
      <c r="H131" s="40">
        <v>46241</v>
      </c>
      <c r="I131" s="41">
        <v>0.39583333333333331</v>
      </c>
      <c r="J131" s="39"/>
      <c r="K131" s="40"/>
      <c r="L131" s="41"/>
      <c r="M131" s="39">
        <v>11</v>
      </c>
      <c r="N131" s="40">
        <v>46243</v>
      </c>
      <c r="O131" s="41">
        <v>0.98958333333333337</v>
      </c>
      <c r="P131" s="26">
        <f t="shared" si="13"/>
        <v>11</v>
      </c>
      <c r="Q131" s="40">
        <f t="shared" si="10"/>
        <v>46249.25</v>
      </c>
      <c r="R131" s="40"/>
      <c r="S131" s="41"/>
      <c r="T131" s="70"/>
    </row>
    <row r="132" spans="1:20" ht="19.5" thickBot="1">
      <c r="A132" s="22">
        <v>40</v>
      </c>
      <c r="B132" s="66">
        <v>112113114</v>
      </c>
      <c r="C132" s="22">
        <v>112</v>
      </c>
      <c r="D132" s="23">
        <v>11</v>
      </c>
      <c r="E132" s="24">
        <v>46240</v>
      </c>
      <c r="F132" s="25">
        <v>0.44444444444444442</v>
      </c>
      <c r="G132" s="23">
        <v>7</v>
      </c>
      <c r="H132" s="24">
        <v>46243</v>
      </c>
      <c r="I132" s="25">
        <v>0.58333333333333337</v>
      </c>
      <c r="J132" s="23"/>
      <c r="K132" s="24"/>
      <c r="L132" s="25"/>
      <c r="M132" s="23">
        <v>9</v>
      </c>
      <c r="N132" s="24">
        <v>46246</v>
      </c>
      <c r="O132" s="25">
        <v>0.70138888888888884</v>
      </c>
      <c r="P132" s="26">
        <f t="shared" si="13"/>
        <v>9</v>
      </c>
      <c r="Q132" s="24">
        <f t="shared" si="10"/>
        <v>46252.25</v>
      </c>
      <c r="R132" s="24"/>
      <c r="S132" s="25"/>
      <c r="T132" s="68"/>
    </row>
    <row r="133" spans="1:20" ht="19.5" thickBot="1">
      <c r="A133" s="30">
        <v>40</v>
      </c>
      <c r="C133" s="30">
        <v>113</v>
      </c>
      <c r="D133" s="31">
        <v>13</v>
      </c>
      <c r="E133" s="32">
        <v>46240</v>
      </c>
      <c r="F133" s="33">
        <v>0.60416666666666663</v>
      </c>
      <c r="G133" s="31">
        <v>8</v>
      </c>
      <c r="H133" s="32">
        <v>46243</v>
      </c>
      <c r="I133" s="33">
        <v>0.68055555555555558</v>
      </c>
      <c r="M133" s="31">
        <v>7</v>
      </c>
      <c r="N133" s="32">
        <v>46246</v>
      </c>
      <c r="O133" s="33">
        <v>0.61805555555555558</v>
      </c>
      <c r="P133" s="26">
        <f t="shared" si="13"/>
        <v>7</v>
      </c>
      <c r="Q133" s="32">
        <f t="shared" si="10"/>
        <v>46252.25</v>
      </c>
    </row>
    <row r="134" spans="1:20" ht="19.5" thickBot="1">
      <c r="A134" s="30">
        <v>40</v>
      </c>
      <c r="C134" s="30">
        <v>114</v>
      </c>
      <c r="D134" s="31">
        <v>12</v>
      </c>
      <c r="E134" s="32">
        <v>46240</v>
      </c>
      <c r="F134" s="33" t="s">
        <v>68</v>
      </c>
      <c r="G134" s="31">
        <v>9</v>
      </c>
      <c r="H134" s="32">
        <v>46243</v>
      </c>
      <c r="I134" s="33" t="s">
        <v>63</v>
      </c>
      <c r="M134" s="31">
        <v>4</v>
      </c>
      <c r="N134" s="32">
        <v>46246</v>
      </c>
      <c r="O134" s="33">
        <v>0.4513888888888889</v>
      </c>
      <c r="P134" s="26">
        <f t="shared" si="13"/>
        <v>4</v>
      </c>
      <c r="Q134" s="32">
        <f t="shared" si="10"/>
        <v>46252.25</v>
      </c>
    </row>
    <row r="135" spans="1:20" s="71" customFormat="1" ht="19.5" thickBot="1">
      <c r="A135" s="22">
        <v>41</v>
      </c>
      <c r="B135" s="66">
        <v>115116117</v>
      </c>
      <c r="C135" s="22">
        <v>115</v>
      </c>
      <c r="D135" s="23">
        <v>10</v>
      </c>
      <c r="E135" s="24">
        <v>46244</v>
      </c>
      <c r="F135" s="25">
        <v>0.64236111111111116</v>
      </c>
      <c r="G135" s="23">
        <v>7</v>
      </c>
      <c r="H135" s="24">
        <v>46247</v>
      </c>
      <c r="I135" s="25">
        <v>0.51041666666666663</v>
      </c>
      <c r="J135" s="23"/>
      <c r="K135" s="24"/>
      <c r="L135" s="25"/>
      <c r="M135" s="23"/>
      <c r="N135" s="24"/>
      <c r="O135" s="25"/>
      <c r="P135" s="26"/>
      <c r="Q135" s="24">
        <f t="shared" si="10"/>
        <v>6.25</v>
      </c>
      <c r="R135" s="24"/>
      <c r="S135" s="25"/>
      <c r="T135" s="68"/>
    </row>
    <row r="136" spans="1:20" ht="19.5" thickBot="1">
      <c r="A136" s="30">
        <v>41</v>
      </c>
      <c r="C136" s="30">
        <v>116</v>
      </c>
      <c r="D136" s="31">
        <v>11</v>
      </c>
      <c r="E136" s="32">
        <v>46245</v>
      </c>
      <c r="F136" s="33">
        <v>0</v>
      </c>
      <c r="G136" s="31">
        <v>8</v>
      </c>
      <c r="H136" s="24">
        <v>46247</v>
      </c>
      <c r="I136" s="33">
        <v>0.6875</v>
      </c>
      <c r="Q136" s="32">
        <f t="shared" si="10"/>
        <v>6.25</v>
      </c>
    </row>
    <row r="137" spans="1:20" s="72" customFormat="1" ht="19.5" thickBot="1">
      <c r="A137" s="38">
        <v>41</v>
      </c>
      <c r="B137" s="67"/>
      <c r="C137" s="38">
        <v>117</v>
      </c>
      <c r="D137" s="39">
        <v>12</v>
      </c>
      <c r="E137" s="40">
        <v>46245</v>
      </c>
      <c r="F137" s="41">
        <v>0.15277777777777779</v>
      </c>
      <c r="G137" s="39">
        <v>10</v>
      </c>
      <c r="H137" s="24">
        <v>46248</v>
      </c>
      <c r="I137" s="41" t="s">
        <v>64</v>
      </c>
      <c r="J137" s="39"/>
      <c r="K137" s="40"/>
      <c r="L137" s="41"/>
      <c r="M137" s="39"/>
      <c r="N137" s="40"/>
      <c r="O137" s="41"/>
      <c r="P137" s="42"/>
      <c r="Q137" s="40">
        <f t="shared" si="10"/>
        <v>6.25</v>
      </c>
      <c r="R137" s="40"/>
      <c r="S137" s="41"/>
      <c r="T137" s="70"/>
    </row>
    <row r="138" spans="1:20" ht="19.5" thickBot="1">
      <c r="A138" s="30">
        <v>42</v>
      </c>
      <c r="B138" s="84">
        <v>118119120</v>
      </c>
      <c r="C138" s="22">
        <v>118</v>
      </c>
      <c r="D138" s="31">
        <v>9</v>
      </c>
      <c r="E138" s="24">
        <v>46247</v>
      </c>
      <c r="F138" s="33" t="s">
        <v>65</v>
      </c>
      <c r="Q138" s="32">
        <f t="shared" si="10"/>
        <v>6.25</v>
      </c>
    </row>
    <row r="139" spans="1:20" ht="19.5" thickBot="1">
      <c r="A139" s="30">
        <v>42</v>
      </c>
      <c r="C139" s="30">
        <v>119</v>
      </c>
      <c r="D139" s="31">
        <v>13</v>
      </c>
      <c r="E139" s="24">
        <v>46247</v>
      </c>
      <c r="F139" s="33" t="s">
        <v>66</v>
      </c>
      <c r="Q139" s="32">
        <f t="shared" si="10"/>
        <v>6.25</v>
      </c>
    </row>
    <row r="140" spans="1:20" s="72" customFormat="1" ht="19.5" thickBot="1">
      <c r="A140" s="38">
        <v>42</v>
      </c>
      <c r="B140" s="67"/>
      <c r="C140" s="38">
        <v>120</v>
      </c>
      <c r="D140" s="39">
        <v>11</v>
      </c>
      <c r="E140" s="85">
        <v>46247</v>
      </c>
      <c r="F140" s="41" t="s">
        <v>67</v>
      </c>
      <c r="G140" s="39"/>
      <c r="H140" s="40"/>
      <c r="I140" s="41"/>
      <c r="J140" s="39"/>
      <c r="K140" s="40"/>
      <c r="L140" s="41"/>
      <c r="M140" s="39"/>
      <c r="N140" s="40"/>
      <c r="O140" s="41"/>
      <c r="P140" s="42"/>
      <c r="Q140" s="40">
        <f t="shared" si="10"/>
        <v>6.25</v>
      </c>
      <c r="R140" s="40"/>
      <c r="S140" s="41"/>
      <c r="T140" s="70"/>
    </row>
    <row r="141" spans="1:20">
      <c r="A141" s="30"/>
      <c r="Q141" s="32">
        <f t="shared" si="10"/>
        <v>6.25</v>
      </c>
    </row>
    <row r="142" spans="1:20">
      <c r="A142" s="30"/>
      <c r="Q142" s="32">
        <f t="shared" si="10"/>
        <v>6.25</v>
      </c>
    </row>
    <row r="143" spans="1:20">
      <c r="A143" s="30"/>
    </row>
    <row r="144" spans="1:20">
      <c r="A144" s="30"/>
    </row>
  </sheetData>
  <autoFilter ref="A3:BF114" xr:uid="{248AD382-CAFC-4851-B95F-63462EE609EB}">
    <filterColumn colId="3" showButton="0"/>
    <filterColumn colId="4" showButton="0"/>
    <filterColumn colId="6" showButton="0"/>
    <filterColumn colId="7" showButton="0"/>
    <filterColumn colId="9" showButton="0"/>
    <filterColumn colId="10" showButton="0"/>
    <filterColumn colId="12" showButton="0"/>
    <filterColumn colId="13" showButton="0"/>
    <filterColumn colId="15" showButton="0"/>
    <filterColumn colId="16" showButton="0"/>
    <filterColumn colId="17" showButton="0"/>
  </autoFilter>
  <mergeCells count="9">
    <mergeCell ref="M3:O3"/>
    <mergeCell ref="P3:S3"/>
    <mergeCell ref="T3:T5"/>
    <mergeCell ref="A3:A5"/>
    <mergeCell ref="B3:B5"/>
    <mergeCell ref="C3:C5"/>
    <mergeCell ref="D3:F3"/>
    <mergeCell ref="G3:I3"/>
    <mergeCell ref="J3:L3"/>
  </mergeCells>
  <pageMargins left="0.7" right="0.7" top="0.75" bottom="0.75" header="0.3" footer="0.3"/>
  <pageSetup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 Phase Movement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charishma myneni</dc:creator>
  <cp:lastModifiedBy>FB HARVESTING 2</cp:lastModifiedBy>
  <dcterms:created xsi:type="dcterms:W3CDTF">2026-08-13T11:31:02Z</dcterms:created>
  <dcterms:modified xsi:type="dcterms:W3CDTF">2026-08-14T05:56:14Z</dcterms:modified>
</cp:coreProperties>
</file>