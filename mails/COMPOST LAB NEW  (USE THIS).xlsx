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168018C-01A7-4699-BC1E-729923A06F9F}" xr6:coauthVersionLast="47" xr6:coauthVersionMax="47" xr10:uidLastSave="{00000000-0000-0000-0000-000000000000}"/>
  <bookViews>
    <workbookView xWindow="-120" yWindow="-120" windowWidth="29040" windowHeight="15720" xr2:uid="{1748E4EB-EB3D-4EAE-89EA-D42E058CB5D0}"/>
  </bookViews>
  <sheets>
    <sheet name="Batch Summary" sheetId="1" r:id="rId1"/>
    <sheet name="Compost Quantity Summary" sheetId="2" r:id="rId2"/>
  </sheets>
  <definedNames>
    <definedName name="_xlnm._FilterDatabase" localSheetId="0" hidden="1">'Batch Summary'!$A$7:$EY$7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K153" i="1" l="1"/>
  <c r="EK154" i="1"/>
  <c r="EK155" i="1"/>
  <c r="EK156" i="1"/>
  <c r="EK157" i="1"/>
  <c r="EW82" i="1"/>
  <c r="G27" i="1"/>
  <c r="EW76" i="1"/>
  <c r="EY92" i="1"/>
  <c r="EY96" i="1"/>
  <c r="EY100" i="1"/>
  <c r="EK151" i="1"/>
  <c r="EK152" i="1"/>
  <c r="EK150" i="1"/>
  <c r="BI220" i="1"/>
  <c r="BJ220" i="1" s="1"/>
  <c r="BM220" i="1" s="1"/>
  <c r="BK220" i="1"/>
  <c r="BL220" i="1"/>
  <c r="BN220" i="1"/>
  <c r="BI224" i="1"/>
  <c r="BJ224" i="1" s="1"/>
  <c r="BM224" i="1" s="1"/>
  <c r="BK224" i="1"/>
  <c r="BL224" i="1"/>
  <c r="BN224" i="1"/>
  <c r="BI228" i="1"/>
  <c r="BJ228" i="1" s="1"/>
  <c r="BM228" i="1" s="1"/>
  <c r="BK228" i="1"/>
  <c r="BL228" i="1"/>
  <c r="BN228" i="1"/>
  <c r="BI212" i="1"/>
  <c r="BJ212" i="1" s="1"/>
  <c r="BM212" i="1" s="1"/>
  <c r="BK212" i="1"/>
  <c r="BL212" i="1"/>
  <c r="BN212" i="1"/>
  <c r="BI216" i="1"/>
  <c r="BJ216" i="1" s="1"/>
  <c r="BM216" i="1" s="1"/>
  <c r="BK216" i="1"/>
  <c r="BL216" i="1"/>
  <c r="BN216" i="1"/>
  <c r="EW67" i="1"/>
  <c r="EY88" i="1"/>
  <c r="EW73" i="1"/>
  <c r="EK148" i="1"/>
  <c r="D188" i="1"/>
  <c r="E188" i="1"/>
  <c r="F188" i="1"/>
  <c r="G188" i="1"/>
  <c r="Y188" i="1"/>
  <c r="Z188" i="1"/>
  <c r="AA188" i="1"/>
  <c r="AB188" i="1"/>
  <c r="AC188" i="1"/>
  <c r="AD188" i="1"/>
  <c r="AE188" i="1"/>
  <c r="AM188" i="1"/>
  <c r="AN188" i="1"/>
  <c r="AO188" i="1"/>
  <c r="AP188" i="1"/>
  <c r="AQ188" i="1"/>
  <c r="AR188" i="1"/>
  <c r="AS188" i="1"/>
  <c r="BA188" i="1"/>
  <c r="BB188" i="1"/>
  <c r="BC188" i="1"/>
  <c r="BD188" i="1"/>
  <c r="BE188" i="1"/>
  <c r="BF188" i="1"/>
  <c r="BG188" i="1"/>
  <c r="BH188" i="1"/>
  <c r="BI188" i="1"/>
  <c r="D189" i="1"/>
  <c r="E189" i="1"/>
  <c r="F189" i="1"/>
  <c r="G189" i="1"/>
  <c r="D190" i="1"/>
  <c r="E190" i="1"/>
  <c r="F190" i="1"/>
  <c r="G190" i="1"/>
  <c r="D191" i="1"/>
  <c r="E191" i="1"/>
  <c r="F191" i="1"/>
  <c r="G191" i="1"/>
  <c r="D192" i="1"/>
  <c r="E192" i="1"/>
  <c r="F192" i="1"/>
  <c r="G192" i="1"/>
  <c r="Y192" i="1"/>
  <c r="Z192" i="1"/>
  <c r="AA192" i="1"/>
  <c r="AB192" i="1"/>
  <c r="AC192" i="1"/>
  <c r="AD192" i="1"/>
  <c r="AE192" i="1"/>
  <c r="AM192" i="1"/>
  <c r="AN192" i="1"/>
  <c r="AO192" i="1"/>
  <c r="AP192" i="1"/>
  <c r="AQ192" i="1"/>
  <c r="AR192" i="1"/>
  <c r="AS192" i="1"/>
  <c r="BA192" i="1"/>
  <c r="BB192" i="1"/>
  <c r="BC192" i="1"/>
  <c r="BD192" i="1"/>
  <c r="BE192" i="1"/>
  <c r="BF192" i="1"/>
  <c r="BG192" i="1"/>
  <c r="BH192" i="1"/>
  <c r="BI192" i="1"/>
  <c r="D193" i="1"/>
  <c r="E193" i="1"/>
  <c r="F193" i="1"/>
  <c r="G193" i="1"/>
  <c r="D194" i="1"/>
  <c r="E194" i="1"/>
  <c r="F194" i="1"/>
  <c r="G194" i="1"/>
  <c r="D195" i="1"/>
  <c r="E195" i="1"/>
  <c r="F195" i="1"/>
  <c r="G195" i="1"/>
  <c r="D196" i="1"/>
  <c r="E196" i="1"/>
  <c r="F196" i="1"/>
  <c r="G196" i="1"/>
  <c r="Y196" i="1"/>
  <c r="Z196" i="1"/>
  <c r="AA196" i="1"/>
  <c r="AB196" i="1"/>
  <c r="AC196" i="1"/>
  <c r="AD196" i="1"/>
  <c r="AE196" i="1"/>
  <c r="AM196" i="1"/>
  <c r="AN196" i="1"/>
  <c r="AO196" i="1"/>
  <c r="AP196" i="1"/>
  <c r="AQ196" i="1"/>
  <c r="AR196" i="1"/>
  <c r="AS196" i="1"/>
  <c r="BA196" i="1"/>
  <c r="BB196" i="1"/>
  <c r="BC196" i="1"/>
  <c r="BD196" i="1"/>
  <c r="BE196" i="1"/>
  <c r="BF196" i="1"/>
  <c r="BG196" i="1"/>
  <c r="BH196" i="1"/>
  <c r="BI196" i="1"/>
  <c r="D197" i="1"/>
  <c r="E197" i="1"/>
  <c r="F197" i="1"/>
  <c r="G197" i="1"/>
  <c r="D198" i="1"/>
  <c r="E198" i="1"/>
  <c r="F198" i="1"/>
  <c r="G198" i="1"/>
  <c r="D199" i="1"/>
  <c r="E199" i="1"/>
  <c r="F199" i="1"/>
  <c r="G199" i="1"/>
  <c r="D200" i="1"/>
  <c r="E200" i="1"/>
  <c r="F200" i="1"/>
  <c r="G200" i="1"/>
  <c r="Y200" i="1"/>
  <c r="Z200" i="1"/>
  <c r="AA200" i="1"/>
  <c r="AB200" i="1"/>
  <c r="AC200" i="1"/>
  <c r="AD200" i="1"/>
  <c r="AE200" i="1"/>
  <c r="AM200" i="1"/>
  <c r="AN200" i="1"/>
  <c r="AO200" i="1"/>
  <c r="AP200" i="1"/>
  <c r="AQ200" i="1"/>
  <c r="AR200" i="1"/>
  <c r="AS200" i="1"/>
  <c r="BA200" i="1"/>
  <c r="BB200" i="1"/>
  <c r="BC200" i="1"/>
  <c r="BD200" i="1"/>
  <c r="BE200" i="1"/>
  <c r="BF200" i="1"/>
  <c r="BG200" i="1"/>
  <c r="BH200" i="1"/>
  <c r="BI200" i="1"/>
  <c r="D201" i="1"/>
  <c r="E201" i="1"/>
  <c r="F201" i="1"/>
  <c r="G201" i="1"/>
  <c r="D202" i="1"/>
  <c r="E202" i="1"/>
  <c r="F202" i="1"/>
  <c r="G202" i="1"/>
  <c r="D203" i="1"/>
  <c r="E203" i="1"/>
  <c r="F203" i="1"/>
  <c r="G203" i="1"/>
  <c r="D204" i="1"/>
  <c r="E204" i="1"/>
  <c r="F204" i="1"/>
  <c r="G204" i="1"/>
  <c r="Y204" i="1"/>
  <c r="Z204" i="1"/>
  <c r="AA204" i="1"/>
  <c r="AB204" i="1"/>
  <c r="AC204" i="1"/>
  <c r="AD204" i="1"/>
  <c r="AE204" i="1"/>
  <c r="AM204" i="1"/>
  <c r="AN204" i="1"/>
  <c r="AO204" i="1"/>
  <c r="AP204" i="1"/>
  <c r="AQ204" i="1"/>
  <c r="AR204" i="1"/>
  <c r="AS204" i="1"/>
  <c r="BA204" i="1"/>
  <c r="BB204" i="1"/>
  <c r="BC204" i="1"/>
  <c r="BD204" i="1"/>
  <c r="BE204" i="1"/>
  <c r="BF204" i="1"/>
  <c r="BG204" i="1"/>
  <c r="BH204" i="1"/>
  <c r="BI204" i="1"/>
  <c r="D205" i="1"/>
  <c r="E205" i="1"/>
  <c r="F205" i="1"/>
  <c r="G205" i="1"/>
  <c r="D206" i="1"/>
  <c r="E206" i="1"/>
  <c r="F206" i="1"/>
  <c r="G206" i="1"/>
  <c r="D207" i="1"/>
  <c r="E207" i="1"/>
  <c r="F207" i="1"/>
  <c r="G207" i="1"/>
  <c r="D208" i="1"/>
  <c r="E208" i="1"/>
  <c r="F208" i="1"/>
  <c r="G208" i="1"/>
  <c r="Y208" i="1"/>
  <c r="Z208" i="1"/>
  <c r="AA208" i="1"/>
  <c r="AB208" i="1"/>
  <c r="AC208" i="1"/>
  <c r="AD208" i="1"/>
  <c r="AE208" i="1"/>
  <c r="AM208" i="1"/>
  <c r="AN208" i="1"/>
  <c r="AO208" i="1"/>
  <c r="AP208" i="1"/>
  <c r="AQ208" i="1"/>
  <c r="AR208" i="1"/>
  <c r="AS208" i="1"/>
  <c r="BA208" i="1"/>
  <c r="BB208" i="1"/>
  <c r="BC208" i="1"/>
  <c r="BD208" i="1"/>
  <c r="BE208" i="1"/>
  <c r="BF208" i="1"/>
  <c r="BG208" i="1"/>
  <c r="BH208" i="1"/>
  <c r="BI208" i="1"/>
  <c r="D209" i="1"/>
  <c r="E209" i="1"/>
  <c r="F209" i="1"/>
  <c r="G209" i="1"/>
  <c r="D210" i="1"/>
  <c r="E210" i="1"/>
  <c r="F210" i="1"/>
  <c r="G210" i="1"/>
  <c r="D211" i="1"/>
  <c r="E211" i="1"/>
  <c r="F211" i="1"/>
  <c r="G211" i="1"/>
  <c r="G187" i="1"/>
  <c r="F187" i="1"/>
  <c r="E187" i="1"/>
  <c r="D187" i="1"/>
  <c r="G186" i="1"/>
  <c r="F186" i="1"/>
  <c r="E186" i="1"/>
  <c r="D186" i="1"/>
  <c r="G185" i="1"/>
  <c r="F185" i="1"/>
  <c r="E185" i="1"/>
  <c r="D185" i="1"/>
  <c r="BI184" i="1"/>
  <c r="BH184" i="1"/>
  <c r="BG184" i="1"/>
  <c r="BF184" i="1"/>
  <c r="BE184" i="1"/>
  <c r="BD184" i="1"/>
  <c r="BC184" i="1"/>
  <c r="BB184" i="1"/>
  <c r="BA184" i="1"/>
  <c r="AS184" i="1"/>
  <c r="AR184" i="1"/>
  <c r="AQ184" i="1"/>
  <c r="AP184" i="1"/>
  <c r="AO184" i="1"/>
  <c r="AN184" i="1"/>
  <c r="AM184" i="1"/>
  <c r="AE184" i="1"/>
  <c r="AD184" i="1"/>
  <c r="AC184" i="1"/>
  <c r="AB184" i="1"/>
  <c r="AA184" i="1"/>
  <c r="Z184" i="1"/>
  <c r="Y184" i="1"/>
  <c r="G184" i="1"/>
  <c r="F184" i="1"/>
  <c r="E184" i="1"/>
  <c r="D184" i="1"/>
  <c r="G183" i="1"/>
  <c r="F183" i="1"/>
  <c r="E183" i="1"/>
  <c r="D183" i="1"/>
  <c r="G182" i="1"/>
  <c r="F182" i="1"/>
  <c r="E182" i="1"/>
  <c r="D182" i="1"/>
  <c r="G181" i="1"/>
  <c r="F181" i="1"/>
  <c r="E181" i="1"/>
  <c r="D181" i="1"/>
  <c r="BI180" i="1"/>
  <c r="BH180" i="1"/>
  <c r="BG180" i="1"/>
  <c r="BF180" i="1"/>
  <c r="BE180" i="1"/>
  <c r="BD180" i="1"/>
  <c r="BC180" i="1"/>
  <c r="BB180" i="1"/>
  <c r="BA180" i="1"/>
  <c r="AS180" i="1"/>
  <c r="AR180" i="1"/>
  <c r="AQ180" i="1"/>
  <c r="AP180" i="1"/>
  <c r="AO180" i="1"/>
  <c r="AN180" i="1"/>
  <c r="AM180" i="1"/>
  <c r="AE180" i="1"/>
  <c r="AD180" i="1"/>
  <c r="AC180" i="1"/>
  <c r="AB180" i="1"/>
  <c r="AA180" i="1"/>
  <c r="Z180" i="1"/>
  <c r="Y180" i="1"/>
  <c r="G180" i="1"/>
  <c r="F180" i="1"/>
  <c r="E180" i="1"/>
  <c r="D180" i="1"/>
  <c r="G179" i="1"/>
  <c r="F179" i="1"/>
  <c r="E179" i="1"/>
  <c r="D179" i="1"/>
  <c r="G178" i="1"/>
  <c r="F178" i="1"/>
  <c r="E178" i="1"/>
  <c r="D178" i="1"/>
  <c r="G177" i="1"/>
  <c r="F177" i="1"/>
  <c r="E177" i="1"/>
  <c r="D177" i="1"/>
  <c r="BI176" i="1"/>
  <c r="BH176" i="1"/>
  <c r="BG176" i="1"/>
  <c r="BF176" i="1"/>
  <c r="BE176" i="1"/>
  <c r="BD176" i="1"/>
  <c r="BC176" i="1"/>
  <c r="BB176" i="1"/>
  <c r="BA176" i="1"/>
  <c r="AS176" i="1"/>
  <c r="AR176" i="1"/>
  <c r="AQ176" i="1"/>
  <c r="AP176" i="1"/>
  <c r="AO176" i="1"/>
  <c r="AN176" i="1"/>
  <c r="AM176" i="1"/>
  <c r="AE176" i="1"/>
  <c r="AD176" i="1"/>
  <c r="AC176" i="1"/>
  <c r="AB176" i="1"/>
  <c r="AA176" i="1"/>
  <c r="Z176" i="1"/>
  <c r="Y176" i="1"/>
  <c r="G176" i="1"/>
  <c r="F176" i="1"/>
  <c r="E176" i="1"/>
  <c r="D176" i="1"/>
  <c r="G175" i="1"/>
  <c r="F175" i="1"/>
  <c r="E175" i="1"/>
  <c r="D175" i="1"/>
  <c r="G174" i="1"/>
  <c r="F174" i="1"/>
  <c r="E174" i="1"/>
  <c r="D174" i="1"/>
  <c r="G173" i="1"/>
  <c r="F173" i="1"/>
  <c r="E173" i="1"/>
  <c r="D173" i="1"/>
  <c r="BI172" i="1"/>
  <c r="BH172" i="1"/>
  <c r="BG172" i="1"/>
  <c r="BF172" i="1"/>
  <c r="BE172" i="1"/>
  <c r="BD172" i="1"/>
  <c r="BC172" i="1"/>
  <c r="BB172" i="1"/>
  <c r="BA172" i="1"/>
  <c r="AS172" i="1"/>
  <c r="AR172" i="1"/>
  <c r="AQ172" i="1"/>
  <c r="AP172" i="1"/>
  <c r="AO172" i="1"/>
  <c r="AN172" i="1"/>
  <c r="AM172" i="1"/>
  <c r="AE172" i="1"/>
  <c r="AD172" i="1"/>
  <c r="AC172" i="1"/>
  <c r="AB172" i="1"/>
  <c r="AA172" i="1"/>
  <c r="Z172" i="1"/>
  <c r="Y172" i="1"/>
  <c r="G172" i="1"/>
  <c r="F172" i="1"/>
  <c r="E172" i="1"/>
  <c r="D172" i="1"/>
  <c r="G171" i="1"/>
  <c r="F171" i="1"/>
  <c r="E171" i="1"/>
  <c r="D171" i="1"/>
  <c r="G170" i="1"/>
  <c r="F170" i="1"/>
  <c r="E170" i="1"/>
  <c r="D170" i="1"/>
  <c r="G169" i="1"/>
  <c r="F169" i="1"/>
  <c r="E169" i="1"/>
  <c r="D169" i="1"/>
  <c r="BI168" i="1"/>
  <c r="BH168" i="1"/>
  <c r="BG168" i="1"/>
  <c r="BF168" i="1"/>
  <c r="BE168" i="1"/>
  <c r="BD168" i="1"/>
  <c r="BC168" i="1"/>
  <c r="BB168" i="1"/>
  <c r="BA168" i="1"/>
  <c r="AS168" i="1"/>
  <c r="AR168" i="1"/>
  <c r="AQ168" i="1"/>
  <c r="AP168" i="1"/>
  <c r="AO168" i="1"/>
  <c r="AN168" i="1"/>
  <c r="AM168" i="1"/>
  <c r="AE168" i="1"/>
  <c r="AD168" i="1"/>
  <c r="AC168" i="1"/>
  <c r="AB168" i="1"/>
  <c r="AA168" i="1"/>
  <c r="Z168" i="1"/>
  <c r="Y168" i="1"/>
  <c r="G168" i="1"/>
  <c r="F168" i="1"/>
  <c r="E168" i="1"/>
  <c r="D168" i="1"/>
  <c r="G167" i="1"/>
  <c r="F167" i="1"/>
  <c r="E167" i="1"/>
  <c r="D167" i="1"/>
  <c r="G166" i="1"/>
  <c r="F166" i="1"/>
  <c r="E166" i="1"/>
  <c r="D166" i="1"/>
  <c r="G165" i="1"/>
  <c r="F165" i="1"/>
  <c r="E165" i="1"/>
  <c r="D165" i="1"/>
  <c r="BI164" i="1"/>
  <c r="BH164" i="1"/>
  <c r="BG164" i="1"/>
  <c r="BF164" i="1"/>
  <c r="BE164" i="1"/>
  <c r="BD164" i="1"/>
  <c r="BC164" i="1"/>
  <c r="BB164" i="1"/>
  <c r="BA164" i="1"/>
  <c r="AS164" i="1"/>
  <c r="AR164" i="1"/>
  <c r="AQ164" i="1"/>
  <c r="AP164" i="1"/>
  <c r="AO164" i="1"/>
  <c r="AN164" i="1"/>
  <c r="AM164" i="1"/>
  <c r="AE164" i="1"/>
  <c r="AD164" i="1"/>
  <c r="AC164" i="1"/>
  <c r="AB164" i="1"/>
  <c r="AA164" i="1"/>
  <c r="Z164" i="1"/>
  <c r="Y164" i="1"/>
  <c r="G164" i="1"/>
  <c r="F164" i="1"/>
  <c r="E164" i="1"/>
  <c r="D164" i="1"/>
  <c r="G163" i="1"/>
  <c r="F163" i="1"/>
  <c r="E163" i="1"/>
  <c r="D163" i="1"/>
  <c r="G162" i="1"/>
  <c r="F162" i="1"/>
  <c r="E162" i="1"/>
  <c r="D162" i="1"/>
  <c r="G161" i="1"/>
  <c r="F161" i="1"/>
  <c r="E161" i="1"/>
  <c r="D161" i="1"/>
  <c r="BI160" i="1"/>
  <c r="BH160" i="1"/>
  <c r="BG160" i="1"/>
  <c r="BF160" i="1"/>
  <c r="BE160" i="1"/>
  <c r="BD160" i="1"/>
  <c r="BC160" i="1"/>
  <c r="BB160" i="1"/>
  <c r="BA160" i="1"/>
  <c r="AS160" i="1"/>
  <c r="AR160" i="1"/>
  <c r="AQ160" i="1"/>
  <c r="AP160" i="1"/>
  <c r="AO160" i="1"/>
  <c r="AN160" i="1"/>
  <c r="AM160" i="1"/>
  <c r="AE160" i="1"/>
  <c r="AD160" i="1"/>
  <c r="AC160" i="1"/>
  <c r="AB160" i="1"/>
  <c r="AA160" i="1"/>
  <c r="Z160" i="1"/>
  <c r="Y160" i="1"/>
  <c r="G160" i="1"/>
  <c r="F160" i="1"/>
  <c r="E160" i="1"/>
  <c r="D160" i="1"/>
  <c r="G159" i="1"/>
  <c r="F159" i="1"/>
  <c r="E159" i="1"/>
  <c r="D159" i="1"/>
  <c r="G158" i="1"/>
  <c r="F158" i="1"/>
  <c r="E158" i="1"/>
  <c r="D158" i="1"/>
  <c r="G157" i="1"/>
  <c r="F157" i="1"/>
  <c r="E157" i="1"/>
  <c r="D157" i="1"/>
  <c r="BI156" i="1"/>
  <c r="BH156" i="1"/>
  <c r="BG156" i="1"/>
  <c r="BF156" i="1"/>
  <c r="BE156" i="1"/>
  <c r="BD156" i="1"/>
  <c r="BC156" i="1"/>
  <c r="BB156" i="1"/>
  <c r="BA156" i="1"/>
  <c r="AS156" i="1"/>
  <c r="AR156" i="1"/>
  <c r="AQ156" i="1"/>
  <c r="AP156" i="1"/>
  <c r="AO156" i="1"/>
  <c r="AN156" i="1"/>
  <c r="AM156" i="1"/>
  <c r="AE156" i="1"/>
  <c r="AD156" i="1"/>
  <c r="AC156" i="1"/>
  <c r="AB156" i="1"/>
  <c r="AA156" i="1"/>
  <c r="Z156" i="1"/>
  <c r="Y156" i="1"/>
  <c r="G156" i="1"/>
  <c r="F156" i="1"/>
  <c r="E156" i="1"/>
  <c r="D156" i="1"/>
  <c r="G155" i="1"/>
  <c r="F155" i="1"/>
  <c r="E155" i="1"/>
  <c r="D155" i="1"/>
  <c r="G152" i="1"/>
  <c r="F152" i="1"/>
  <c r="E152" i="1"/>
  <c r="D152" i="1"/>
  <c r="G151" i="1"/>
  <c r="F151" i="1"/>
  <c r="E151" i="1"/>
  <c r="D151" i="1"/>
  <c r="BI150" i="1"/>
  <c r="BH150" i="1"/>
  <c r="BG150" i="1"/>
  <c r="BF150" i="1"/>
  <c r="BE150" i="1"/>
  <c r="BD150" i="1"/>
  <c r="BC150" i="1"/>
  <c r="BB150" i="1"/>
  <c r="BA150" i="1"/>
  <c r="AS150" i="1"/>
  <c r="AR150" i="1"/>
  <c r="AQ150" i="1"/>
  <c r="AP150" i="1"/>
  <c r="AO150" i="1"/>
  <c r="AN150" i="1"/>
  <c r="AM150" i="1"/>
  <c r="AE150" i="1"/>
  <c r="AD150" i="1"/>
  <c r="AC150" i="1"/>
  <c r="AB150" i="1"/>
  <c r="AA150" i="1"/>
  <c r="Z150" i="1"/>
  <c r="Y150" i="1"/>
  <c r="G150" i="1"/>
  <c r="F150" i="1"/>
  <c r="E150" i="1"/>
  <c r="D150" i="1"/>
  <c r="G149" i="1"/>
  <c r="F149" i="1"/>
  <c r="E149" i="1"/>
  <c r="D149" i="1"/>
  <c r="G148" i="1"/>
  <c r="F148" i="1"/>
  <c r="E148" i="1"/>
  <c r="D148" i="1"/>
  <c r="EK147" i="1"/>
  <c r="G147" i="1"/>
  <c r="F147" i="1"/>
  <c r="E147" i="1"/>
  <c r="D147" i="1"/>
  <c r="EK146" i="1"/>
  <c r="BI146" i="1"/>
  <c r="BH146" i="1"/>
  <c r="BG146" i="1"/>
  <c r="BF146" i="1"/>
  <c r="BE146" i="1"/>
  <c r="BD146" i="1"/>
  <c r="BC146" i="1"/>
  <c r="BB146" i="1"/>
  <c r="BA146" i="1"/>
  <c r="AS146" i="1"/>
  <c r="AR146" i="1"/>
  <c r="AQ146" i="1"/>
  <c r="AP146" i="1"/>
  <c r="AO146" i="1"/>
  <c r="AN146" i="1"/>
  <c r="AM146" i="1"/>
  <c r="AE146" i="1"/>
  <c r="AD146" i="1"/>
  <c r="AC146" i="1"/>
  <c r="AB146" i="1"/>
  <c r="AA146" i="1"/>
  <c r="Z146" i="1"/>
  <c r="Y146" i="1"/>
  <c r="G146" i="1"/>
  <c r="F146" i="1"/>
  <c r="E146" i="1"/>
  <c r="D146" i="1"/>
  <c r="G144" i="1"/>
  <c r="F144" i="1"/>
  <c r="E144" i="1"/>
  <c r="D144" i="1"/>
  <c r="EK143" i="1"/>
  <c r="G143" i="1"/>
  <c r="F143" i="1"/>
  <c r="E143" i="1"/>
  <c r="D143" i="1"/>
  <c r="EK142" i="1"/>
  <c r="G142" i="1"/>
  <c r="F142" i="1"/>
  <c r="E142" i="1"/>
  <c r="D142" i="1"/>
  <c r="EK141" i="1"/>
  <c r="BI141" i="1"/>
  <c r="BH141" i="1"/>
  <c r="BG141" i="1"/>
  <c r="BF141" i="1"/>
  <c r="BE141" i="1"/>
  <c r="BD141" i="1"/>
  <c r="BC141" i="1"/>
  <c r="BB141" i="1"/>
  <c r="BA141" i="1"/>
  <c r="AS141" i="1"/>
  <c r="AR141" i="1"/>
  <c r="AQ141" i="1"/>
  <c r="AP141" i="1"/>
  <c r="AO141" i="1"/>
  <c r="AN141" i="1"/>
  <c r="AM141" i="1"/>
  <c r="AE141" i="1"/>
  <c r="AD141" i="1"/>
  <c r="AC141" i="1"/>
  <c r="AB141" i="1"/>
  <c r="AA141" i="1"/>
  <c r="Z141" i="1"/>
  <c r="Y141" i="1"/>
  <c r="G141" i="1"/>
  <c r="F141" i="1"/>
  <c r="E141" i="1"/>
  <c r="D141" i="1"/>
  <c r="EK138" i="1"/>
  <c r="EK137" i="1"/>
  <c r="EK136" i="1"/>
  <c r="BI136" i="1"/>
  <c r="BH136" i="1"/>
  <c r="BG136" i="1"/>
  <c r="BF136" i="1"/>
  <c r="BE136" i="1"/>
  <c r="BD136" i="1"/>
  <c r="BC136" i="1"/>
  <c r="BB136" i="1"/>
  <c r="BA136" i="1"/>
  <c r="AS136" i="1"/>
  <c r="AR136" i="1"/>
  <c r="AQ136" i="1"/>
  <c r="AP136" i="1"/>
  <c r="AO136" i="1"/>
  <c r="AN136" i="1"/>
  <c r="AM136" i="1"/>
  <c r="AE136" i="1"/>
  <c r="AD136" i="1"/>
  <c r="AC136" i="1"/>
  <c r="AB136" i="1"/>
  <c r="AA136" i="1"/>
  <c r="Z136" i="1"/>
  <c r="Y136" i="1"/>
  <c r="G136" i="1"/>
  <c r="F136" i="1"/>
  <c r="E136" i="1"/>
  <c r="D136" i="1"/>
  <c r="E135" i="1"/>
  <c r="D135" i="1"/>
  <c r="EK134" i="1"/>
  <c r="E134" i="1"/>
  <c r="D134" i="1"/>
  <c r="EK133" i="1"/>
  <c r="E133" i="1"/>
  <c r="D133" i="1"/>
  <c r="EK132" i="1"/>
  <c r="BI132" i="1"/>
  <c r="BH132" i="1"/>
  <c r="BG132" i="1"/>
  <c r="BF132" i="1"/>
  <c r="BE132" i="1"/>
  <c r="BD132" i="1"/>
  <c r="BC132" i="1"/>
  <c r="BB132" i="1"/>
  <c r="BA132" i="1"/>
  <c r="AS132" i="1"/>
  <c r="AR132" i="1"/>
  <c r="AQ132" i="1"/>
  <c r="AP132" i="1"/>
  <c r="AO132" i="1"/>
  <c r="AN132" i="1"/>
  <c r="AM132" i="1"/>
  <c r="AE132" i="1"/>
  <c r="AD132" i="1"/>
  <c r="AC132" i="1"/>
  <c r="AB132" i="1"/>
  <c r="AA132" i="1"/>
  <c r="Z132" i="1"/>
  <c r="Y132" i="1"/>
  <c r="E132" i="1"/>
  <c r="D132" i="1"/>
  <c r="E131" i="1"/>
  <c r="D131" i="1"/>
  <c r="EK130" i="1"/>
  <c r="E130" i="1"/>
  <c r="D130" i="1"/>
  <c r="EK129" i="1"/>
  <c r="E129" i="1"/>
  <c r="D129" i="1"/>
  <c r="EK128" i="1"/>
  <c r="BI128" i="1"/>
  <c r="BH128" i="1"/>
  <c r="BG128" i="1"/>
  <c r="BF128" i="1"/>
  <c r="BE128" i="1"/>
  <c r="BD128" i="1"/>
  <c r="BC128" i="1"/>
  <c r="BB128" i="1"/>
  <c r="BA128" i="1"/>
  <c r="AS128" i="1"/>
  <c r="AR128" i="1"/>
  <c r="AQ128" i="1"/>
  <c r="AP128" i="1"/>
  <c r="AO128" i="1"/>
  <c r="AN128" i="1"/>
  <c r="AM128" i="1"/>
  <c r="AE128" i="1"/>
  <c r="AD128" i="1"/>
  <c r="AC128" i="1"/>
  <c r="AB128" i="1"/>
  <c r="AA128" i="1"/>
  <c r="Z128" i="1"/>
  <c r="Y128" i="1"/>
  <c r="E128" i="1"/>
  <c r="D128" i="1"/>
  <c r="E127" i="1"/>
  <c r="D127" i="1"/>
  <c r="EK126" i="1"/>
  <c r="E126" i="1"/>
  <c r="D126" i="1"/>
  <c r="EK125" i="1"/>
  <c r="E125" i="1"/>
  <c r="D125" i="1"/>
  <c r="EK124" i="1"/>
  <c r="BI124" i="1"/>
  <c r="BH124" i="1"/>
  <c r="BG124" i="1"/>
  <c r="BF124" i="1"/>
  <c r="BE124" i="1"/>
  <c r="BD124" i="1"/>
  <c r="BC124" i="1"/>
  <c r="BB124" i="1"/>
  <c r="BA124" i="1"/>
  <c r="AS124" i="1"/>
  <c r="AR124" i="1"/>
  <c r="AQ124" i="1"/>
  <c r="AP124" i="1"/>
  <c r="AO124" i="1"/>
  <c r="AN124" i="1"/>
  <c r="AM124" i="1"/>
  <c r="AE124" i="1"/>
  <c r="AD124" i="1"/>
  <c r="AC124" i="1"/>
  <c r="AB124" i="1"/>
  <c r="AA124" i="1"/>
  <c r="Z124" i="1"/>
  <c r="Y124" i="1"/>
  <c r="E124" i="1"/>
  <c r="D124" i="1"/>
  <c r="E123" i="1"/>
  <c r="D123" i="1"/>
  <c r="EK122" i="1"/>
  <c r="E122" i="1"/>
  <c r="D122" i="1"/>
  <c r="EK121" i="1"/>
  <c r="E121" i="1"/>
  <c r="D121" i="1"/>
  <c r="EK120" i="1"/>
  <c r="BI120" i="1"/>
  <c r="BH120" i="1"/>
  <c r="BG120" i="1"/>
  <c r="BF120" i="1"/>
  <c r="BE120" i="1"/>
  <c r="BD120" i="1"/>
  <c r="BC120" i="1"/>
  <c r="BB120" i="1"/>
  <c r="BA120" i="1"/>
  <c r="AS120" i="1"/>
  <c r="AR120" i="1"/>
  <c r="AQ120" i="1"/>
  <c r="AP120" i="1"/>
  <c r="AO120" i="1"/>
  <c r="AN120" i="1"/>
  <c r="AM120" i="1"/>
  <c r="AE120" i="1"/>
  <c r="AD120" i="1"/>
  <c r="AC120" i="1"/>
  <c r="AB120" i="1"/>
  <c r="AA120" i="1"/>
  <c r="Z120" i="1"/>
  <c r="Y120" i="1"/>
  <c r="E120" i="1"/>
  <c r="D120" i="1"/>
  <c r="E119" i="1"/>
  <c r="D119" i="1"/>
  <c r="EK118" i="1"/>
  <c r="E118" i="1"/>
  <c r="D118" i="1"/>
  <c r="EK117" i="1"/>
  <c r="E117" i="1"/>
  <c r="D117" i="1"/>
  <c r="EK116" i="1"/>
  <c r="BI116" i="1"/>
  <c r="BH116" i="1"/>
  <c r="BG116" i="1"/>
  <c r="BF116" i="1"/>
  <c r="BE116" i="1"/>
  <c r="BD116" i="1"/>
  <c r="BC116" i="1"/>
  <c r="BB116" i="1"/>
  <c r="BA116" i="1"/>
  <c r="AS116" i="1"/>
  <c r="AR116" i="1"/>
  <c r="AQ116" i="1"/>
  <c r="AP116" i="1"/>
  <c r="AO116" i="1"/>
  <c r="AN116" i="1"/>
  <c r="AM116" i="1"/>
  <c r="AE116" i="1"/>
  <c r="AD116" i="1"/>
  <c r="AC116" i="1"/>
  <c r="AB116" i="1"/>
  <c r="AA116" i="1"/>
  <c r="Z116" i="1"/>
  <c r="Y116" i="1"/>
  <c r="E116" i="1"/>
  <c r="D116" i="1"/>
  <c r="E115" i="1"/>
  <c r="D115" i="1"/>
  <c r="EK114" i="1"/>
  <c r="E114" i="1"/>
  <c r="D114" i="1"/>
  <c r="EK113" i="1"/>
  <c r="E113" i="1"/>
  <c r="D113" i="1"/>
  <c r="EK112" i="1"/>
  <c r="BI112" i="1"/>
  <c r="BH112" i="1"/>
  <c r="BG112" i="1"/>
  <c r="BF112" i="1"/>
  <c r="BE112" i="1"/>
  <c r="BD112" i="1"/>
  <c r="BC112" i="1"/>
  <c r="BB112" i="1"/>
  <c r="BA112" i="1"/>
  <c r="AS112" i="1"/>
  <c r="AR112" i="1"/>
  <c r="AQ112" i="1"/>
  <c r="AP112" i="1"/>
  <c r="AO112" i="1"/>
  <c r="AN112" i="1"/>
  <c r="AM112" i="1"/>
  <c r="AE112" i="1"/>
  <c r="AD112" i="1"/>
  <c r="AC112" i="1"/>
  <c r="AB112" i="1"/>
  <c r="AA112" i="1"/>
  <c r="Z112" i="1"/>
  <c r="Y112" i="1"/>
  <c r="E112" i="1"/>
  <c r="D112" i="1"/>
  <c r="E111" i="1"/>
  <c r="D111" i="1"/>
  <c r="EK110" i="1"/>
  <c r="E110" i="1"/>
  <c r="D110" i="1"/>
  <c r="EK109" i="1"/>
  <c r="E109" i="1"/>
  <c r="D109" i="1"/>
  <c r="EK108" i="1"/>
  <c r="BI108" i="1"/>
  <c r="BH108" i="1"/>
  <c r="BG108" i="1"/>
  <c r="BF108" i="1"/>
  <c r="BE108" i="1"/>
  <c r="BD108" i="1"/>
  <c r="BC108" i="1"/>
  <c r="BB108" i="1"/>
  <c r="BA108" i="1"/>
  <c r="AS108" i="1"/>
  <c r="AR108" i="1"/>
  <c r="AQ108" i="1"/>
  <c r="AP108" i="1"/>
  <c r="AO108" i="1"/>
  <c r="AN108" i="1"/>
  <c r="AM108" i="1"/>
  <c r="AE108" i="1"/>
  <c r="AD108" i="1"/>
  <c r="AC108" i="1"/>
  <c r="AB108" i="1"/>
  <c r="AA108" i="1"/>
  <c r="Z108" i="1"/>
  <c r="Y108" i="1"/>
  <c r="E108" i="1"/>
  <c r="D108" i="1"/>
  <c r="G107" i="1"/>
  <c r="F107" i="1"/>
  <c r="E107" i="1"/>
  <c r="D107" i="1"/>
  <c r="EK106" i="1"/>
  <c r="G106" i="1"/>
  <c r="F106" i="1"/>
  <c r="E106" i="1"/>
  <c r="D106" i="1"/>
  <c r="EK105" i="1"/>
  <c r="G105" i="1"/>
  <c r="F105" i="1"/>
  <c r="E105" i="1"/>
  <c r="D105" i="1"/>
  <c r="EK104" i="1"/>
  <c r="BI104" i="1"/>
  <c r="BH104" i="1"/>
  <c r="BG104" i="1"/>
  <c r="BF104" i="1"/>
  <c r="BE104" i="1"/>
  <c r="BD104" i="1"/>
  <c r="BC104" i="1"/>
  <c r="BB104" i="1"/>
  <c r="BA104" i="1"/>
  <c r="AS104" i="1"/>
  <c r="AR104" i="1"/>
  <c r="AQ104" i="1"/>
  <c r="AP104" i="1"/>
  <c r="AO104" i="1"/>
  <c r="AN104" i="1"/>
  <c r="AM104" i="1"/>
  <c r="AE104" i="1"/>
  <c r="AD104" i="1"/>
  <c r="AC104" i="1"/>
  <c r="AB104" i="1"/>
  <c r="AA104" i="1"/>
  <c r="Z104" i="1"/>
  <c r="Y104" i="1"/>
  <c r="G104" i="1"/>
  <c r="F104" i="1"/>
  <c r="E104" i="1"/>
  <c r="D104" i="1"/>
  <c r="G103" i="1"/>
  <c r="F103" i="1"/>
  <c r="E103" i="1"/>
  <c r="D103" i="1"/>
  <c r="EK102" i="1"/>
  <c r="G102" i="1"/>
  <c r="F102" i="1"/>
  <c r="E102" i="1"/>
  <c r="D102" i="1"/>
  <c r="EK101" i="1"/>
  <c r="G101" i="1"/>
  <c r="F101" i="1"/>
  <c r="E101" i="1"/>
  <c r="D101" i="1"/>
  <c r="EK100" i="1"/>
  <c r="BI100" i="1"/>
  <c r="BH100" i="1"/>
  <c r="BG100" i="1"/>
  <c r="BF100" i="1"/>
  <c r="BE100" i="1"/>
  <c r="BD100" i="1"/>
  <c r="BC100" i="1"/>
  <c r="BB100" i="1"/>
  <c r="BA100" i="1"/>
  <c r="AS100" i="1"/>
  <c r="AR100" i="1"/>
  <c r="AQ100" i="1"/>
  <c r="AP100" i="1"/>
  <c r="AO100" i="1"/>
  <c r="AN100" i="1"/>
  <c r="AM100" i="1"/>
  <c r="AE100" i="1"/>
  <c r="AD100" i="1"/>
  <c r="AC100" i="1"/>
  <c r="AB100" i="1"/>
  <c r="AA100" i="1"/>
  <c r="Z100" i="1"/>
  <c r="Y100" i="1"/>
  <c r="G100" i="1"/>
  <c r="F100" i="1"/>
  <c r="E100" i="1"/>
  <c r="D100" i="1"/>
  <c r="G99" i="1"/>
  <c r="F99" i="1"/>
  <c r="E99" i="1"/>
  <c r="D99" i="1"/>
  <c r="G98" i="1"/>
  <c r="F98" i="1"/>
  <c r="E98" i="1"/>
  <c r="D98" i="1"/>
  <c r="EK97" i="1"/>
  <c r="G97" i="1"/>
  <c r="F97" i="1"/>
  <c r="E97" i="1"/>
  <c r="D97" i="1"/>
  <c r="EK96" i="1"/>
  <c r="BI96" i="1"/>
  <c r="BH96" i="1"/>
  <c r="BG96" i="1"/>
  <c r="BF96" i="1"/>
  <c r="BE96" i="1"/>
  <c r="BD96" i="1"/>
  <c r="BC96" i="1"/>
  <c r="BB96" i="1"/>
  <c r="BA96" i="1"/>
  <c r="AS96" i="1"/>
  <c r="AR96" i="1"/>
  <c r="AQ96" i="1"/>
  <c r="AP96" i="1"/>
  <c r="AO96" i="1"/>
  <c r="AN96" i="1"/>
  <c r="AM96" i="1"/>
  <c r="AE96" i="1"/>
  <c r="AD96" i="1"/>
  <c r="AC96" i="1"/>
  <c r="AB96" i="1"/>
  <c r="AA96" i="1"/>
  <c r="Z96" i="1"/>
  <c r="Y96" i="1"/>
  <c r="G96" i="1"/>
  <c r="F96" i="1"/>
  <c r="E96" i="1"/>
  <c r="D96" i="1"/>
  <c r="G95" i="1"/>
  <c r="F95" i="1"/>
  <c r="E95" i="1"/>
  <c r="D95" i="1"/>
  <c r="EK94" i="1"/>
  <c r="G94" i="1"/>
  <c r="F94" i="1"/>
  <c r="E94" i="1"/>
  <c r="D94" i="1"/>
  <c r="EK93" i="1"/>
  <c r="G93" i="1"/>
  <c r="F93" i="1"/>
  <c r="E93" i="1"/>
  <c r="D93" i="1"/>
  <c r="EK92" i="1"/>
  <c r="BI92" i="1"/>
  <c r="BH92" i="1"/>
  <c r="BG92" i="1"/>
  <c r="BF92" i="1"/>
  <c r="BE92" i="1"/>
  <c r="BD92" i="1"/>
  <c r="BC92" i="1"/>
  <c r="BB92" i="1"/>
  <c r="BA92" i="1"/>
  <c r="AS92" i="1"/>
  <c r="AR92" i="1"/>
  <c r="AQ92" i="1"/>
  <c r="AP92" i="1"/>
  <c r="AO92" i="1"/>
  <c r="AN92" i="1"/>
  <c r="AM92" i="1"/>
  <c r="AE92" i="1"/>
  <c r="AD92" i="1"/>
  <c r="AC92" i="1"/>
  <c r="AB92" i="1"/>
  <c r="AA92" i="1"/>
  <c r="Z92" i="1"/>
  <c r="Y92" i="1"/>
  <c r="G92" i="1"/>
  <c r="F92" i="1"/>
  <c r="E92" i="1"/>
  <c r="D92" i="1"/>
  <c r="G91" i="1"/>
  <c r="F91" i="1"/>
  <c r="E91" i="1"/>
  <c r="D91" i="1"/>
  <c r="EK90" i="1"/>
  <c r="G90" i="1"/>
  <c r="F90" i="1"/>
  <c r="E90" i="1"/>
  <c r="D90" i="1"/>
  <c r="EK89" i="1"/>
  <c r="G89" i="1"/>
  <c r="F89" i="1"/>
  <c r="E89" i="1"/>
  <c r="D89" i="1"/>
  <c r="EK88" i="1"/>
  <c r="BI88" i="1"/>
  <c r="BH88" i="1"/>
  <c r="BG88" i="1"/>
  <c r="BF88" i="1"/>
  <c r="BE88" i="1"/>
  <c r="BD88" i="1"/>
  <c r="BC88" i="1"/>
  <c r="BB88" i="1"/>
  <c r="BA88" i="1"/>
  <c r="AS88" i="1"/>
  <c r="AR88" i="1"/>
  <c r="AQ88" i="1"/>
  <c r="AP88" i="1"/>
  <c r="AO88" i="1"/>
  <c r="AN88" i="1"/>
  <c r="AM88" i="1"/>
  <c r="AE88" i="1"/>
  <c r="AD88" i="1"/>
  <c r="AC88" i="1"/>
  <c r="AB88" i="1"/>
  <c r="AA88" i="1"/>
  <c r="Z88" i="1"/>
  <c r="Y88" i="1"/>
  <c r="G88" i="1"/>
  <c r="F88" i="1"/>
  <c r="E88" i="1"/>
  <c r="D88" i="1"/>
  <c r="EW87" i="1"/>
  <c r="G87" i="1"/>
  <c r="F87" i="1"/>
  <c r="E87" i="1"/>
  <c r="D87" i="1"/>
  <c r="EW86" i="1"/>
  <c r="EK86" i="1"/>
  <c r="G86" i="1"/>
  <c r="F86" i="1"/>
  <c r="E86" i="1"/>
  <c r="D86" i="1"/>
  <c r="EW85" i="1"/>
  <c r="EK85" i="1"/>
  <c r="G85" i="1"/>
  <c r="F85" i="1"/>
  <c r="E85" i="1"/>
  <c r="D85" i="1"/>
  <c r="EW84" i="1"/>
  <c r="EK84" i="1"/>
  <c r="BI84" i="1"/>
  <c r="BH84" i="1"/>
  <c r="BG84" i="1"/>
  <c r="BF84" i="1"/>
  <c r="BE84" i="1"/>
  <c r="BD84" i="1"/>
  <c r="BC84" i="1"/>
  <c r="BB84" i="1"/>
  <c r="BA84" i="1"/>
  <c r="AS84" i="1"/>
  <c r="AR84" i="1"/>
  <c r="AQ84" i="1"/>
  <c r="AP84" i="1"/>
  <c r="AO84" i="1"/>
  <c r="AN84" i="1"/>
  <c r="AM84" i="1"/>
  <c r="AE84" i="1"/>
  <c r="AD84" i="1"/>
  <c r="AC84" i="1"/>
  <c r="AB84" i="1"/>
  <c r="AA84" i="1"/>
  <c r="Z84" i="1"/>
  <c r="Y84" i="1"/>
  <c r="G84" i="1"/>
  <c r="F84" i="1"/>
  <c r="E84" i="1"/>
  <c r="D84" i="1"/>
  <c r="EW83" i="1"/>
  <c r="G83" i="1"/>
  <c r="F83" i="1"/>
  <c r="E83" i="1"/>
  <c r="D83" i="1"/>
  <c r="EK82" i="1"/>
  <c r="G82" i="1"/>
  <c r="F82" i="1"/>
  <c r="E82" i="1"/>
  <c r="D82" i="1"/>
  <c r="EW81" i="1"/>
  <c r="EK81" i="1"/>
  <c r="G81" i="1"/>
  <c r="F81" i="1"/>
  <c r="E81" i="1"/>
  <c r="D81" i="1"/>
  <c r="EW80" i="1"/>
  <c r="EK80" i="1"/>
  <c r="BI80" i="1"/>
  <c r="BH80" i="1"/>
  <c r="BG80" i="1"/>
  <c r="BF80" i="1"/>
  <c r="BE80" i="1"/>
  <c r="BD80" i="1"/>
  <c r="BC80" i="1"/>
  <c r="BB80" i="1"/>
  <c r="BA80" i="1"/>
  <c r="AS80" i="1"/>
  <c r="AR80" i="1"/>
  <c r="AQ80" i="1"/>
  <c r="AP80" i="1"/>
  <c r="AO80" i="1"/>
  <c r="AN80" i="1"/>
  <c r="AM80" i="1"/>
  <c r="AE80" i="1"/>
  <c r="AD80" i="1"/>
  <c r="AC80" i="1"/>
  <c r="AB80" i="1"/>
  <c r="AA80" i="1"/>
  <c r="Z80" i="1"/>
  <c r="Y80" i="1"/>
  <c r="G80" i="1"/>
  <c r="F80" i="1"/>
  <c r="E80" i="1"/>
  <c r="D80" i="1"/>
  <c r="EW79" i="1"/>
  <c r="G79" i="1"/>
  <c r="F79" i="1"/>
  <c r="E79" i="1"/>
  <c r="D79" i="1"/>
  <c r="EW78" i="1"/>
  <c r="EK78" i="1"/>
  <c r="G78" i="1"/>
  <c r="F78" i="1"/>
  <c r="E78" i="1"/>
  <c r="D78" i="1"/>
  <c r="EW77" i="1"/>
  <c r="EK77" i="1"/>
  <c r="G77" i="1"/>
  <c r="F77" i="1"/>
  <c r="E77" i="1"/>
  <c r="D77" i="1"/>
  <c r="EK76" i="1"/>
  <c r="BI76" i="1"/>
  <c r="BH76" i="1"/>
  <c r="BG76" i="1"/>
  <c r="BF76" i="1"/>
  <c r="BE76" i="1"/>
  <c r="BD76" i="1"/>
  <c r="BC76" i="1"/>
  <c r="BB76" i="1"/>
  <c r="BA76" i="1"/>
  <c r="AS76" i="1"/>
  <c r="AR76" i="1"/>
  <c r="AQ76" i="1"/>
  <c r="AP76" i="1"/>
  <c r="AO76" i="1"/>
  <c r="AN76" i="1"/>
  <c r="AM76" i="1"/>
  <c r="AE76" i="1"/>
  <c r="AD76" i="1"/>
  <c r="AC76" i="1"/>
  <c r="AB76" i="1"/>
  <c r="AA76" i="1"/>
  <c r="Z76" i="1"/>
  <c r="Y76" i="1"/>
  <c r="G76" i="1"/>
  <c r="F76" i="1"/>
  <c r="E76" i="1"/>
  <c r="D76" i="1"/>
  <c r="EW75" i="1"/>
  <c r="G75" i="1"/>
  <c r="F75" i="1"/>
  <c r="E75" i="1"/>
  <c r="D75" i="1"/>
  <c r="EW74" i="1"/>
  <c r="EK74" i="1"/>
  <c r="G74" i="1"/>
  <c r="F74" i="1"/>
  <c r="E74" i="1"/>
  <c r="D74" i="1"/>
  <c r="EK73" i="1"/>
  <c r="G73" i="1"/>
  <c r="F73" i="1"/>
  <c r="E73" i="1"/>
  <c r="D73" i="1"/>
  <c r="EW72" i="1"/>
  <c r="EK72" i="1"/>
  <c r="BI72" i="1"/>
  <c r="BH72" i="1"/>
  <c r="BG72" i="1"/>
  <c r="BF72" i="1"/>
  <c r="BE72" i="1"/>
  <c r="BD72" i="1"/>
  <c r="BC72" i="1"/>
  <c r="BB72" i="1"/>
  <c r="BA72" i="1"/>
  <c r="AS72" i="1"/>
  <c r="AR72" i="1"/>
  <c r="AQ72" i="1"/>
  <c r="AP72" i="1"/>
  <c r="AO72" i="1"/>
  <c r="AN72" i="1"/>
  <c r="AM72" i="1"/>
  <c r="AE72" i="1"/>
  <c r="AD72" i="1"/>
  <c r="AC72" i="1"/>
  <c r="AB72" i="1"/>
  <c r="AA72" i="1"/>
  <c r="Z72" i="1"/>
  <c r="Y72" i="1"/>
  <c r="G72" i="1"/>
  <c r="F72" i="1"/>
  <c r="E72" i="1"/>
  <c r="D72" i="1"/>
  <c r="G71" i="1"/>
  <c r="F71" i="1"/>
  <c r="E71" i="1"/>
  <c r="D71" i="1"/>
  <c r="EW70" i="1"/>
  <c r="EK70" i="1"/>
  <c r="G70" i="1"/>
  <c r="F70" i="1"/>
  <c r="E70" i="1"/>
  <c r="D70" i="1"/>
  <c r="EW69" i="1"/>
  <c r="EK69" i="1"/>
  <c r="G69" i="1"/>
  <c r="F69" i="1"/>
  <c r="E69" i="1"/>
  <c r="D69" i="1"/>
  <c r="EW68" i="1"/>
  <c r="EK68" i="1"/>
  <c r="BI68" i="1"/>
  <c r="BH68" i="1"/>
  <c r="BG68" i="1"/>
  <c r="BF68" i="1"/>
  <c r="BE68" i="1"/>
  <c r="BD68" i="1"/>
  <c r="BC68" i="1"/>
  <c r="BB68" i="1"/>
  <c r="BA68" i="1"/>
  <c r="AS68" i="1"/>
  <c r="AR68" i="1"/>
  <c r="AQ68" i="1"/>
  <c r="AP68" i="1"/>
  <c r="AO68" i="1"/>
  <c r="AN68" i="1"/>
  <c r="AM68" i="1"/>
  <c r="AE68" i="1"/>
  <c r="AD68" i="1"/>
  <c r="AC68" i="1"/>
  <c r="AB68" i="1"/>
  <c r="AA68" i="1"/>
  <c r="Z68" i="1"/>
  <c r="Y68" i="1"/>
  <c r="G68" i="1"/>
  <c r="F68" i="1"/>
  <c r="E68" i="1"/>
  <c r="D68" i="1"/>
  <c r="EW66" i="1"/>
  <c r="G66" i="1"/>
  <c r="F66" i="1"/>
  <c r="E66" i="1"/>
  <c r="D66" i="1"/>
  <c r="EW65" i="1"/>
  <c r="EK65" i="1"/>
  <c r="G65" i="1"/>
  <c r="F65" i="1"/>
  <c r="E65" i="1"/>
  <c r="D65" i="1"/>
  <c r="EW64" i="1"/>
  <c r="EK64" i="1"/>
  <c r="G64" i="1"/>
  <c r="F64" i="1"/>
  <c r="E64" i="1"/>
  <c r="D64" i="1"/>
  <c r="EW63" i="1"/>
  <c r="EK63" i="1"/>
  <c r="BI63" i="1"/>
  <c r="BH63" i="1"/>
  <c r="BG63" i="1"/>
  <c r="BF63" i="1"/>
  <c r="BE63" i="1"/>
  <c r="BD63" i="1"/>
  <c r="BC63" i="1"/>
  <c r="BB63" i="1"/>
  <c r="BA63" i="1"/>
  <c r="AS63" i="1"/>
  <c r="AR63" i="1"/>
  <c r="AQ63" i="1"/>
  <c r="AP63" i="1"/>
  <c r="AO63" i="1"/>
  <c r="AN63" i="1"/>
  <c r="AM63" i="1"/>
  <c r="AE63" i="1"/>
  <c r="AD63" i="1"/>
  <c r="AC63" i="1"/>
  <c r="AB63" i="1"/>
  <c r="AA63" i="1"/>
  <c r="Z63" i="1"/>
  <c r="Y63" i="1"/>
  <c r="G63" i="1"/>
  <c r="F63" i="1"/>
  <c r="E63" i="1"/>
  <c r="D63" i="1"/>
  <c r="EW62" i="1"/>
  <c r="AE62" i="1"/>
  <c r="AD62" i="1"/>
  <c r="AC62" i="1"/>
  <c r="AB62" i="1"/>
  <c r="AA62" i="1"/>
  <c r="Z62" i="1"/>
  <c r="Y62" i="1"/>
  <c r="G62" i="1"/>
  <c r="F62" i="1"/>
  <c r="E62" i="1"/>
  <c r="D62" i="1"/>
  <c r="EW61" i="1"/>
  <c r="EK61" i="1"/>
  <c r="AE61" i="1"/>
  <c r="AD61" i="1"/>
  <c r="AC61" i="1"/>
  <c r="AB61" i="1"/>
  <c r="AA61" i="1"/>
  <c r="Z61" i="1"/>
  <c r="Y61" i="1"/>
  <c r="G61" i="1"/>
  <c r="F61" i="1"/>
  <c r="E61" i="1"/>
  <c r="D61" i="1"/>
  <c r="EW60" i="1"/>
  <c r="EK60" i="1"/>
  <c r="AE60" i="1"/>
  <c r="AD60" i="1"/>
  <c r="AC60" i="1"/>
  <c r="AB60" i="1"/>
  <c r="AA60" i="1"/>
  <c r="Z60" i="1"/>
  <c r="Y60" i="1"/>
  <c r="G60" i="1"/>
  <c r="F60" i="1"/>
  <c r="E60" i="1"/>
  <c r="D60" i="1"/>
  <c r="EW59" i="1"/>
  <c r="EK59" i="1"/>
  <c r="BI59" i="1"/>
  <c r="BH59" i="1"/>
  <c r="BG59" i="1"/>
  <c r="BF59" i="1"/>
  <c r="BE59" i="1"/>
  <c r="BD59" i="1"/>
  <c r="BC59" i="1"/>
  <c r="BB59" i="1"/>
  <c r="BA59" i="1"/>
  <c r="AS59" i="1"/>
  <c r="AR59" i="1"/>
  <c r="AQ59" i="1"/>
  <c r="AP59" i="1"/>
  <c r="AO59" i="1"/>
  <c r="AN59" i="1"/>
  <c r="AM59" i="1"/>
  <c r="AE59" i="1"/>
  <c r="AD59" i="1"/>
  <c r="AC59" i="1"/>
  <c r="AB59" i="1"/>
  <c r="AA59" i="1"/>
  <c r="Z59" i="1"/>
  <c r="Y59" i="1"/>
  <c r="G59" i="1"/>
  <c r="F59" i="1"/>
  <c r="E59" i="1"/>
  <c r="D59" i="1"/>
  <c r="EW58" i="1"/>
  <c r="AE58" i="1"/>
  <c r="AD58" i="1"/>
  <c r="AC58" i="1"/>
  <c r="AB58" i="1"/>
  <c r="AA58" i="1"/>
  <c r="Z58" i="1"/>
  <c r="Y58" i="1"/>
  <c r="G58" i="1"/>
  <c r="F58" i="1"/>
  <c r="E58" i="1"/>
  <c r="D58" i="1"/>
  <c r="EW57" i="1"/>
  <c r="EK57" i="1"/>
  <c r="AE57" i="1"/>
  <c r="AD57" i="1"/>
  <c r="AC57" i="1"/>
  <c r="AB57" i="1"/>
  <c r="AA57" i="1"/>
  <c r="Z57" i="1"/>
  <c r="Y57" i="1"/>
  <c r="G57" i="1"/>
  <c r="F57" i="1"/>
  <c r="E57" i="1"/>
  <c r="D57" i="1"/>
  <c r="EK56" i="1"/>
  <c r="AE56" i="1"/>
  <c r="AD56" i="1"/>
  <c r="AC56" i="1"/>
  <c r="AB56" i="1"/>
  <c r="AA56" i="1"/>
  <c r="Z56" i="1"/>
  <c r="Y56" i="1"/>
  <c r="G56" i="1"/>
  <c r="F56" i="1"/>
  <c r="E56" i="1"/>
  <c r="D56" i="1"/>
  <c r="EW55" i="1"/>
  <c r="EK55" i="1"/>
  <c r="BI55" i="1"/>
  <c r="BH55" i="1"/>
  <c r="BG55" i="1"/>
  <c r="BF55" i="1"/>
  <c r="BE55" i="1"/>
  <c r="BD55" i="1"/>
  <c r="BC55" i="1"/>
  <c r="BB55" i="1"/>
  <c r="BA55" i="1"/>
  <c r="AS55" i="1"/>
  <c r="AR55" i="1"/>
  <c r="AQ55" i="1"/>
  <c r="AP55" i="1"/>
  <c r="AO55" i="1"/>
  <c r="AN55" i="1"/>
  <c r="AM55" i="1"/>
  <c r="AE55" i="1"/>
  <c r="AD55" i="1"/>
  <c r="AC55" i="1"/>
  <c r="AB55" i="1"/>
  <c r="AA55" i="1"/>
  <c r="Z55" i="1"/>
  <c r="Y55" i="1"/>
  <c r="G55" i="1"/>
  <c r="F55" i="1"/>
  <c r="E55" i="1"/>
  <c r="D55" i="1"/>
  <c r="EW54" i="1"/>
  <c r="AE54" i="1"/>
  <c r="AD54" i="1"/>
  <c r="AC54" i="1"/>
  <c r="AB54" i="1"/>
  <c r="AA54" i="1"/>
  <c r="Z54" i="1"/>
  <c r="Y54" i="1"/>
  <c r="G54" i="1"/>
  <c r="F54" i="1"/>
  <c r="E54" i="1"/>
  <c r="D54" i="1"/>
  <c r="EW53" i="1"/>
  <c r="EK53" i="1"/>
  <c r="AE53" i="1"/>
  <c r="AD53" i="1"/>
  <c r="AC53" i="1"/>
  <c r="AB53" i="1"/>
  <c r="AA53" i="1"/>
  <c r="Z53" i="1"/>
  <c r="Y53" i="1"/>
  <c r="G53" i="1"/>
  <c r="F53" i="1"/>
  <c r="E53" i="1"/>
  <c r="D53" i="1"/>
  <c r="EW52" i="1"/>
  <c r="EK52" i="1"/>
  <c r="AE52" i="1"/>
  <c r="AD52" i="1"/>
  <c r="AC52" i="1"/>
  <c r="AB52" i="1"/>
  <c r="AA52" i="1"/>
  <c r="Z52" i="1"/>
  <c r="Y52" i="1"/>
  <c r="G52" i="1"/>
  <c r="F52" i="1"/>
  <c r="E52" i="1"/>
  <c r="D52" i="1"/>
  <c r="EW51" i="1"/>
  <c r="EK51" i="1"/>
  <c r="BI51" i="1"/>
  <c r="BH51" i="1"/>
  <c r="BG51" i="1"/>
  <c r="BF51" i="1"/>
  <c r="BE51" i="1"/>
  <c r="BD51" i="1"/>
  <c r="BC51" i="1"/>
  <c r="BB51" i="1"/>
  <c r="BA51" i="1"/>
  <c r="AS51" i="1"/>
  <c r="AR51" i="1"/>
  <c r="AQ51" i="1"/>
  <c r="AP51" i="1"/>
  <c r="AO51" i="1"/>
  <c r="AN51" i="1"/>
  <c r="AM51" i="1"/>
  <c r="AE51" i="1"/>
  <c r="AD51" i="1"/>
  <c r="AC51" i="1"/>
  <c r="AB51" i="1"/>
  <c r="AA51" i="1"/>
  <c r="Z51" i="1"/>
  <c r="Y51" i="1"/>
  <c r="G51" i="1"/>
  <c r="F51" i="1"/>
  <c r="E51" i="1"/>
  <c r="D51" i="1"/>
  <c r="EW50" i="1"/>
  <c r="AE50" i="1"/>
  <c r="AD50" i="1"/>
  <c r="AC50" i="1"/>
  <c r="AB50" i="1"/>
  <c r="AA50" i="1"/>
  <c r="Z50" i="1"/>
  <c r="Y50" i="1"/>
  <c r="G50" i="1"/>
  <c r="F50" i="1"/>
  <c r="E50" i="1"/>
  <c r="D50" i="1"/>
  <c r="EW49" i="1"/>
  <c r="EK49" i="1"/>
  <c r="AE49" i="1"/>
  <c r="AD49" i="1"/>
  <c r="AC49" i="1"/>
  <c r="AB49" i="1"/>
  <c r="AA49" i="1"/>
  <c r="Z49" i="1"/>
  <c r="Y49" i="1"/>
  <c r="G49" i="1"/>
  <c r="F49" i="1"/>
  <c r="E49" i="1"/>
  <c r="D49" i="1"/>
  <c r="EW48" i="1"/>
  <c r="EK48" i="1"/>
  <c r="AE48" i="1"/>
  <c r="AD48" i="1"/>
  <c r="AC48" i="1"/>
  <c r="AB48" i="1"/>
  <c r="AA48" i="1"/>
  <c r="Z48" i="1"/>
  <c r="Y48" i="1"/>
  <c r="G48" i="1"/>
  <c r="F48" i="1"/>
  <c r="E48" i="1"/>
  <c r="D48" i="1"/>
  <c r="EW47" i="1"/>
  <c r="EK47" i="1"/>
  <c r="BI47" i="1"/>
  <c r="BH47" i="1"/>
  <c r="BG47" i="1"/>
  <c r="BF47" i="1"/>
  <c r="BE47" i="1"/>
  <c r="BD47" i="1"/>
  <c r="BC47" i="1"/>
  <c r="BB47" i="1"/>
  <c r="BA47" i="1"/>
  <c r="AS47" i="1"/>
  <c r="AR47" i="1"/>
  <c r="AQ47" i="1"/>
  <c r="AP47" i="1"/>
  <c r="AO47" i="1"/>
  <c r="AN47" i="1"/>
  <c r="AM47" i="1"/>
  <c r="AE47" i="1"/>
  <c r="AD47" i="1"/>
  <c r="AC47" i="1"/>
  <c r="AB47" i="1"/>
  <c r="AA47" i="1"/>
  <c r="Z47" i="1"/>
  <c r="Y47" i="1"/>
  <c r="G47" i="1"/>
  <c r="F47" i="1"/>
  <c r="E47" i="1"/>
  <c r="D47" i="1"/>
  <c r="EW46" i="1"/>
  <c r="AE46" i="1"/>
  <c r="AD46" i="1"/>
  <c r="AC46" i="1"/>
  <c r="AB46" i="1"/>
  <c r="AA46" i="1"/>
  <c r="Z46" i="1"/>
  <c r="Y46" i="1"/>
  <c r="G46" i="1"/>
  <c r="F46" i="1"/>
  <c r="E46" i="1"/>
  <c r="D46" i="1"/>
  <c r="EW45" i="1"/>
  <c r="EK45" i="1"/>
  <c r="AE45" i="1"/>
  <c r="AD45" i="1"/>
  <c r="AC45" i="1"/>
  <c r="AB45" i="1"/>
  <c r="AA45" i="1"/>
  <c r="Z45" i="1"/>
  <c r="Y45" i="1"/>
  <c r="G45" i="1"/>
  <c r="F45" i="1"/>
  <c r="E45" i="1"/>
  <c r="D45" i="1"/>
  <c r="EW44" i="1"/>
  <c r="EK44" i="1"/>
  <c r="AE44" i="1"/>
  <c r="AD44" i="1"/>
  <c r="AC44" i="1"/>
  <c r="AB44" i="1"/>
  <c r="AA44" i="1"/>
  <c r="Z44" i="1"/>
  <c r="Y44" i="1"/>
  <c r="G44" i="1"/>
  <c r="F44" i="1"/>
  <c r="E44" i="1"/>
  <c r="D44" i="1"/>
  <c r="EW43" i="1"/>
  <c r="EK43" i="1"/>
  <c r="BI43" i="1"/>
  <c r="BH43" i="1"/>
  <c r="BG43" i="1"/>
  <c r="BF43" i="1"/>
  <c r="BE43" i="1"/>
  <c r="BD43" i="1"/>
  <c r="BC43" i="1"/>
  <c r="BB43" i="1"/>
  <c r="BA43" i="1"/>
  <c r="AS43" i="1"/>
  <c r="AR43" i="1"/>
  <c r="AQ43" i="1"/>
  <c r="AP43" i="1"/>
  <c r="AO43" i="1"/>
  <c r="AN43" i="1"/>
  <c r="AM43" i="1"/>
  <c r="AE43" i="1"/>
  <c r="AD43" i="1"/>
  <c r="AC43" i="1"/>
  <c r="AB43" i="1"/>
  <c r="AA43" i="1"/>
  <c r="Z43" i="1"/>
  <c r="Y43" i="1"/>
  <c r="G43" i="1"/>
  <c r="F43" i="1"/>
  <c r="E43" i="1"/>
  <c r="D43" i="1"/>
  <c r="EW42" i="1"/>
  <c r="AE42" i="1"/>
  <c r="AD42" i="1"/>
  <c r="AC42" i="1"/>
  <c r="AB42" i="1"/>
  <c r="AA42" i="1"/>
  <c r="Z42" i="1"/>
  <c r="Y42" i="1"/>
  <c r="G42" i="1"/>
  <c r="F42" i="1"/>
  <c r="E42" i="1"/>
  <c r="D42" i="1"/>
  <c r="EW41" i="1"/>
  <c r="EK41" i="1"/>
  <c r="AE41" i="1"/>
  <c r="AD41" i="1"/>
  <c r="AC41" i="1"/>
  <c r="AB41" i="1"/>
  <c r="AA41" i="1"/>
  <c r="Z41" i="1"/>
  <c r="Y41" i="1"/>
  <c r="G41" i="1"/>
  <c r="F41" i="1"/>
  <c r="E41" i="1"/>
  <c r="D41" i="1"/>
  <c r="EW40" i="1"/>
  <c r="EK40" i="1"/>
  <c r="AE40" i="1"/>
  <c r="AD40" i="1"/>
  <c r="AC40" i="1"/>
  <c r="AB40" i="1"/>
  <c r="AA40" i="1"/>
  <c r="Z40" i="1"/>
  <c r="Y40" i="1"/>
  <c r="G40" i="1"/>
  <c r="F40" i="1"/>
  <c r="E40" i="1"/>
  <c r="D40" i="1"/>
  <c r="EW39" i="1"/>
  <c r="EK39" i="1"/>
  <c r="BI39" i="1"/>
  <c r="BH39" i="1"/>
  <c r="BG39" i="1"/>
  <c r="BF39" i="1"/>
  <c r="BE39" i="1"/>
  <c r="BD39" i="1"/>
  <c r="BC39" i="1"/>
  <c r="BB39" i="1"/>
  <c r="BA39" i="1"/>
  <c r="AS39" i="1"/>
  <c r="AR39" i="1"/>
  <c r="AQ39" i="1"/>
  <c r="AP39" i="1"/>
  <c r="AO39" i="1"/>
  <c r="AN39" i="1"/>
  <c r="AM39" i="1"/>
  <c r="AE39" i="1"/>
  <c r="AD39" i="1"/>
  <c r="AC39" i="1"/>
  <c r="AB39" i="1"/>
  <c r="AA39" i="1"/>
  <c r="Z39" i="1"/>
  <c r="Y39" i="1"/>
  <c r="G39" i="1"/>
  <c r="F39" i="1"/>
  <c r="E39" i="1"/>
  <c r="D39" i="1"/>
  <c r="EW38" i="1"/>
  <c r="AE38" i="1"/>
  <c r="AD38" i="1"/>
  <c r="AC38" i="1"/>
  <c r="AB38" i="1"/>
  <c r="AA38" i="1"/>
  <c r="Z38" i="1"/>
  <c r="Y38" i="1"/>
  <c r="G38" i="1"/>
  <c r="F38" i="1"/>
  <c r="E38" i="1"/>
  <c r="D38" i="1"/>
  <c r="EW37" i="1"/>
  <c r="EK37" i="1"/>
  <c r="AE37" i="1"/>
  <c r="AD37" i="1"/>
  <c r="AC37" i="1"/>
  <c r="AB37" i="1"/>
  <c r="AA37" i="1"/>
  <c r="Z37" i="1"/>
  <c r="Y37" i="1"/>
  <c r="G37" i="1"/>
  <c r="F37" i="1"/>
  <c r="E37" i="1"/>
  <c r="D37" i="1"/>
  <c r="EW36" i="1"/>
  <c r="EK36" i="1"/>
  <c r="AE36" i="1"/>
  <c r="AD36" i="1"/>
  <c r="AC36" i="1"/>
  <c r="AB36" i="1"/>
  <c r="AA36" i="1"/>
  <c r="Z36" i="1"/>
  <c r="Y36" i="1"/>
  <c r="G36" i="1"/>
  <c r="F36" i="1"/>
  <c r="E36" i="1"/>
  <c r="D36" i="1"/>
  <c r="EW35" i="1"/>
  <c r="EK35" i="1"/>
  <c r="BI35" i="1"/>
  <c r="BH35" i="1"/>
  <c r="BG35" i="1"/>
  <c r="BF35" i="1"/>
  <c r="BE35" i="1"/>
  <c r="BD35" i="1"/>
  <c r="BC35" i="1"/>
  <c r="BB35" i="1"/>
  <c r="BA35" i="1"/>
  <c r="AS35" i="1"/>
  <c r="AR35" i="1"/>
  <c r="AQ35" i="1"/>
  <c r="AP35" i="1"/>
  <c r="AO35" i="1"/>
  <c r="AN35" i="1"/>
  <c r="AM35" i="1"/>
  <c r="AE35" i="1"/>
  <c r="AD35" i="1"/>
  <c r="AC35" i="1"/>
  <c r="AB35" i="1"/>
  <c r="AA35" i="1"/>
  <c r="Z35" i="1"/>
  <c r="Y35" i="1"/>
  <c r="G35" i="1"/>
  <c r="F35" i="1"/>
  <c r="E35" i="1"/>
  <c r="D35" i="1"/>
  <c r="EW34" i="1"/>
  <c r="AE34" i="1"/>
  <c r="AD34" i="1"/>
  <c r="AC34" i="1"/>
  <c r="AB34" i="1"/>
  <c r="AA34" i="1"/>
  <c r="Z34" i="1"/>
  <c r="Y34" i="1"/>
  <c r="G34" i="1"/>
  <c r="F34" i="1"/>
  <c r="E34" i="1"/>
  <c r="D34" i="1"/>
  <c r="EW33" i="1"/>
  <c r="EK33" i="1"/>
  <c r="AE33" i="1"/>
  <c r="AD33" i="1"/>
  <c r="AC33" i="1"/>
  <c r="AB33" i="1"/>
  <c r="AA33" i="1"/>
  <c r="Z33" i="1"/>
  <c r="Y33" i="1"/>
  <c r="G33" i="1"/>
  <c r="F33" i="1"/>
  <c r="E33" i="1"/>
  <c r="D33" i="1"/>
  <c r="EW32" i="1"/>
  <c r="EK32" i="1"/>
  <c r="AE32" i="1"/>
  <c r="AD32" i="1"/>
  <c r="AC32" i="1"/>
  <c r="AB32" i="1"/>
  <c r="AA32" i="1"/>
  <c r="Z32" i="1"/>
  <c r="Y32" i="1"/>
  <c r="G32" i="1"/>
  <c r="F32" i="1"/>
  <c r="E32" i="1"/>
  <c r="D32" i="1"/>
  <c r="EW31" i="1"/>
  <c r="EK31" i="1"/>
  <c r="BI31" i="1"/>
  <c r="BH31" i="1"/>
  <c r="BG31" i="1"/>
  <c r="BF31" i="1"/>
  <c r="BE31" i="1"/>
  <c r="BD31" i="1"/>
  <c r="BC31" i="1"/>
  <c r="BB31" i="1"/>
  <c r="BA31" i="1"/>
  <c r="AS31" i="1"/>
  <c r="AR31" i="1"/>
  <c r="AQ31" i="1"/>
  <c r="AP31" i="1"/>
  <c r="AO31" i="1"/>
  <c r="AN31" i="1"/>
  <c r="AM31" i="1"/>
  <c r="AE31" i="1"/>
  <c r="AD31" i="1"/>
  <c r="AC31" i="1"/>
  <c r="AB31" i="1"/>
  <c r="AA31" i="1"/>
  <c r="Z31" i="1"/>
  <c r="Y31" i="1"/>
  <c r="G31" i="1"/>
  <c r="F31" i="1"/>
  <c r="E31" i="1"/>
  <c r="D31" i="1"/>
  <c r="EW30" i="1"/>
  <c r="AE30" i="1"/>
  <c r="AD30" i="1"/>
  <c r="AC30" i="1"/>
  <c r="AB30" i="1"/>
  <c r="AA30" i="1"/>
  <c r="Z30" i="1"/>
  <c r="Y30" i="1"/>
  <c r="G30" i="1"/>
  <c r="F30" i="1"/>
  <c r="E30" i="1"/>
  <c r="D30" i="1"/>
  <c r="EW29" i="1"/>
  <c r="EK29" i="1"/>
  <c r="AE29" i="1"/>
  <c r="AD29" i="1"/>
  <c r="AC29" i="1"/>
  <c r="AB29" i="1"/>
  <c r="AA29" i="1"/>
  <c r="Z29" i="1"/>
  <c r="Y29" i="1"/>
  <c r="G29" i="1"/>
  <c r="F29" i="1"/>
  <c r="E29" i="1"/>
  <c r="D29" i="1"/>
  <c r="EW28" i="1"/>
  <c r="EK28" i="1"/>
  <c r="AE28" i="1"/>
  <c r="AD28" i="1"/>
  <c r="AC28" i="1"/>
  <c r="AB28" i="1"/>
  <c r="AA28" i="1"/>
  <c r="Z28" i="1"/>
  <c r="Y28" i="1"/>
  <c r="G28" i="1"/>
  <c r="F28" i="1"/>
  <c r="E28" i="1"/>
  <c r="D28" i="1"/>
  <c r="EW27" i="1"/>
  <c r="EK27" i="1"/>
  <c r="BI27" i="1"/>
  <c r="BH27" i="1"/>
  <c r="BG27" i="1"/>
  <c r="BF27" i="1"/>
  <c r="BE27" i="1"/>
  <c r="BD27" i="1"/>
  <c r="BC27" i="1"/>
  <c r="BB27" i="1"/>
  <c r="BA27" i="1"/>
  <c r="AS27" i="1"/>
  <c r="AR27" i="1"/>
  <c r="AQ27" i="1"/>
  <c r="AP27" i="1"/>
  <c r="AO27" i="1"/>
  <c r="AN27" i="1"/>
  <c r="AM27" i="1"/>
  <c r="AE27" i="1"/>
  <c r="AD27" i="1"/>
  <c r="AC27" i="1"/>
  <c r="AB27" i="1"/>
  <c r="AA27" i="1"/>
  <c r="Z27" i="1"/>
  <c r="Y27" i="1"/>
  <c r="F27" i="1"/>
  <c r="E27" i="1"/>
  <c r="D27" i="1"/>
  <c r="EW26" i="1"/>
  <c r="AE26" i="1"/>
  <c r="AD26" i="1"/>
  <c r="AC26" i="1"/>
  <c r="AB26" i="1"/>
  <c r="AA26" i="1"/>
  <c r="Z26" i="1"/>
  <c r="Y26" i="1"/>
  <c r="G26" i="1"/>
  <c r="F26" i="1"/>
  <c r="E26" i="1"/>
  <c r="D26" i="1"/>
  <c r="EW25" i="1"/>
  <c r="EK25" i="1"/>
  <c r="AE25" i="1"/>
  <c r="AD25" i="1"/>
  <c r="AC25" i="1"/>
  <c r="AB25" i="1"/>
  <c r="AA25" i="1"/>
  <c r="Z25" i="1"/>
  <c r="Y25" i="1"/>
  <c r="G25" i="1"/>
  <c r="F25" i="1"/>
  <c r="E25" i="1"/>
  <c r="D25" i="1"/>
  <c r="EW24" i="1"/>
  <c r="EK24" i="1"/>
  <c r="AE24" i="1"/>
  <c r="AD24" i="1"/>
  <c r="AC24" i="1"/>
  <c r="AB24" i="1"/>
  <c r="AA24" i="1"/>
  <c r="Z24" i="1"/>
  <c r="Y24" i="1"/>
  <c r="G24" i="1"/>
  <c r="F24" i="1"/>
  <c r="E24" i="1"/>
  <c r="D24" i="1"/>
  <c r="EW23" i="1"/>
  <c r="EK23" i="1"/>
  <c r="BI23" i="1"/>
  <c r="BH23" i="1"/>
  <c r="BG23" i="1"/>
  <c r="BF23" i="1"/>
  <c r="BE23" i="1"/>
  <c r="BD23" i="1"/>
  <c r="BC23" i="1"/>
  <c r="BB23" i="1"/>
  <c r="BA23" i="1"/>
  <c r="AS23" i="1"/>
  <c r="AR23" i="1"/>
  <c r="AQ23" i="1"/>
  <c r="AP23" i="1"/>
  <c r="AO23" i="1"/>
  <c r="AN23" i="1"/>
  <c r="AM23" i="1"/>
  <c r="AE23" i="1"/>
  <c r="AD23" i="1"/>
  <c r="AC23" i="1"/>
  <c r="AB23" i="1"/>
  <c r="AA23" i="1"/>
  <c r="Z23" i="1"/>
  <c r="Y23" i="1"/>
  <c r="G23" i="1"/>
  <c r="F23" i="1"/>
  <c r="E23" i="1"/>
  <c r="D23" i="1"/>
  <c r="EW22" i="1"/>
  <c r="AE22" i="1"/>
  <c r="AD22" i="1"/>
  <c r="AC22" i="1"/>
  <c r="AB22" i="1"/>
  <c r="AA22" i="1"/>
  <c r="Z22" i="1"/>
  <c r="Y22" i="1"/>
  <c r="G22" i="1"/>
  <c r="F22" i="1"/>
  <c r="E22" i="1"/>
  <c r="D22" i="1"/>
  <c r="EW21" i="1"/>
  <c r="EK21" i="1"/>
  <c r="AE21" i="1"/>
  <c r="AD21" i="1"/>
  <c r="AC21" i="1"/>
  <c r="AB21" i="1"/>
  <c r="AA21" i="1"/>
  <c r="Z21" i="1"/>
  <c r="Y21" i="1"/>
  <c r="G21" i="1"/>
  <c r="F21" i="1"/>
  <c r="E21" i="1"/>
  <c r="D21" i="1"/>
  <c r="EW20" i="1"/>
  <c r="EK20" i="1"/>
  <c r="AE20" i="1"/>
  <c r="AD20" i="1"/>
  <c r="AC20" i="1"/>
  <c r="AB20" i="1"/>
  <c r="AA20" i="1"/>
  <c r="Z20" i="1"/>
  <c r="Y20" i="1"/>
  <c r="G20" i="1"/>
  <c r="F20" i="1"/>
  <c r="E20" i="1"/>
  <c r="D20" i="1"/>
  <c r="EW19" i="1"/>
  <c r="EK19" i="1"/>
  <c r="BI19" i="1"/>
  <c r="BH19" i="1"/>
  <c r="BG19" i="1"/>
  <c r="BF19" i="1"/>
  <c r="BE19" i="1"/>
  <c r="BD19" i="1"/>
  <c r="BC19" i="1"/>
  <c r="BB19" i="1"/>
  <c r="BA19" i="1"/>
  <c r="AS19" i="1"/>
  <c r="AR19" i="1"/>
  <c r="AQ19" i="1"/>
  <c r="AP19" i="1"/>
  <c r="AO19" i="1"/>
  <c r="AN19" i="1"/>
  <c r="AM19" i="1"/>
  <c r="AE19" i="1"/>
  <c r="AD19" i="1"/>
  <c r="AC19" i="1"/>
  <c r="AB19" i="1"/>
  <c r="AA19" i="1"/>
  <c r="Z19" i="1"/>
  <c r="Y19" i="1"/>
  <c r="G19" i="1"/>
  <c r="F19" i="1"/>
  <c r="E19" i="1"/>
  <c r="D19" i="1"/>
  <c r="EW18" i="1"/>
  <c r="AE18" i="1"/>
  <c r="AD18" i="1"/>
  <c r="AC18" i="1"/>
  <c r="AB18" i="1"/>
  <c r="AA18" i="1"/>
  <c r="Z18" i="1"/>
  <c r="Y18" i="1"/>
  <c r="G18" i="1"/>
  <c r="F18" i="1"/>
  <c r="E18" i="1"/>
  <c r="D18" i="1"/>
  <c r="EW17" i="1"/>
  <c r="EK17" i="1"/>
  <c r="AE17" i="1"/>
  <c r="AD17" i="1"/>
  <c r="AC17" i="1"/>
  <c r="AB17" i="1"/>
  <c r="AA17" i="1"/>
  <c r="Z17" i="1"/>
  <c r="Y17" i="1"/>
  <c r="G17" i="1"/>
  <c r="F17" i="1"/>
  <c r="E17" i="1"/>
  <c r="D17" i="1"/>
  <c r="EW16" i="1"/>
  <c r="EK16" i="1"/>
  <c r="AE16" i="1"/>
  <c r="AD16" i="1"/>
  <c r="AC16" i="1"/>
  <c r="AB16" i="1"/>
  <c r="AA16" i="1"/>
  <c r="Z16" i="1"/>
  <c r="Y16" i="1"/>
  <c r="G16" i="1"/>
  <c r="F16" i="1"/>
  <c r="E16" i="1"/>
  <c r="D16" i="1"/>
  <c r="EW15" i="1"/>
  <c r="EK15" i="1"/>
  <c r="BI15" i="1"/>
  <c r="BH15" i="1"/>
  <c r="BG15" i="1"/>
  <c r="BF15" i="1"/>
  <c r="BE15" i="1"/>
  <c r="BD15" i="1"/>
  <c r="BC15" i="1"/>
  <c r="BB15" i="1"/>
  <c r="BA15" i="1"/>
  <c r="AS15" i="1"/>
  <c r="AR15" i="1"/>
  <c r="AQ15" i="1"/>
  <c r="AP15" i="1"/>
  <c r="AO15" i="1"/>
  <c r="AN15" i="1"/>
  <c r="AM15" i="1"/>
  <c r="AE15" i="1"/>
  <c r="AD15" i="1"/>
  <c r="AC15" i="1"/>
  <c r="AB15" i="1"/>
  <c r="AA15" i="1"/>
  <c r="Z15" i="1"/>
  <c r="Y15" i="1"/>
  <c r="G15" i="1"/>
  <c r="F15" i="1"/>
  <c r="E15" i="1"/>
  <c r="D15" i="1"/>
  <c r="EW14" i="1"/>
  <c r="AE14" i="1"/>
  <c r="AD14" i="1"/>
  <c r="AC14" i="1"/>
  <c r="AB14" i="1"/>
  <c r="AA14" i="1"/>
  <c r="Z14" i="1"/>
  <c r="Y14" i="1"/>
  <c r="AF14" i="1" s="1"/>
  <c r="G14" i="1"/>
  <c r="F14" i="1"/>
  <c r="E14" i="1"/>
  <c r="D14" i="1"/>
  <c r="EW13" i="1"/>
  <c r="EK13" i="1"/>
  <c r="AE13" i="1"/>
  <c r="AD13" i="1"/>
  <c r="AC13" i="1"/>
  <c r="AB13" i="1"/>
  <c r="AA13" i="1"/>
  <c r="Z13" i="1"/>
  <c r="Y13" i="1"/>
  <c r="AF13" i="1" s="1"/>
  <c r="G13" i="1"/>
  <c r="F13" i="1"/>
  <c r="E13" i="1"/>
  <c r="D13" i="1"/>
  <c r="EW12" i="1"/>
  <c r="EK12" i="1"/>
  <c r="AE12" i="1"/>
  <c r="AD12" i="1"/>
  <c r="AC12" i="1"/>
  <c r="AB12" i="1"/>
  <c r="AA12" i="1"/>
  <c r="Z12" i="1"/>
  <c r="Y12" i="1"/>
  <c r="AF12" i="1" s="1"/>
  <c r="G12" i="1"/>
  <c r="F12" i="1"/>
  <c r="E12" i="1"/>
  <c r="D12" i="1"/>
  <c r="EW11" i="1"/>
  <c r="EK11" i="1"/>
  <c r="BI11" i="1"/>
  <c r="BH11" i="1"/>
  <c r="BG11" i="1"/>
  <c r="BF11" i="1"/>
  <c r="BE11" i="1"/>
  <c r="BD11" i="1"/>
  <c r="BC11" i="1"/>
  <c r="BB11" i="1"/>
  <c r="BA11" i="1"/>
  <c r="AS11" i="1"/>
  <c r="AR11" i="1"/>
  <c r="AQ11" i="1"/>
  <c r="AP11" i="1"/>
  <c r="AO11" i="1"/>
  <c r="AN11" i="1"/>
  <c r="AM11" i="1"/>
  <c r="AE11" i="1"/>
  <c r="AD11" i="1"/>
  <c r="AC11" i="1"/>
  <c r="AB11" i="1"/>
  <c r="AA11" i="1"/>
  <c r="Z11" i="1"/>
  <c r="Y11" i="1"/>
  <c r="G11" i="1"/>
  <c r="F11" i="1"/>
  <c r="E11" i="1"/>
  <c r="D11" i="1"/>
  <c r="EW10" i="1"/>
  <c r="AE10" i="1"/>
  <c r="AD10" i="1"/>
  <c r="AC10" i="1"/>
  <c r="AB10" i="1"/>
  <c r="AA10" i="1"/>
  <c r="Z10" i="1"/>
  <c r="Y10" i="1"/>
  <c r="AF10" i="1" s="1"/>
  <c r="G10" i="1"/>
  <c r="F10" i="1"/>
  <c r="E10" i="1"/>
  <c r="D10" i="1"/>
  <c r="EW9" i="1"/>
  <c r="EK9" i="1"/>
  <c r="AE9" i="1"/>
  <c r="AD9" i="1"/>
  <c r="AC9" i="1"/>
  <c r="AB9" i="1"/>
  <c r="AA9" i="1"/>
  <c r="Z9" i="1"/>
  <c r="Y9" i="1"/>
  <c r="AF9" i="1" s="1"/>
  <c r="G9" i="1"/>
  <c r="F9" i="1"/>
  <c r="E9" i="1"/>
  <c r="D9" i="1"/>
  <c r="EW8" i="1"/>
  <c r="EK8" i="1"/>
  <c r="AE8" i="1"/>
  <c r="AD8" i="1"/>
  <c r="AC8" i="1"/>
  <c r="AB8" i="1"/>
  <c r="AA8" i="1"/>
  <c r="Z8" i="1"/>
  <c r="Y8" i="1"/>
  <c r="AF8" i="1" s="1"/>
  <c r="G8" i="1"/>
  <c r="F8" i="1"/>
  <c r="E8" i="1"/>
  <c r="D8" i="1"/>
  <c r="EW7" i="1"/>
  <c r="EK7" i="1"/>
  <c r="BI7" i="1"/>
  <c r="BH7" i="1"/>
  <c r="BG7" i="1"/>
  <c r="BF7" i="1"/>
  <c r="BE7" i="1"/>
  <c r="BD7" i="1"/>
  <c r="BC7" i="1"/>
  <c r="BB7" i="1"/>
  <c r="BA7" i="1"/>
  <c r="AS7" i="1"/>
  <c r="AR7" i="1"/>
  <c r="AQ7" i="1"/>
  <c r="AP7" i="1"/>
  <c r="AO7" i="1"/>
  <c r="AN7" i="1"/>
  <c r="AM7" i="1"/>
  <c r="AE7" i="1"/>
  <c r="AD7" i="1"/>
  <c r="AC7" i="1"/>
  <c r="AB7" i="1"/>
  <c r="AA7" i="1"/>
  <c r="Z7" i="1"/>
  <c r="Y7" i="1"/>
  <c r="G7" i="1"/>
  <c r="F7" i="1"/>
  <c r="E7" i="1"/>
  <c r="D7" i="1"/>
  <c r="BJ192" i="1" l="1"/>
  <c r="BM192" i="1" s="1"/>
  <c r="BJ88" i="1"/>
  <c r="BM88" i="1" s="1"/>
  <c r="BJ100" i="1"/>
  <c r="BM100" i="1" s="1"/>
  <c r="BJ180" i="1"/>
  <c r="BM180" i="1" s="1"/>
  <c r="BJ200" i="1"/>
  <c r="BM200" i="1" s="1"/>
  <c r="BJ188" i="1"/>
  <c r="BM188" i="1" s="1"/>
  <c r="BJ168" i="1"/>
  <c r="BM168" i="1" s="1"/>
  <c r="BJ136" i="1"/>
  <c r="BM136" i="1" s="1"/>
  <c r="BJ23" i="1"/>
  <c r="BM23" i="1" s="1"/>
  <c r="BJ96" i="1"/>
  <c r="BM96" i="1" s="1"/>
  <c r="BJ204" i="1"/>
  <c r="BM204" i="1" s="1"/>
  <c r="BK180" i="1"/>
  <c r="BJ11" i="1"/>
  <c r="BM11" i="1" s="1"/>
  <c r="BJ128" i="1"/>
  <c r="BM128" i="1" s="1"/>
  <c r="BJ164" i="1"/>
  <c r="BM164" i="1" s="1"/>
  <c r="BK11" i="1"/>
  <c r="BN132" i="1"/>
  <c r="EY7" i="1"/>
  <c r="BJ76" i="1"/>
  <c r="BM76" i="1" s="1"/>
  <c r="BL80" i="1"/>
  <c r="BJ104" i="1"/>
  <c r="BM104" i="1" s="1"/>
  <c r="BK124" i="1"/>
  <c r="BJ124" i="1"/>
  <c r="BM124" i="1" s="1"/>
  <c r="EY27" i="1"/>
  <c r="BK35" i="1"/>
  <c r="EY19" i="1"/>
  <c r="BJ59" i="1"/>
  <c r="BM59" i="1" s="1"/>
  <c r="BL132" i="1"/>
  <c r="BN27" i="1"/>
  <c r="BJ63" i="1"/>
  <c r="BM63" i="1" s="1"/>
  <c r="BJ108" i="1"/>
  <c r="BM108" i="1" s="1"/>
  <c r="BL11" i="1"/>
  <c r="BK68" i="1"/>
  <c r="BJ156" i="1"/>
  <c r="BM156" i="1" s="1"/>
  <c r="BJ72" i="1"/>
  <c r="BM72" i="1" s="1"/>
  <c r="BK176" i="1"/>
  <c r="BJ176" i="1"/>
  <c r="BM176" i="1" s="1"/>
  <c r="BN180" i="1"/>
  <c r="BL188" i="1"/>
  <c r="BN47" i="1"/>
  <c r="BN192" i="1"/>
  <c r="BN11" i="1"/>
  <c r="BK19" i="1"/>
  <c r="BJ19" i="1"/>
  <c r="BM19" i="1" s="1"/>
  <c r="EY72" i="1"/>
  <c r="BN208" i="1"/>
  <c r="BN200" i="1"/>
  <c r="BJ196" i="1"/>
  <c r="BM196" i="1" s="1"/>
  <c r="BJ68" i="1"/>
  <c r="BM68" i="1" s="1"/>
  <c r="BN80" i="1"/>
  <c r="BJ132" i="1"/>
  <c r="BM132" i="1" s="1"/>
  <c r="BJ160" i="1"/>
  <c r="BM160" i="1" s="1"/>
  <c r="BN164" i="1"/>
  <c r="BJ7" i="1"/>
  <c r="BM7" i="1" s="1"/>
  <c r="EY43" i="1"/>
  <c r="BL100" i="1"/>
  <c r="BN104" i="1"/>
  <c r="BK204" i="1"/>
  <c r="BK120" i="1"/>
  <c r="BN124" i="1"/>
  <c r="BL7" i="1"/>
  <c r="BJ27" i="1"/>
  <c r="BM27" i="1" s="1"/>
  <c r="BN35" i="1"/>
  <c r="BL88" i="1"/>
  <c r="BK104" i="1"/>
  <c r="BK80" i="1"/>
  <c r="BL112" i="1"/>
  <c r="BJ47" i="1"/>
  <c r="BM47" i="1" s="1"/>
  <c r="BL84" i="1"/>
  <c r="BJ172" i="1"/>
  <c r="BM172" i="1" s="1"/>
  <c r="BL200" i="1"/>
  <c r="BN196" i="1"/>
  <c r="BN188" i="1"/>
  <c r="BJ80" i="1"/>
  <c r="BM80" i="1" s="1"/>
  <c r="EY84" i="1"/>
  <c r="BN204" i="1"/>
  <c r="BJ51" i="1"/>
  <c r="BM51" i="1" s="1"/>
  <c r="BK59" i="1"/>
  <c r="BN59" i="1"/>
  <c r="BN68" i="1"/>
  <c r="BJ208" i="1"/>
  <c r="BM208" i="1" s="1"/>
  <c r="BL141" i="1"/>
  <c r="BK200" i="1"/>
  <c r="BN31" i="1"/>
  <c r="BK47" i="1"/>
  <c r="BL55" i="1"/>
  <c r="BN63" i="1"/>
  <c r="BK92" i="1"/>
  <c r="BJ116" i="1"/>
  <c r="BM116" i="1" s="1"/>
  <c r="BK146" i="1"/>
  <c r="BK156" i="1"/>
  <c r="BN15" i="1"/>
  <c r="EY39" i="1"/>
  <c r="BJ43" i="1"/>
  <c r="BM43" i="1" s="1"/>
  <c r="EY55" i="1"/>
  <c r="BK63" i="1"/>
  <c r="BJ120" i="1"/>
  <c r="BM120" i="1" s="1"/>
  <c r="BK164" i="1"/>
  <c r="BK192" i="1"/>
  <c r="EY23" i="1"/>
  <c r="BL59" i="1"/>
  <c r="EY80" i="1"/>
  <c r="BL136" i="1"/>
  <c r="BL160" i="1"/>
  <c r="BL184" i="1"/>
  <c r="BL204" i="1"/>
  <c r="BL23" i="1"/>
  <c r="BL43" i="1"/>
  <c r="BK100" i="1"/>
  <c r="BL116" i="1"/>
  <c r="BL120" i="1"/>
  <c r="BK128" i="1"/>
  <c r="BL76" i="1"/>
  <c r="BL96" i="1"/>
  <c r="BN100" i="1"/>
  <c r="BN128" i="1"/>
  <c r="BL150" i="1"/>
  <c r="BN7" i="1"/>
  <c r="BK15" i="1"/>
  <c r="BL27" i="1"/>
  <c r="BK31" i="1"/>
  <c r="BL72" i="1"/>
  <c r="BN88" i="1"/>
  <c r="BL104" i="1"/>
  <c r="BN141" i="1"/>
  <c r="BL196" i="1"/>
  <c r="BL39" i="1"/>
  <c r="EY11" i="1"/>
  <c r="BN51" i="1"/>
  <c r="BJ92" i="1"/>
  <c r="BM92" i="1" s="1"/>
  <c r="BN108" i="1"/>
  <c r="BK132" i="1"/>
  <c r="BJ146" i="1"/>
  <c r="BM146" i="1" s="1"/>
  <c r="BK172" i="1"/>
  <c r="BL180" i="1"/>
  <c r="BJ15" i="1"/>
  <c r="BM15" i="1" s="1"/>
  <c r="BN23" i="1"/>
  <c r="EY47" i="1"/>
  <c r="BL68" i="1"/>
  <c r="EY68" i="1"/>
  <c r="BN116" i="1"/>
  <c r="BK196" i="1"/>
  <c r="BK7" i="1"/>
  <c r="BK108" i="1"/>
  <c r="BK141" i="1"/>
  <c r="BL172" i="1"/>
  <c r="BL47" i="1"/>
  <c r="BN84" i="1"/>
  <c r="BK88" i="1"/>
  <c r="BN112" i="1"/>
  <c r="BN150" i="1"/>
  <c r="BL156" i="1"/>
  <c r="BN160" i="1"/>
  <c r="BN184" i="1"/>
  <c r="BL31" i="1"/>
  <c r="BL15" i="1"/>
  <c r="BN19" i="1"/>
  <c r="EY31" i="1"/>
  <c r="BJ35" i="1"/>
  <c r="BM35" i="1" s="1"/>
  <c r="BK39" i="1"/>
  <c r="BL63" i="1"/>
  <c r="BN76" i="1"/>
  <c r="BL92" i="1"/>
  <c r="BN96" i="1"/>
  <c r="BN136" i="1"/>
  <c r="BL146" i="1"/>
  <c r="BK150" i="1"/>
  <c r="BK160" i="1"/>
  <c r="BK168" i="1"/>
  <c r="BK184" i="1"/>
  <c r="BL208" i="1"/>
  <c r="BK51" i="1"/>
  <c r="BL124" i="1"/>
  <c r="BJ31" i="1"/>
  <c r="BM31" i="1" s="1"/>
  <c r="BN39" i="1"/>
  <c r="BN55" i="1"/>
  <c r="EY15" i="1"/>
  <c r="BK23" i="1"/>
  <c r="BN43" i="1"/>
  <c r="BK55" i="1"/>
  <c r="BK76" i="1"/>
  <c r="BK96" i="1"/>
  <c r="BK116" i="1"/>
  <c r="BL164" i="1"/>
  <c r="BN176" i="1"/>
  <c r="BK188" i="1"/>
  <c r="BK136" i="1"/>
  <c r="BL19" i="1"/>
  <c r="BL35" i="1"/>
  <c r="BN120" i="1"/>
  <c r="BL128" i="1"/>
  <c r="BJ141" i="1"/>
  <c r="BM141" i="1" s="1"/>
  <c r="BK208" i="1"/>
  <c r="BL192" i="1"/>
  <c r="BK27" i="1"/>
  <c r="EY35" i="1"/>
  <c r="BJ39" i="1"/>
  <c r="BM39" i="1" s="1"/>
  <c r="BK43" i="1"/>
  <c r="BL51" i="1"/>
  <c r="EY51" i="1"/>
  <c r="BJ55" i="1"/>
  <c r="BM55" i="1" s="1"/>
  <c r="BK72" i="1"/>
  <c r="BN72" i="1"/>
  <c r="BK84" i="1"/>
  <c r="BJ84" i="1"/>
  <c r="BM84" i="1" s="1"/>
  <c r="BN92" i="1"/>
  <c r="BL108" i="1"/>
  <c r="BK112" i="1"/>
  <c r="BJ112" i="1"/>
  <c r="BM112" i="1" s="1"/>
  <c r="BN146" i="1"/>
  <c r="BJ150" i="1"/>
  <c r="BM150" i="1" s="1"/>
  <c r="BN156" i="1"/>
  <c r="BN172" i="1"/>
  <c r="BL176" i="1"/>
  <c r="BJ184" i="1"/>
  <c r="BM184" i="1" s="1"/>
  <c r="EY76" i="1"/>
  <c r="BL168" i="1"/>
  <c r="BN168" i="1"/>
  <c r="EY63" i="1"/>
  <c r="EY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tc={DD922636-54FF-473F-8DBB-DE606B0FC392}</author>
    <author>tc={06E92811-1AC2-45AB-BC39-D876E238292F}</author>
    <author>tc={033457F3-A7F4-4430-A051-4B5234814444}</author>
    <author>tc={E5EE36CE-58DE-4B17-8261-5184EFDA72F0}</author>
    <author>tc={95115D1F-AC44-4056-A872-9BA2DE84191D}</author>
    <author>tc={99FBA6D2-FF0C-4FF7-A976-5D2D09939F50}</author>
    <author>tc={613854C7-F851-4224-9240-CFC697730839}</author>
    <author>tc={CB49E03E-335D-43AA-A8CA-E55A24D47D7D}</author>
    <author>tc={254CE211-6604-40C4-96A4-E34EFE07B6E1}</author>
    <author>tc={F917604E-8653-402B-9B72-CB1B8E7DFC55}</author>
    <author>tc={934156BB-C6D9-4296-97FE-B761D15B196C}</author>
    <author>tc={251BCEB9-E6A3-415E-8E93-57AF5AEDCBA7}</author>
    <author>tc={3F4C6A8B-0531-4FDC-ABAD-3C2004730B91}</author>
    <author>tc={C289BB7D-0E89-4735-9BC6-0F708BA6A58A}</author>
    <author>tc={7541550D-14CF-4A8A-9180-6B4A4BEE755E}</author>
    <author>tc={B77D9655-04AA-473D-9308-DD76988D2FDC}</author>
    <author>tc={9A52028A-B9B3-437C-B051-C14329C7B1A6}</author>
    <author>tc={AE3BD39F-4D48-4D9C-B2EC-9C834789D4E9}</author>
    <author>tc={40199020-275D-4E60-AA16-1D2F14FAAE5A}</author>
    <author>tc={3EABAB55-59B7-4668-A523-42C0493BC5ED}</author>
    <author>tc={D17535CC-C555-4AC7-82A6-E5DF01E64AF0}</author>
    <author>tc={B580C7A3-C28C-460C-9507-6D6656D2C06F}</author>
    <author>tc={7713E497-A331-48EA-BC55-24B6990A4DB6}</author>
    <author>tc={EDEC7B2C-F7A0-4CFB-9C5A-12DDE2B9311E}</author>
    <author>tc={23932022-F75D-49BE-A41A-E5C8A40C2EA6}</author>
    <author>tc={3CBE3F42-5C97-4EAE-854D-60E52A7B17FD}</author>
    <author>tc={98E78388-3E86-4660-97E4-0753DE539670}</author>
    <author>tc={133E688A-D480-4F62-88A6-B8A6924AD12B}</author>
    <author>tc={E175027D-5C38-4001-A65F-9D85BA5A22D3}</author>
    <author>tc={673235A2-2F6C-483C-B5D9-24A340CBAF9B}</author>
    <author>tc={3F0F4C1F-E40E-4D81-88B0-67BF6741DEF7}</author>
    <author>tc={D70DAE48-FB69-4C6F-A7CE-0E6B64CCD61B}</author>
    <author>tc={389EFC14-D986-4B97-8C58-173489C974BA}</author>
    <author>tc={F8FB9EE3-8F9D-4BA8-9AD4-EFF5B19FF261}</author>
    <author>tc={9FC666F3-74A3-4C12-99F0-83B0713B84A2}</author>
    <author>tc={34F513D0-F0D5-4105-889A-D82E07A6ADB0}</author>
    <author>tc={EECF051D-4CAC-4F46-9AB8-487F8D57D446}</author>
    <author>tc={38A4E09C-E868-4839-99B8-39C5F265CC48}</author>
    <author>tc={58030F3A-DDE8-45D9-AD0F-BA766AC95BE2}</author>
    <author>tc={06651CEA-B5CD-4B3D-B124-0808E2033668}</author>
    <author>tc={D2A17EBE-A7B8-4F6D-92E4-4F97CFE265FC}</author>
    <author>tc={ACAFE4C2-9D8F-4B53-8CC1-8A2BC17D0CEA}</author>
    <author>tc={704E792C-C2FA-4926-AAB9-E895DAE7D4EB}</author>
    <author>tc={57DA944E-572F-4119-9799-AF28E1DAAFD4}</author>
    <author>tc={6A3D4BEF-595A-4C77-9837-53CCC6A36ECE}</author>
    <author>tc={4F74241C-1B32-4C8E-A5E4-18327A42FAA8}</author>
    <author>tc={2F430944-EA06-4D96-B46C-955C02A70202}</author>
    <author>tc={B0FBFC0F-6DFC-43E6-8E87-DB6142E98797}</author>
    <author>tc={F3B46980-2A3E-4D45-97D5-502C9ADF6C5F}</author>
    <author>tc={A85843A7-BDE5-46C3-ABFC-8904CE7D44E8}</author>
  </authors>
  <commentList>
    <comment ref="A7" authorId="0" shapeId="0" xr:uid="{DD922636-54FF-473F-8DBB-DE606B0FC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11" authorId="1" shapeId="0" xr:uid="{06E92811-1AC2-45AB-BC39-D876E238292F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15" authorId="2" shapeId="0" xr:uid="{033457F3-A7F4-4430-A051-4B523481444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19" authorId="3" shapeId="0" xr:uid="{E5EE36CE-58DE-4B17-8261-5184EFDA72F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23" authorId="4" shapeId="0" xr:uid="{95115D1F-AC44-4056-A872-9BA2DE84191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27" authorId="5" shapeId="0" xr:uid="{99FBA6D2-FF0C-4FF7-A976-5D2D09939F5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31" authorId="6" shapeId="0" xr:uid="{613854C7-F851-4224-9240-CFC69773083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35" authorId="7" shapeId="0" xr:uid="{CB49E03E-335D-43AA-A8CA-E55A24D47D7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39" authorId="8" shapeId="0" xr:uid="{254CE211-6604-40C4-96A4-E34EFE07B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43" authorId="9" shapeId="0" xr:uid="{F917604E-8653-402B-9B72-CB1B8E7DFC55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47" authorId="10" shapeId="0" xr:uid="{934156BB-C6D9-4296-97FE-B761D15B196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51" authorId="11" shapeId="0" xr:uid="{251BCEB9-E6A3-415E-8E93-57AF5AEDCB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55" authorId="12" shapeId="0" xr:uid="{3F4C6A8B-0531-4FDC-ABAD-3C2004730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59" authorId="13" shapeId="0" xr:uid="{C289BB7D-0E89-4735-9BC6-0F708BA6A58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C59" authorId="14" shapeId="0" xr:uid="{7541550D-14CF-4A8A-9180-6B4A4BEE7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INDIVIDUAL BATCHES
</t>
      </text>
    </comment>
    <comment ref="A63" authorId="15" shapeId="0" xr:uid="{B77D9655-04AA-473D-9308-DD76988D2F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72" authorId="16" shapeId="0" xr:uid="{9A52028A-B9B3-437C-B051-C14329C7B1A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76" authorId="17" shapeId="0" xr:uid="{AE3BD39F-4D48-4D9C-B2EC-9C834789D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C76" authorId="18" shapeId="0" xr:uid="{40199020-275D-4E60-AA16-1D2F14FAAE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INDIVIDUAL BATCHES
</t>
      </text>
    </comment>
    <comment ref="A80" authorId="19" shapeId="0" xr:uid="{3EABAB55-59B7-4668-A523-42C0493BC5E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</t>
      </text>
    </comment>
    <comment ref="A84" authorId="20" shapeId="0" xr:uid="{D17535CC-C555-4AC7-82A6-E5DF01E64A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88" authorId="21" shapeId="0" xr:uid="{B580C7A3-C28C-460C-9507-6D6656D2C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A92" authorId="22" shapeId="0" xr:uid="{7713E497-A331-48EA-BC55-24B6990A4D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CHECKED WITH ANALYSIS SHEETS AND WHATSAPP IMAGES NUMBER
</t>
      </text>
    </comment>
    <comment ref="DS96" authorId="23" shapeId="0" xr:uid="{EDEC7B2C-F7A0-4CFB-9C5A-12DDE2B9311E}">
      <text>
        <t>[Threaded comment]
Your version of Excel allows you to read this threaded comment; however, any edits to it will get removed if the file is opened in a newer version of Excel. Learn more: https://go.microsoft.com/fwlink/?linkid=870924
Comment:
    T/10,T/11,T/8- tunnels loaded into 2 tunnels (T/5,T/1)</t>
      </text>
    </comment>
    <comment ref="DZ96" authorId="24" shapeId="0" xr:uid="{23932022-F75D-49BE-A41A-E5C8A40C2EA6}">
      <text>
        <t>[Threaded comment]
Your version of Excel allows you to read this threaded comment; however, any edits to it will get removed if the file is opened in a newer version of Excel. Learn more: https://go.microsoft.com/fwlink/?linkid=870924
Comment:
    T/5,T/1 values</t>
      </text>
    </comment>
    <comment ref="CO97" authorId="25" shapeId="0" xr:uid="{3CBE3F42-5C97-4EAE-854D-60E52A7B17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B/7,B/8,B/9 Shifted to B/10,B/11 due to Temperature  issue </t>
      </text>
    </comment>
    <comment ref="CV97" authorId="26" shapeId="0" xr:uid="{98E78388-3E86-4660-97E4-0753DE539670}">
      <text>
        <t>[Threaded comment]
Your version of Excel allows you to read this threaded comment; however, any edits to it will get removed if the file is opened in a newer version of Excel. Learn more: https://go.microsoft.com/fwlink/?linkid=870924
Comment:
    B/10,B/11 values</t>
      </text>
    </comment>
    <comment ref="C100" authorId="27" shapeId="0" xr:uid="{133E688A-D480-4F62-88A6-B8A6924AD1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INDIVIDUAL BATCHES
</t>
      </text>
    </comment>
    <comment ref="K108" authorId="28" shapeId="0" xr:uid="{E175027D-5C38-4001-A65F-9D85BA5A22D3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L108" authorId="29" shapeId="0" xr:uid="{673235A2-2F6C-483C-B5D9-24A340CB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U108" authorId="30" shapeId="0" xr:uid="{3F0F4C1F-E40E-4D81-88B0-67BF6741DEF7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V108" authorId="31" shapeId="0" xr:uid="{D70DAE48-FB69-4C6F-A7CE-0E6B64CCD61B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AB108" authorId="32" shapeId="0" xr:uid="{389EFC14-D986-4B97-8C58-173489C974BA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AC108" authorId="33" shapeId="0" xr:uid="{F8FB9EE3-8F9D-4BA8-9AD4-EFF5B19FF261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AI108" authorId="34" shapeId="0" xr:uid="{9FC666F3-74A3-4C12-99F0-83B0713B84A2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AJ108" authorId="35" shapeId="0" xr:uid="{34F513D0-F0D5-4105-889A-D82E07A6AD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Gypsum+cm mix
</t>
      </text>
    </comment>
    <comment ref="AP108" authorId="36" shapeId="0" xr:uid="{EECF051D-4CAC-4F46-9AB8-487F8D57D446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AQ108" authorId="37" shapeId="0" xr:uid="{38A4E09C-E868-4839-99B8-39C5F265CC48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AW108" authorId="38" shapeId="0" xr:uid="{58030F3A-DDE8-45D9-AD0F-BA766AC95BE2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AX108" authorId="39" shapeId="0" xr:uid="{06651CEA-B5CD-4B3D-B124-0808E203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BD108" authorId="40" shapeId="0" xr:uid="{D2A17EBE-A7B8-4F6D-92E4-4F97CFE265FC}">
      <text>
        <t>[Threaded comment]
Your version of Excel allows you to read this threaded comment; however, any edits to it will get removed if the file is opened in a newer version of Excel. Learn more: https://go.microsoft.com/fwlink/?linkid=870924
Comment:
    C/M added to bagasse</t>
      </text>
    </comment>
    <comment ref="BE108" authorId="41" shapeId="0" xr:uid="{ACAFE4C2-9D8F-4B53-8CC1-8A2BC17D0CEA}">
      <text>
        <t>[Threaded comment]
Your version of Excel allows you to read this threaded comment; however, any edits to it will get removed if the file is opened in a newer version of Excel. Learn more: https://go.microsoft.com/fwlink/?linkid=870924
Comment:
    Gypsum+cm mix</t>
      </text>
    </comment>
    <comment ref="CO111" authorId="42" shapeId="0" xr:uid="{704E792C-C2FA-4926-AAB9-E895DAE7D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‘T’ issue shifted FROM B/5 TO B/11</t>
      </text>
    </comment>
    <comment ref="CY111" authorId="43" shapeId="0" xr:uid="{57DA944E-572F-4119-9799-AF28E1DAAFD4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‘T’ issue shifted FROM B/5 TO B/11</t>
      </text>
    </comment>
    <comment ref="BZ136" authorId="44" shapeId="0" xr:uid="{6A3D4BEF-595A-4C77-9837-53CCC6A36ECE}">
      <text>
        <t>[Threaded comment]
Your version of Excel allows you to read this threaded comment; however, any edits to it will get removed if the file is opened in a newer version of Excel. Learn more: https://go.microsoft.com/fwlink/?linkid=870924
Comment:
    TDS Meter not working</t>
      </text>
    </comment>
    <comment ref="CC136" authorId="45" shapeId="0" xr:uid="{4F74241C-1B32-4C8E-A5E4-18327A42FAA8}">
      <text>
        <t>[Threaded comment]
Your version of Excel allows you to read this threaded comment; however, any edits to it will get removed if the file is opened in a newer version of Excel. Learn more: https://go.microsoft.com/fwlink/?linkid=870924
Comment:
    TDS Meter not working</t>
      </text>
    </comment>
    <comment ref="CF136" authorId="46" shapeId="0" xr:uid="{2F430944-EA06-4D96-B46C-955C02A70202}">
      <text>
        <t>[Threaded comment]
Your version of Excel allows you to read this threaded comment; however, any edits to it will get removed if the file is opened in a newer version of Excel. Learn more: https://go.microsoft.com/fwlink/?linkid=870924
Comment:
    TDS Meter not working</t>
      </text>
    </comment>
    <comment ref="CO152" authorId="47" shapeId="0" xr:uid="{B0FBFC0F-6DFC-43E6-8E87-DB6142E98797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to B/11 due to low temperature</t>
      </text>
    </comment>
    <comment ref="CT164" authorId="48" shapeId="0" xr:uid="{F3B46980-2A3E-4D45-97D5-502C9ADF6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Nitrogen Machine problem</t>
      </text>
    </comment>
    <comment ref="CO169" authorId="49" shapeId="0" xr:uid="{A85843A7-BDE5-46C3-ABFC-8904CE7D4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FROM BUNKER 13 TO 6 DUE TO LOW TEMPERATURE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tc={A3F0CE63-05E2-4A0E-BC1C-CF6F2F4EF4A8}</author>
    <author>tc={22959DC4-6DA9-4DD2-A380-000DB0FBCB02}</author>
    <author>tc={6A732B57-9166-4F53-BF25-F196744B4E95}</author>
    <author>tc={DCDCD193-6D9E-48B3-B9F3-DF31280EF224}</author>
    <author>tc={7A127576-3C09-40CB-8B2A-64F1D44E28B9}</author>
    <author>tc={C3223DEC-4EAD-425A-ABA4-40FBE2C851B8}</author>
    <author>tc={001DFA25-7D53-4AAB-AFA3-FCEAB3C841DB}</author>
    <author>tc={5616DB16-955A-42EA-9B97-F1E130E9AA48}</author>
    <author>tc={0C048DD7-B2B5-4A15-92CA-EA8257BC1823}</author>
    <author>tc={6A3A66AF-AA49-47AB-8EC6-6B0238430F84}</author>
  </authors>
  <commentList>
    <comment ref="C35" authorId="0" shapeId="0" xr:uid="{A3F0CE63-05E2-4A0E-BC1C-CF6F2F4EF4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Remaining 16600mt went out</t>
      </text>
    </comment>
    <comment ref="A78" authorId="1" shapeId="0" xr:uid="{22959DC4-6DA9-4DD2-A380-000DB0FBCB02}">
      <text>
        <t>[Threaded comment]
Your version of Excel allows you to read this threaded comment; however, any edits to it will get removed if the file is opened in a newer version of Excel. Learn more: https://go.microsoft.com/fwlink/?linkid=870924
Comment:
TUNNEL LOADING IS ONE TO ONE (B TO T) FROM THIS BATCH</t>
      </text>
    </comment>
    <comment ref="B78" authorId="2" shapeId="0" xr:uid="{6A732B57-9166-4F53-BF25-F196744B4E9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TILL HERE</t>
      </text>
    </comment>
    <comment ref="B96" authorId="3" shapeId="0" xr:uid="{DCDCD193-6D9E-48B3-B9F3-DF31280EF2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PARTIAL CHECKING
</t>
      </text>
    </comment>
    <comment ref="B102" authorId="4" shapeId="0" xr:uid="{7A127576-3C09-40CB-8B2A-64F1D44E28B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INDIVIDUAL BUNKER SAMPLES FOR REPORTS START</t>
      </text>
    </comment>
    <comment ref="C142" authorId="5" shapeId="0" xr:uid="{C3223DEC-4EAD-425A-ABA4-40FBE2C851B8}">
      <text>
        <t>[Threaded comment]
Your version of Excel allows you to read this threaded comment; however, any edits to it will get removed if the file is opened in a newer version of Excel. Learn more: https://go.microsoft.com/fwlink/?linkid=870924
Comment:
    T/10,T/11,T/8- tunnels loaded into 2 tunnels (T/5,T/1)</t>
      </text>
    </comment>
    <comment ref="D142" authorId="6" shapeId="0" xr:uid="{001DFA25-7D53-4AAB-AFA3-FCEAB3C841DB}">
      <text>
        <t>[Threaded comment]
Your version of Excel allows you to read this threaded comment; however, any edits to it will get removed if the file is opened in a newer version of Excel. Learn more: https://go.microsoft.com/fwlink/?linkid=870924
Comment:
    GR 62,GR 31 - T/5</t>
      </text>
    </comment>
    <comment ref="D144" authorId="7" shapeId="0" xr:uid="{5616DB16-955A-42EA-9B97-F1E130E9AA48}">
      <text>
        <t>[Threaded comment]
Your version of Excel allows you to read this threaded comment; however, any edits to it will get removed if the file is opened in a newer version of Excel. Learn more: https://go.microsoft.com/fwlink/?linkid=870924
Comment:
    GR 62, GR 25 - T/1</t>
      </text>
    </comment>
    <comment ref="E201" authorId="8" shapeId="0" xr:uid="{0C048DD7-B2B5-4A15-92CA-EA8257BC18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power issue , considered average weight </t>
      </text>
    </comment>
    <comment ref="E202" authorId="9" shapeId="0" xr:uid="{6A3A66AF-AA49-47AB-8EC6-6B0238430F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power issue , considered average weight </t>
      </text>
    </comment>
  </commentList>
</comments>
</file>

<file path=xl/sharedStrings.xml><?xml version="1.0" encoding="utf-8"?>
<sst xmlns="http://schemas.openxmlformats.org/spreadsheetml/2006/main" count="1123" uniqueCount="311">
  <si>
    <t>SR NO.</t>
  </si>
  <si>
    <t>BATCH NO.</t>
  </si>
  <si>
    <t>RAW MATERIAL</t>
  </si>
  <si>
    <t>%</t>
  </si>
  <si>
    <t>QUANTITY IN TONS</t>
  </si>
  <si>
    <t>N%</t>
  </si>
  <si>
    <t>N2</t>
  </si>
  <si>
    <t>ASH%</t>
  </si>
  <si>
    <t>ASH</t>
  </si>
  <si>
    <t>MOISTURE %</t>
  </si>
  <si>
    <t>FRESH WEIGHT</t>
  </si>
  <si>
    <t>TOTAL</t>
  </si>
  <si>
    <t>BAGASSE</t>
  </si>
  <si>
    <t>LAGOON</t>
  </si>
  <si>
    <t>BUNKER</t>
  </si>
  <si>
    <t xml:space="preserve">TUNNEL </t>
  </si>
  <si>
    <t>BAGASSE  B-L</t>
  </si>
  <si>
    <t>BAGASSE R-L</t>
  </si>
  <si>
    <t>BEFORE SOAK-1</t>
  </si>
  <si>
    <t>AFTER SOAK - 1</t>
  </si>
  <si>
    <t>BEFORE SOAK-2</t>
  </si>
  <si>
    <t>AFTER SOAK -2</t>
  </si>
  <si>
    <t>BEFORE SOAK-3</t>
  </si>
  <si>
    <t>AFTER SOAKING - 3</t>
  </si>
  <si>
    <t xml:space="preserve">F-3 </t>
  </si>
  <si>
    <t>T0</t>
  </si>
  <si>
    <t>BUNKER FILLING</t>
  </si>
  <si>
    <t>BUNKER RELOAD - 1</t>
  </si>
  <si>
    <t>BUNKER RELOAD - 2</t>
  </si>
  <si>
    <t>TUNNEL LOAD</t>
  </si>
  <si>
    <t>GR  Loading</t>
  </si>
  <si>
    <t>Harvesting (Metric ton)</t>
  </si>
  <si>
    <t>Paddy</t>
  </si>
  <si>
    <t xml:space="preserve"> Bagasse</t>
  </si>
  <si>
    <t xml:space="preserve">Wheat </t>
  </si>
  <si>
    <t>Mustard</t>
  </si>
  <si>
    <t>L Paddy</t>
  </si>
  <si>
    <t>P Paddy</t>
  </si>
  <si>
    <t>Wheat</t>
  </si>
  <si>
    <t xml:space="preserve">Mustard </t>
  </si>
  <si>
    <t>CM</t>
  </si>
  <si>
    <t>Gypsum</t>
  </si>
  <si>
    <t>AS</t>
  </si>
  <si>
    <t>Lime</t>
  </si>
  <si>
    <t>Urea</t>
  </si>
  <si>
    <t>Straw</t>
  </si>
  <si>
    <t>Mineral</t>
  </si>
  <si>
    <t>Quantity</t>
  </si>
  <si>
    <t>Ash</t>
  </si>
  <si>
    <t>D weight</t>
  </si>
  <si>
    <t>F weight</t>
  </si>
  <si>
    <t>MC%</t>
  </si>
  <si>
    <t>EC</t>
  </si>
  <si>
    <t>PH</t>
  </si>
  <si>
    <t xml:space="preserve"> EC</t>
  </si>
  <si>
    <t>TDS</t>
  </si>
  <si>
    <t>MC</t>
  </si>
  <si>
    <t>B No.</t>
  </si>
  <si>
    <t>N</t>
  </si>
  <si>
    <t>C:N 
RATIO</t>
  </si>
  <si>
    <t>FILL HT</t>
  </si>
  <si>
    <t>TIME TO  
68C-72C</t>
  </si>
  <si>
    <t>HELD
 HRS</t>
  </si>
  <si>
    <t>T No.</t>
  </si>
  <si>
    <t>C:N
RATIO</t>
  </si>
  <si>
    <t xml:space="preserve"> Conditioning-1
(18 – 20 hrs) 
(46 - 49°C)</t>
  </si>
  <si>
    <t>Heating-Up
(8-12 hrs)
(59°C)</t>
  </si>
  <si>
    <t>Pasteurization
(8-10hrs)
(59(58-60)°C)</t>
  </si>
  <si>
    <t>Cooling-1 (12-14 hrs)
(60-48)°C</t>
  </si>
  <si>
    <t>Conditioning-2
 (75 - 80 hrs)
(48-45)°C</t>
  </si>
  <si>
    <t>Cooling-2 (8-14 hrs)
(24)°C</t>
  </si>
  <si>
    <t>TOTAL HRS IN TUNNEL</t>
  </si>
  <si>
    <t>GR. Batch No.</t>
  </si>
  <si>
    <t>GR NO:</t>
  </si>
  <si>
    <t>Ph</t>
  </si>
  <si>
    <t>N %</t>
  </si>
  <si>
    <t>C:N
Ratio</t>
  </si>
  <si>
    <t xml:space="preserve">1 st  
break </t>
  </si>
  <si>
    <t>2nd 
break</t>
  </si>
  <si>
    <t xml:space="preserve">3 rd 
break </t>
  </si>
  <si>
    <t>ROOM
TOTAL</t>
  </si>
  <si>
    <t xml:space="preserve">Total No.of Days </t>
  </si>
  <si>
    <t>BATCH 
TOTAL</t>
  </si>
  <si>
    <t xml:space="preserve">Local 
Paddy </t>
  </si>
  <si>
    <t>Punjab 
Paddy</t>
  </si>
  <si>
    <t>Chicken 
Manure</t>
  </si>
  <si>
    <t>Ammonium
 Sulphate</t>
  </si>
  <si>
    <t>To reach temp</t>
  </si>
  <si>
    <t>Held time</t>
  </si>
  <si>
    <t>1,2,3</t>
  </si>
  <si>
    <t>punjab</t>
  </si>
  <si>
    <t>26.0:1</t>
  </si>
  <si>
    <t>24.8:1</t>
  </si>
  <si>
    <t>20.8:1</t>
  </si>
  <si>
    <t>16.0:1</t>
  </si>
  <si>
    <t>17.8:1</t>
  </si>
  <si>
    <t>local</t>
  </si>
  <si>
    <t>18.8:1</t>
  </si>
  <si>
    <t>3 (A)</t>
  </si>
  <si>
    <t>18.4:1</t>
  </si>
  <si>
    <t>23.2:1</t>
  </si>
  <si>
    <t>21.2:1</t>
  </si>
  <si>
    <t>18.5:1</t>
  </si>
  <si>
    <t>18.6:1</t>
  </si>
  <si>
    <t>19.1:1</t>
  </si>
  <si>
    <t>5(A)</t>
  </si>
  <si>
    <t>27.0:1</t>
  </si>
  <si>
    <t>22.6:1</t>
  </si>
  <si>
    <t>20.5:1</t>
  </si>
  <si>
    <t>19.5:1</t>
  </si>
  <si>
    <t>17.9:1</t>
  </si>
  <si>
    <t>17.6:1</t>
  </si>
  <si>
    <t>8(A)</t>
  </si>
  <si>
    <t>17.7:1</t>
  </si>
  <si>
    <t>26.6:1</t>
  </si>
  <si>
    <t>24.5:1</t>
  </si>
  <si>
    <t>20.6:1</t>
  </si>
  <si>
    <t>16.9:1</t>
  </si>
  <si>
    <t>17.2:1</t>
  </si>
  <si>
    <t>16.7:1</t>
  </si>
  <si>
    <t>10(A)</t>
  </si>
  <si>
    <t>17.5:1</t>
  </si>
  <si>
    <t>27.5:1</t>
  </si>
  <si>
    <t>23.0:1</t>
  </si>
  <si>
    <t>20.7:1</t>
  </si>
  <si>
    <t>18.3:1</t>
  </si>
  <si>
    <t>13(A)</t>
  </si>
  <si>
    <t>25.5:1</t>
  </si>
  <si>
    <t>22.2:1</t>
  </si>
  <si>
    <t>20.0:1</t>
  </si>
  <si>
    <t>16.6:1</t>
  </si>
  <si>
    <t>16.3:1</t>
  </si>
  <si>
    <t>17(A)</t>
  </si>
  <si>
    <t>22.5:1</t>
  </si>
  <si>
    <t>21(A)</t>
  </si>
  <si>
    <t>16.4:1</t>
  </si>
  <si>
    <t>2..78</t>
  </si>
  <si>
    <t>15.4:1</t>
  </si>
  <si>
    <t>25(A)</t>
  </si>
  <si>
    <t>15.8:1</t>
  </si>
  <si>
    <t>28(A)</t>
  </si>
  <si>
    <t>16.1:1</t>
  </si>
  <si>
    <t>31(A)</t>
  </si>
  <si>
    <t>16.2:1</t>
  </si>
  <si>
    <t>34(A)</t>
  </si>
  <si>
    <t>37(A)</t>
  </si>
  <si>
    <t>local+punjab</t>
  </si>
  <si>
    <t>L+P</t>
  </si>
  <si>
    <t>40(A)</t>
  </si>
  <si>
    <t>25.4:1</t>
  </si>
  <si>
    <t>43(A)</t>
  </si>
  <si>
    <t>16.5:1</t>
  </si>
  <si>
    <t>44(A)</t>
  </si>
  <si>
    <t>24.6:1</t>
  </si>
  <si>
    <t>19.2:1</t>
  </si>
  <si>
    <t>24.9:1</t>
  </si>
  <si>
    <t>21.5:1</t>
  </si>
  <si>
    <t>20.1:1</t>
  </si>
  <si>
    <t>25.0:1</t>
  </si>
  <si>
    <t>21.4:1</t>
  </si>
  <si>
    <t>19.6:1</t>
  </si>
  <si>
    <t>19.7:1</t>
  </si>
  <si>
    <t>17.3:1</t>
  </si>
  <si>
    <t>49(A)</t>
  </si>
  <si>
    <t>21.0:1</t>
  </si>
  <si>
    <t xml:space="preserve">  15.8:1</t>
  </si>
  <si>
    <t>20.2:1</t>
  </si>
  <si>
    <t xml:space="preserve">  15.5:1.</t>
  </si>
  <si>
    <t>52(A)</t>
  </si>
  <si>
    <t>56(A)</t>
  </si>
  <si>
    <t>22.1:1</t>
  </si>
  <si>
    <t>7.45.</t>
  </si>
  <si>
    <t>21.7:1</t>
  </si>
  <si>
    <t>60(A)</t>
  </si>
  <si>
    <t>15.6:1</t>
  </si>
  <si>
    <t>23.1:1</t>
  </si>
  <si>
    <t>17.0:1</t>
  </si>
  <si>
    <t>23.8:1</t>
  </si>
  <si>
    <t>21.6:1</t>
  </si>
  <si>
    <t>19.8:1</t>
  </si>
  <si>
    <t>17.1:1</t>
  </si>
  <si>
    <t>63(A)</t>
  </si>
  <si>
    <t>26.4:1</t>
  </si>
  <si>
    <t>24.3:1</t>
  </si>
  <si>
    <t>17.4:1</t>
  </si>
  <si>
    <t>25.9:1</t>
  </si>
  <si>
    <t>26.2:1</t>
  </si>
  <si>
    <t>18.9:1</t>
  </si>
  <si>
    <t>20.9:2</t>
  </si>
  <si>
    <t>19.0:1</t>
  </si>
  <si>
    <t>16.8:1</t>
  </si>
  <si>
    <t>23.9:1</t>
  </si>
  <si>
    <t>24.4:1</t>
  </si>
  <si>
    <t>22.9:1</t>
  </si>
  <si>
    <t>72(A)</t>
  </si>
  <si>
    <t>25.2:1</t>
  </si>
  <si>
    <t>21.1:1</t>
  </si>
  <si>
    <t>25.1:1</t>
  </si>
  <si>
    <t>75(A)</t>
  </si>
  <si>
    <t>25.6:1</t>
  </si>
  <si>
    <t>15.9:1</t>
  </si>
  <si>
    <t>77(A)</t>
  </si>
  <si>
    <t>79(A)</t>
  </si>
  <si>
    <t>18.7:1</t>
  </si>
  <si>
    <t>15.1:1</t>
  </si>
  <si>
    <t>82(A)</t>
  </si>
  <si>
    <t>15.5:1</t>
  </si>
  <si>
    <t>15.2:1</t>
  </si>
  <si>
    <t>18.1:1</t>
  </si>
  <si>
    <t>87(A)</t>
  </si>
  <si>
    <t>26.8:1</t>
  </si>
  <si>
    <t>23.3:1</t>
  </si>
  <si>
    <t>27.3:1</t>
  </si>
  <si>
    <t>20.4:1</t>
  </si>
  <si>
    <t>7..72</t>
  </si>
  <si>
    <t>90(A)</t>
  </si>
  <si>
    <t>22.4:1</t>
  </si>
  <si>
    <t>15.7:1</t>
  </si>
  <si>
    <t>26.1:1</t>
  </si>
  <si>
    <t>22.7:1</t>
  </si>
  <si>
    <t>92(A)</t>
  </si>
  <si>
    <t>15.3:1</t>
  </si>
  <si>
    <t>94(A)</t>
  </si>
  <si>
    <t>21.8:1</t>
  </si>
  <si>
    <t>98(A)</t>
  </si>
  <si>
    <t>99(A)</t>
  </si>
  <si>
    <t>24.1:1</t>
  </si>
  <si>
    <t>100(A)</t>
  </si>
  <si>
    <t>22.3:1</t>
  </si>
  <si>
    <t>101(A)</t>
  </si>
  <si>
    <t>21.9:1</t>
  </si>
  <si>
    <t>19.4:1</t>
  </si>
  <si>
    <t>25.8:1</t>
  </si>
  <si>
    <t>104</t>
  </si>
  <si>
    <t>20.9:1</t>
  </si>
  <si>
    <t>104(A)</t>
  </si>
  <si>
    <t>20.3:1</t>
  </si>
  <si>
    <t>19.5:12</t>
  </si>
  <si>
    <t>22.0:1</t>
  </si>
  <si>
    <t>24.7:1</t>
  </si>
  <si>
    <t>Sr. No.</t>
  </si>
  <si>
    <t>Batch no</t>
  </si>
  <si>
    <t>Tunnel No.</t>
  </si>
  <si>
    <t>GR Compost Qty(MT)</t>
  </si>
  <si>
    <t>No.of Beds</t>
  </si>
  <si>
    <t>No.of Compartments</t>
  </si>
  <si>
    <t>4,5,6</t>
  </si>
  <si>
    <t>7,8,9</t>
  </si>
  <si>
    <t>10,11,12</t>
  </si>
  <si>
    <t>13,14,15</t>
  </si>
  <si>
    <t>16,17,18</t>
  </si>
  <si>
    <t>19,20,21</t>
  </si>
  <si>
    <t>22,23,24</t>
  </si>
  <si>
    <t>25,26,27</t>
  </si>
  <si>
    <t>28,29,30</t>
  </si>
  <si>
    <t>31,32,33</t>
  </si>
  <si>
    <t>34,35,36</t>
  </si>
  <si>
    <t>37,38,39</t>
  </si>
  <si>
    <t>40,41,42</t>
  </si>
  <si>
    <t>43,44,45</t>
  </si>
  <si>
    <t>46,47,48</t>
  </si>
  <si>
    <t>49,50,51</t>
  </si>
  <si>
    <t>52,53,54</t>
  </si>
  <si>
    <t>55,56,57</t>
  </si>
  <si>
    <t>58,59,60</t>
  </si>
  <si>
    <t>61,62,63</t>
  </si>
  <si>
    <t>64,65,66</t>
  </si>
  <si>
    <t xml:space="preserve"> 67 68 69</t>
  </si>
  <si>
    <t xml:space="preserve">70 71 72 </t>
  </si>
  <si>
    <t>73 74 75</t>
  </si>
  <si>
    <t>76 77 78</t>
  </si>
  <si>
    <t>79 80 81</t>
  </si>
  <si>
    <t>82 83 84</t>
  </si>
  <si>
    <t>85 86 87</t>
  </si>
  <si>
    <t>88 89 90</t>
  </si>
  <si>
    <t>91 92 93</t>
  </si>
  <si>
    <t>94 95 96</t>
  </si>
  <si>
    <t>97 98 99</t>
  </si>
  <si>
    <t>105</t>
  </si>
  <si>
    <t>106(A)</t>
  </si>
  <si>
    <t>108(A)</t>
  </si>
  <si>
    <t>67,68,69</t>
  </si>
  <si>
    <t>70,71,72</t>
  </si>
  <si>
    <t>73,74,75</t>
  </si>
  <si>
    <t>76,77,78</t>
  </si>
  <si>
    <t>79,80,81</t>
  </si>
  <si>
    <t>82,83,84</t>
  </si>
  <si>
    <t>85,86,87</t>
  </si>
  <si>
    <t>88,89,90</t>
  </si>
  <si>
    <t>91,92,93</t>
  </si>
  <si>
    <t>94,95,96</t>
  </si>
  <si>
    <t>97,98,99</t>
  </si>
  <si>
    <t>100,101,102</t>
  </si>
  <si>
    <t>103,104,105</t>
  </si>
  <si>
    <t>106,107,108</t>
  </si>
  <si>
    <t>109,110,111</t>
  </si>
  <si>
    <t>112,113,114</t>
  </si>
  <si>
    <t>115,116,117</t>
  </si>
  <si>
    <t>118,119,120</t>
  </si>
  <si>
    <t>121,122,123</t>
  </si>
  <si>
    <t>124,125,126</t>
  </si>
  <si>
    <t>127,128,129</t>
  </si>
  <si>
    <t>130,131,132</t>
  </si>
  <si>
    <t>133,134,135</t>
  </si>
  <si>
    <t>136,137,138</t>
  </si>
  <si>
    <t>139,140,141</t>
  </si>
  <si>
    <t>142,143,144</t>
  </si>
  <si>
    <t>145,146,147</t>
  </si>
  <si>
    <t>148,149,150</t>
  </si>
  <si>
    <t>107(A)</t>
  </si>
  <si>
    <t xml:space="preserve">FRESHBOWL HORTICULTURE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</si>
</sst>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_);_(* \(#,##0.0\);_(* &quot;-&quot;??_);_(@_)"/>
    <numFmt numFmtId="165" formatCode="0.0"/>
    <numFmt numFmtId="166" formatCode="[$-F400]h:mm:ss\ AM/PM"/>
    <numFmt numFmtId="167" formatCode="0.000"/>
    <numFmt numFmtId="168" formatCode="#.#&quot;:1&quot;"/>
    <numFmt numFmtId="169" formatCode="#.0&quot;:1&quot;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000000"/>
      <name val="Aptos Narrow"/>
      <family val="2"/>
      <scheme val="minor"/>
    </font>
    <font>
      <b/>
      <sz val="11"/>
      <color rgb="FFFF0000"/>
      <name val="Times New Roman"/>
      <family val="1"/>
    </font>
    <font>
      <b/>
      <sz val="12"/>
      <color theme="1"/>
      <name val="&quot;Times New Roman&quot;"/>
    </font>
    <font>
      <b/>
      <sz val="9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8" fontId="3" fillId="0" borderId="19" xfId="0" applyNumberFormat="1" applyFont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5" fontId="3" fillId="9" borderId="19" xfId="0" applyNumberFormat="1" applyFont="1" applyFill="1" applyBorder="1" applyAlignment="1">
      <alignment horizontal="center" vertical="center"/>
    </xf>
    <xf numFmtId="168" fontId="3" fillId="9" borderId="19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168" fontId="3" fillId="0" borderId="16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2" fontId="3" fillId="9" borderId="19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169" fontId="3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41" xfId="0" applyNumberFormat="1" applyFont="1" applyBorder="1" applyAlignment="1">
      <alignment horizontal="center" vertical="center"/>
    </xf>
    <xf numFmtId="165" fontId="3" fillId="0" borderId="41" xfId="0" applyNumberFormat="1" applyFont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2" fontId="3" fillId="0" borderId="42" xfId="0" applyNumberFormat="1" applyFont="1" applyBorder="1" applyAlignment="1">
      <alignment horizontal="center" vertical="center"/>
    </xf>
    <xf numFmtId="165" fontId="3" fillId="0" borderId="42" xfId="0" applyNumberFormat="1" applyFont="1" applyBorder="1" applyAlignment="1">
      <alignment horizontal="center" vertical="center"/>
    </xf>
    <xf numFmtId="168" fontId="1" fillId="0" borderId="19" xfId="0" applyNumberFormat="1" applyFont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165" fontId="1" fillId="0" borderId="34" xfId="0" applyNumberFormat="1" applyFont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8" fontId="1" fillId="0" borderId="2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9" borderId="30" xfId="0" applyFont="1" applyFill="1" applyBorder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8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3" fillId="9" borderId="9" xfId="0" applyNumberFormat="1" applyFont="1" applyFill="1" applyBorder="1" applyAlignment="1">
      <alignment horizontal="center" vertical="center"/>
    </xf>
    <xf numFmtId="168" fontId="3" fillId="9" borderId="9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165" fontId="3" fillId="0" borderId="51" xfId="0" applyNumberFormat="1" applyFont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center" vertical="center"/>
    </xf>
    <xf numFmtId="167" fontId="3" fillId="5" borderId="26" xfId="0" applyNumberFormat="1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8" borderId="52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65" fontId="3" fillId="0" borderId="27" xfId="0" applyNumberFormat="1" applyFont="1" applyBorder="1" applyAlignment="1">
      <alignment horizontal="center" vertical="center"/>
    </xf>
    <xf numFmtId="168" fontId="3" fillId="0" borderId="27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2" fontId="3" fillId="9" borderId="9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2" fontId="3" fillId="2" borderId="51" xfId="0" applyNumberFormat="1" applyFont="1" applyFill="1" applyBorder="1" applyAlignment="1">
      <alignment horizontal="center" vertical="center"/>
    </xf>
    <xf numFmtId="165" fontId="3" fillId="2" borderId="26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9" borderId="2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8" borderId="52" xfId="0" applyFont="1" applyFill="1" applyBorder="1" applyAlignment="1">
      <alignment horizontal="center" vertical="center"/>
    </xf>
    <xf numFmtId="168" fontId="3" fillId="0" borderId="29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168" fontId="1" fillId="0" borderId="34" xfId="0" applyNumberFormat="1" applyFont="1" applyBorder="1" applyAlignment="1">
      <alignment horizontal="center" vertical="center"/>
    </xf>
    <xf numFmtId="0" fontId="11" fillId="8" borderId="34" xfId="0" applyFont="1" applyFill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1" fillId="0" borderId="2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8" borderId="28" xfId="0" applyFont="1" applyFill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164" fontId="3" fillId="0" borderId="41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/>
    </xf>
    <xf numFmtId="165" fontId="3" fillId="0" borderId="34" xfId="0" applyNumberFormat="1" applyFont="1" applyBorder="1" applyAlignment="1">
      <alignment horizontal="center" vertical="center"/>
    </xf>
    <xf numFmtId="165" fontId="3" fillId="0" borderId="32" xfId="0" applyNumberFormat="1" applyFont="1" applyBorder="1" applyAlignment="1">
      <alignment horizontal="center" vertical="center"/>
    </xf>
    <xf numFmtId="165" fontId="3" fillId="0" borderId="37" xfId="0" applyNumberFormat="1" applyFont="1" applyBorder="1" applyAlignment="1">
      <alignment horizontal="center" vertical="center"/>
    </xf>
    <xf numFmtId="165" fontId="3" fillId="0" borderId="40" xfId="0" applyNumberFormat="1" applyFont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1" fontId="8" fillId="4" borderId="23" xfId="0" applyNumberFormat="1" applyFont="1" applyFill="1" applyBorder="1" applyAlignment="1">
      <alignment horizontal="center" vertical="center"/>
    </xf>
    <xf numFmtId="1" fontId="8" fillId="4" borderId="25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 wrapText="1"/>
    </xf>
    <xf numFmtId="164" fontId="8" fillId="4" borderId="25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164" fontId="8" fillId="4" borderId="25" xfId="0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8" fillId="4" borderId="25" xfId="0" applyNumberFormat="1" applyFont="1" applyFill="1" applyBorder="1" applyAlignment="1">
      <alignment horizontal="center" vertical="center"/>
    </xf>
    <xf numFmtId="2" fontId="3" fillId="7" borderId="19" xfId="0" applyNumberFormat="1" applyFont="1" applyFill="1" applyBorder="1" applyAlignment="1">
      <alignment horizontal="center" vertical="center"/>
    </xf>
    <xf numFmtId="2" fontId="3" fillId="7" borderId="27" xfId="0" applyNumberFormat="1" applyFont="1" applyFill="1" applyBorder="1" applyAlignment="1">
      <alignment horizontal="center" vertical="center"/>
    </xf>
    <xf numFmtId="165" fontId="3" fillId="7" borderId="19" xfId="0" applyNumberFormat="1" applyFont="1" applyFill="1" applyBorder="1" applyAlignment="1">
      <alignment horizontal="center" vertical="center"/>
    </xf>
    <xf numFmtId="165" fontId="3" fillId="7" borderId="27" xfId="0" applyNumberFormat="1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2" fontId="7" fillId="3" borderId="19" xfId="0" applyNumberFormat="1" applyFont="1" applyFill="1" applyBorder="1" applyAlignment="1">
      <alignment horizontal="center" vertical="center"/>
    </xf>
    <xf numFmtId="2" fontId="7" fillId="3" borderId="27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65" fontId="7" fillId="3" borderId="2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/>
    </xf>
    <xf numFmtId="2" fontId="3" fillId="5" borderId="19" xfId="0" applyNumberFormat="1" applyFont="1" applyFill="1" applyBorder="1" applyAlignment="1">
      <alignment horizontal="center" vertical="center"/>
    </xf>
    <xf numFmtId="2" fontId="3" fillId="5" borderId="27" xfId="0" applyNumberFormat="1" applyFont="1" applyFill="1" applyBorder="1" applyAlignment="1">
      <alignment horizontal="center" vertical="center"/>
    </xf>
    <xf numFmtId="165" fontId="3" fillId="5" borderId="19" xfId="0" applyNumberFormat="1" applyFont="1" applyFill="1" applyBorder="1" applyAlignment="1">
      <alignment horizontal="center" vertical="center"/>
    </xf>
    <xf numFmtId="165" fontId="3" fillId="5" borderId="27" xfId="0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165" fontId="3" fillId="0" borderId="33" xfId="0" applyNumberFormat="1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165" fontId="3" fillId="0" borderId="49" xfId="0" applyNumberFormat="1" applyFont="1" applyBorder="1" applyAlignment="1">
      <alignment horizontal="center" vertical="center"/>
    </xf>
    <xf numFmtId="165" fontId="3" fillId="0" borderId="51" xfId="0" applyNumberFormat="1" applyFont="1" applyBorder="1" applyAlignment="1">
      <alignment horizontal="center" vertical="center"/>
    </xf>
    <xf numFmtId="2" fontId="3" fillId="0" borderId="48" xfId="0" applyNumberFormat="1" applyFont="1" applyBorder="1" applyAlignment="1">
      <alignment horizontal="center" vertical="center"/>
    </xf>
    <xf numFmtId="2" fontId="3" fillId="0" borderId="36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37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66" fontId="7" fillId="3" borderId="19" xfId="0" applyNumberFormat="1" applyFont="1" applyFill="1" applyBorder="1" applyAlignment="1">
      <alignment horizontal="center" vertical="center" wrapText="1"/>
    </xf>
    <xf numFmtId="166" fontId="7" fillId="3" borderId="27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165" fontId="3" fillId="0" borderId="48" xfId="0" applyNumberFormat="1" applyFont="1" applyBorder="1" applyAlignment="1">
      <alignment horizontal="center" vertical="center"/>
    </xf>
    <xf numFmtId="165" fontId="3" fillId="0" borderId="36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 vertical="center"/>
    </xf>
    <xf numFmtId="167" fontId="3" fillId="5" borderId="33" xfId="0" applyNumberFormat="1" applyFont="1" applyFill="1" applyBorder="1" applyAlignment="1">
      <alignment horizontal="center" vertical="center"/>
    </xf>
    <xf numFmtId="167" fontId="3" fillId="5" borderId="28" xfId="0" applyNumberFormat="1" applyFont="1" applyFill="1" applyBorder="1" applyAlignment="1">
      <alignment horizontal="center" vertical="center"/>
    </xf>
    <xf numFmtId="167" fontId="3" fillId="5" borderId="26" xfId="0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2" fontId="3" fillId="2" borderId="33" xfId="0" applyNumberFormat="1" applyFont="1" applyFill="1" applyBorder="1" applyAlignment="1">
      <alignment horizontal="center" vertical="center"/>
    </xf>
    <xf numFmtId="2" fontId="3" fillId="2" borderId="28" xfId="0" applyNumberFormat="1" applyFont="1" applyFill="1" applyBorder="1" applyAlignment="1">
      <alignment horizontal="center" vertical="center"/>
    </xf>
    <xf numFmtId="2" fontId="3" fillId="2" borderId="26" xfId="0" applyNumberFormat="1" applyFont="1" applyFill="1" applyBorder="1" applyAlignment="1">
      <alignment horizontal="center" vertical="center"/>
    </xf>
    <xf numFmtId="2" fontId="3" fillId="2" borderId="49" xfId="0" applyNumberFormat="1" applyFont="1" applyFill="1" applyBorder="1" applyAlignment="1">
      <alignment horizontal="center" vertical="center"/>
    </xf>
    <xf numFmtId="2" fontId="3" fillId="2" borderId="37" xfId="0" applyNumberFormat="1" applyFont="1" applyFill="1" applyBorder="1" applyAlignment="1">
      <alignment horizontal="center" vertical="center"/>
    </xf>
    <xf numFmtId="2" fontId="3" fillId="2" borderId="51" xfId="0" applyNumberFormat="1" applyFont="1" applyFill="1" applyBorder="1" applyAlignment="1">
      <alignment horizontal="center" vertical="center"/>
    </xf>
    <xf numFmtId="165" fontId="3" fillId="2" borderId="33" xfId="0" applyNumberFormat="1" applyFont="1" applyFill="1" applyBorder="1" applyAlignment="1">
      <alignment horizontal="center" vertical="center"/>
    </xf>
    <xf numFmtId="165" fontId="3" fillId="2" borderId="28" xfId="0" applyNumberFormat="1" applyFont="1" applyFill="1" applyBorder="1" applyAlignment="1">
      <alignment horizontal="center" vertical="center"/>
    </xf>
    <xf numFmtId="165" fontId="3" fillId="2" borderId="26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2" fontId="3" fillId="0" borderId="34" xfId="0" applyNumberFormat="1" applyFont="1" applyBorder="1" applyAlignment="1">
      <alignment horizontal="center" vertical="center"/>
    </xf>
    <xf numFmtId="165" fontId="3" fillId="0" borderId="39" xfId="0" applyNumberFormat="1" applyFont="1" applyBorder="1" applyAlignment="1">
      <alignment horizontal="center" vertical="center"/>
    </xf>
    <xf numFmtId="165" fontId="3" fillId="2" borderId="34" xfId="0" applyNumberFormat="1" applyFont="1" applyFill="1" applyBorder="1" applyAlignment="1">
      <alignment horizontal="center" vertical="center"/>
    </xf>
    <xf numFmtId="165" fontId="3" fillId="10" borderId="33" xfId="0" applyNumberFormat="1" applyFont="1" applyFill="1" applyBorder="1" applyAlignment="1">
      <alignment horizontal="center" vertical="center"/>
    </xf>
    <xf numFmtId="165" fontId="3" fillId="10" borderId="28" xfId="0" applyNumberFormat="1" applyFont="1" applyFill="1" applyBorder="1" applyAlignment="1">
      <alignment horizontal="center" vertical="center"/>
    </xf>
    <xf numFmtId="165" fontId="3" fillId="10" borderId="26" xfId="0" applyNumberFormat="1" applyFont="1" applyFill="1" applyBorder="1" applyAlignment="1">
      <alignment horizontal="center" vertical="center"/>
    </xf>
    <xf numFmtId="2" fontId="3" fillId="10" borderId="33" xfId="0" applyNumberFormat="1" applyFont="1" applyFill="1" applyBorder="1" applyAlignment="1">
      <alignment horizontal="center" vertical="center"/>
    </xf>
    <xf numFmtId="2" fontId="3" fillId="10" borderId="28" xfId="0" applyNumberFormat="1" applyFont="1" applyFill="1" applyBorder="1" applyAlignment="1">
      <alignment horizontal="center" vertical="center"/>
    </xf>
    <xf numFmtId="2" fontId="3" fillId="10" borderId="26" xfId="0" applyNumberFormat="1" applyFont="1" applyFill="1" applyBorder="1" applyAlignment="1">
      <alignment horizontal="center" vertical="center"/>
    </xf>
    <xf numFmtId="165" fontId="3" fillId="10" borderId="48" xfId="0" applyNumberFormat="1" applyFont="1" applyFill="1" applyBorder="1" applyAlignment="1">
      <alignment horizontal="center" vertical="center"/>
    </xf>
    <xf numFmtId="165" fontId="3" fillId="10" borderId="36" xfId="0" applyNumberFormat="1" applyFont="1" applyFill="1" applyBorder="1" applyAlignment="1">
      <alignment horizontal="center" vertical="center"/>
    </xf>
    <xf numFmtId="165" fontId="3" fillId="10" borderId="50" xfId="0" applyNumberFormat="1" applyFont="1" applyFill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2" fontId="3" fillId="10" borderId="24" xfId="0" applyNumberFormat="1" applyFont="1" applyFill="1" applyBorder="1" applyAlignment="1">
      <alignment horizontal="center" vertical="center"/>
    </xf>
    <xf numFmtId="2" fontId="3" fillId="10" borderId="34" xfId="0" applyNumberFormat="1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165" fontId="3" fillId="10" borderId="24" xfId="0" applyNumberFormat="1" applyFont="1" applyFill="1" applyBorder="1" applyAlignment="1">
      <alignment horizontal="center" vertical="center"/>
    </xf>
    <xf numFmtId="165" fontId="3" fillId="10" borderId="34" xfId="0" applyNumberFormat="1" applyFont="1" applyFill="1" applyBorder="1" applyAlignment="1">
      <alignment horizontal="center" vertical="center"/>
    </xf>
    <xf numFmtId="3" fontId="3" fillId="0" borderId="47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2" fontId="3" fillId="0" borderId="32" xfId="0" applyNumberFormat="1" applyFont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/>
    </xf>
    <xf numFmtId="165" fontId="3" fillId="10" borderId="31" xfId="0" applyNumberFormat="1" applyFont="1" applyFill="1" applyBorder="1" applyAlignment="1">
      <alignment horizontal="center" vertical="center"/>
    </xf>
    <xf numFmtId="165" fontId="3" fillId="10" borderId="39" xfId="0" applyNumberFormat="1" applyFont="1" applyFill="1" applyBorder="1" applyAlignment="1">
      <alignment horizontal="center" vertical="center"/>
    </xf>
    <xf numFmtId="167" fontId="3" fillId="5" borderId="24" xfId="0" applyNumberFormat="1" applyFont="1" applyFill="1" applyBorder="1" applyAlignment="1">
      <alignment horizontal="center" vertical="center"/>
    </xf>
    <xf numFmtId="167" fontId="3" fillId="5" borderId="34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8" borderId="34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B HARVESTING 2" id="{3FCE93B5-1A3B-438D-B16B-D77C156553B1}" userId="272d64340b1d2d2f" providerId="Windows Live"/>
  <person displayName="charishma myneni" id="{87413E02-0890-4F3E-9886-4D4222BEAD47}" userId="bed76616ec59d1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6-24T10:24:17.18" personId="{87413E02-0890-4F3E-9886-4D4222BEAD47}" id="{DD922636-54FF-473F-8DBB-DE606B0FC392}">
    <text xml:space="preserve">CHECKED WITH ANALYSIS SHEETS AND WHATSAPP IMAGES NUMBER
</text>
  </threadedComment>
  <threadedComment ref="A11" dT="2026-06-24T10:59:32.16" personId="{87413E02-0890-4F3E-9886-4D4222BEAD47}" id="{06E92811-1AC2-45AB-BC39-D876E238292F}">
    <text>CHECKED WITH ANALYSIS SHEETS AND WHATSAPP IMAGES NUMBER</text>
  </threadedComment>
  <threadedComment ref="A15" dT="2026-06-24T11:16:57.95" personId="{87413E02-0890-4F3E-9886-4D4222BEAD47}" id="{033457F3-A7F4-4430-A051-4B5234814444}">
    <text>CHECKED WITH ANALYSIS SHEETS AND WHATSAPP IMAGES NUMBER</text>
  </threadedComment>
  <threadedComment ref="A19" dT="2026-06-24T11:23:47.53" personId="{87413E02-0890-4F3E-9886-4D4222BEAD47}" id="{E5EE36CE-58DE-4B17-8261-5184EFDA72F0}">
    <text>CHECKED WITH ANALYSIS SHEETS AND WHATSAPP IMAGES NUMBER</text>
  </threadedComment>
  <threadedComment ref="A23" dT="2026-06-24T11:29:57.72" personId="{87413E02-0890-4F3E-9886-4D4222BEAD47}" id="{95115D1F-AC44-4056-A872-9BA2DE84191D}">
    <text>CHECKED WITH ANALYSIS SHEETS AND WHATSAPP IMAGES NUMBER</text>
  </threadedComment>
  <threadedComment ref="A27" dT="2026-06-24T11:37:16.59" personId="{87413E02-0890-4F3E-9886-4D4222BEAD47}" id="{99FBA6D2-FF0C-4FF7-A976-5D2D09939F50}">
    <text>CHECKED WITH ANALYSIS SHEETS AND WHATSAPP IMAGES NUMBER</text>
  </threadedComment>
  <threadedComment ref="A31" dT="2026-06-24T11:48:52.75" personId="{87413E02-0890-4F3E-9886-4D4222BEAD47}" id="{613854C7-F851-4224-9240-CFC697730839}">
    <text>CHECKED WITH ANALYSIS SHEETS AND WHATSAPP IMAGES NUMBER</text>
  </threadedComment>
  <threadedComment ref="A35" dT="2026-06-24T11:57:25.36" personId="{87413E02-0890-4F3E-9886-4D4222BEAD47}" id="{CB49E03E-335D-43AA-A8CA-E55A24D47D7D}">
    <text>CHECKED WITH ANALYSIS SHEETS AND WHATSAPP IMAGES NUMBER</text>
  </threadedComment>
  <threadedComment ref="A39" dT="2026-06-24T12:04:21.67" personId="{87413E02-0890-4F3E-9886-4D4222BEAD47}" id="{254CE211-6604-40C4-96A4-E34EFE07B6E1}">
    <text xml:space="preserve">CHECKED WITH ANALYSIS SHEETS AND WHATSAPP IMAGES NUMBER
</text>
  </threadedComment>
  <threadedComment ref="A43" dT="2026-06-24T12:06:47.38" personId="{87413E02-0890-4F3E-9886-4D4222BEAD47}" id="{F917604E-8653-402B-9B72-CB1B8E7DFC55}">
    <text>CHECKED WITH ANALYSIS SHEETS AND WHATSAPP IMAGES NUMBER</text>
  </threadedComment>
  <threadedComment ref="A47" dT="2026-06-24T12:12:48.31" personId="{87413E02-0890-4F3E-9886-4D4222BEAD47}" id="{934156BB-C6D9-4296-97FE-B761D15B196C}">
    <text>CHECKED WITH ANALYSIS SHEETS AND WHATSAPP IMAGES NUMBER</text>
  </threadedComment>
  <threadedComment ref="A51" dT="2026-06-25T07:09:24.15" personId="{87413E02-0890-4F3E-9886-4D4222BEAD47}" id="{251BCEB9-E6A3-415E-8E93-57AF5AEDCBA7}">
    <text xml:space="preserve">CHECKED WITH ANALYSIS SHEETS AND WHATSAPP IMAGES NUMBER
</text>
  </threadedComment>
  <threadedComment ref="A55" dT="2026-06-24T12:22:38.38" personId="{87413E02-0890-4F3E-9886-4D4222BEAD47}" id="{3F4C6A8B-0531-4FDC-ABAD-3C2004730B91}">
    <text>CHECKED WITH ANALYSIS SHEETS AND WHATSAPP IMAGES NUMBER</text>
  </threadedComment>
  <threadedComment ref="A59" dT="2026-06-24T12:41:21.32" personId="{87413E02-0890-4F3E-9886-4D4222BEAD47}" id="{C289BB7D-0E89-4735-9BC6-0F708BA6A58A}">
    <text>CHECKED WITH ANALYSIS SHEETS AND WHATSAPP IMAGES NUMBER</text>
  </threadedComment>
  <threadedComment ref="C59" dT="2026-06-24T12:34:57.33" personId="{87413E02-0890-4F3E-9886-4D4222BEAD47}" id="{7541550D-14CF-4A8A-9180-6B4A4BEE755E}">
    <text xml:space="preserve">INDIVIDUAL BATCHES
</text>
  </threadedComment>
  <threadedComment ref="A63" dT="2026-06-25T07:07:10.40" personId="{87413E02-0890-4F3E-9886-4D4222BEAD47}" id="{B77D9655-04AA-473D-9308-DD76988D2FDC}">
    <text xml:space="preserve">CHECKED WITH ANALYSIS SHEETS AND WHATSAPP IMAGES NUMBER
</text>
  </threadedComment>
  <threadedComment ref="A72" dT="2026-06-25T07:27:50.55" personId="{87413E02-0890-4F3E-9886-4D4222BEAD47}" id="{9A52028A-B9B3-437C-B051-C14329C7B1A6}">
    <text>CHECKED WITH ANALYSIS SHEETS AND WHATSAPP IMAGES NUMBER</text>
  </threadedComment>
  <threadedComment ref="A76" dT="2026-06-25T07:46:18.88" personId="{87413E02-0890-4F3E-9886-4D4222BEAD47}" id="{AE3BD39F-4D48-4D9C-B2EC-9C834789D4E9}">
    <text xml:space="preserve">CHECKED WITH ANALYSIS SHEETS AND WHATSAPP IMAGES NUMBER
</text>
  </threadedComment>
  <threadedComment ref="C76" dT="2026-06-24T12:34:57.33" personId="{87413E02-0890-4F3E-9886-4D4222BEAD47}" id="{40199020-275D-4E60-AA16-1D2F14FAAE5A}">
    <text xml:space="preserve">INDIVIDUAL BATCHES
</text>
  </threadedComment>
  <threadedComment ref="A80" dT="2026-06-25T07:56:48.02" personId="{87413E02-0890-4F3E-9886-4D4222BEAD47}" id="{3EABAB55-59B7-4668-A523-42C0493BC5ED}">
    <text>CHECKED WITH ANALYSIS SHEETS AND WHATSAPP IMAGES NUMBER</text>
  </threadedComment>
  <threadedComment ref="A84" dT="2026-06-25T08:13:50.66" personId="{87413E02-0890-4F3E-9886-4D4222BEAD47}" id="{D17535CC-C555-4AC7-82A6-E5DF01E64AF0}">
    <text xml:space="preserve">CHECKED WITH ANALYSIS SHEETS AND WHATSAPP IMAGES NUMBER
</text>
  </threadedComment>
  <threadedComment ref="A88" dT="2026-06-25T08:13:57.52" personId="{87413E02-0890-4F3E-9886-4D4222BEAD47}" id="{B580C7A3-C28C-460C-9507-6D6656D2C06F}">
    <text xml:space="preserve">CHECKED WITH ANALYSIS SHEETS AND WHATSAPP IMAGES NUMBER
</text>
  </threadedComment>
  <threadedComment ref="A92" dT="2026-06-25T08:14:03.64" personId="{87413E02-0890-4F3E-9886-4D4222BEAD47}" id="{7713E497-A331-48EA-BC55-24B6990A4DB6}">
    <text xml:space="preserve">CHECKED WITH ANALYSIS SHEETS AND WHATSAPP IMAGES NUMBER
</text>
  </threadedComment>
  <threadedComment ref="DS96" dT="2026-07-10T06:49:28.32" personId="{3FCE93B5-1A3B-438D-B16B-D77C156553B1}" id="{EDEC7B2C-F7A0-4CFB-9C5A-12DDE2B9311E}">
    <text>T/10,T/11,T/8- tunnels loaded into 2 tunnels (T/5,T/1)</text>
  </threadedComment>
  <threadedComment ref="DZ96" dT="2026-07-20T05:44:38.40" personId="{3FCE93B5-1A3B-438D-B16B-D77C156553B1}" id="{23932022-F75D-49BE-A41A-E5C8A40C2EA6}">
    <text>T/5,T/1 values</text>
  </threadedComment>
  <threadedComment ref="CO97" dT="2026-07-18T05:17:25.94" personId="{3FCE93B5-1A3B-438D-B16B-D77C156553B1}" id="{3CBE3F42-5C97-4EAE-854D-60E52A7B17FD}">
    <text xml:space="preserve">B/7,B/8,B/9 Shifted to B/10,B/11 due to Temperature  issue </text>
  </threadedComment>
  <threadedComment ref="CV97" dT="2026-07-20T05:42:46.20" personId="{3FCE93B5-1A3B-438D-B16B-D77C156553B1}" id="{98E78388-3E86-4660-97E4-0753DE539670}">
    <text>B/10,B/11 values</text>
  </threadedComment>
  <threadedComment ref="C100" dT="2026-06-24T12:34:57.33" personId="{87413E02-0890-4F3E-9886-4D4222BEAD47}" id="{133E688A-D480-4F62-88A6-B8A6924AD12B}">
    <text xml:space="preserve">INDIVIDUAL BATCHES
</text>
  </threadedComment>
  <threadedComment ref="K108" dT="2026-07-18T12:28:24.25" personId="{3FCE93B5-1A3B-438D-B16B-D77C156553B1}" id="{E175027D-5C38-4001-A65F-9D85BA5A22D3}">
    <text>C/M added to bagasse</text>
  </threadedComment>
  <threadedComment ref="L108" dT="2026-07-18T12:19:40.19" personId="{3FCE93B5-1A3B-438D-B16B-D77C156553B1}" id="{673235A2-2F6C-483C-B5D9-24A340CBAF9B}">
    <text>Gypsum+cm mix</text>
  </threadedComment>
  <threadedComment ref="U108" dT="2026-07-18T12:28:43.24" personId="{3FCE93B5-1A3B-438D-B16B-D77C156553B1}" id="{3F0F4C1F-E40E-4D81-88B0-67BF6741DEF7}">
    <text>C/M added to bagasse</text>
  </threadedComment>
  <threadedComment ref="V108" dT="2026-07-18T12:27:02.25" personId="{3FCE93B5-1A3B-438D-B16B-D77C156553B1}" id="{D70DAE48-FB69-4C6F-A7CE-0E6B64CCD61B}">
    <text>Gypsum+cm mix</text>
  </threadedComment>
  <threadedComment ref="AB108" dT="2026-07-18T12:28:58.88" personId="{3FCE93B5-1A3B-438D-B16B-D77C156553B1}" id="{389EFC14-D986-4B97-8C58-173489C974BA}">
    <text>C/M added to bagasse</text>
  </threadedComment>
  <threadedComment ref="AC108" dT="2026-07-18T12:27:16.29" personId="{3FCE93B5-1A3B-438D-B16B-D77C156553B1}" id="{F8FB9EE3-8F9D-4BA8-9AD4-EFF5B19FF261}">
    <text>Gypsum+cm mix</text>
  </threadedComment>
  <threadedComment ref="AI108" dT="2026-07-18T12:29:07.87" personId="{3FCE93B5-1A3B-438D-B16B-D77C156553B1}" id="{9FC666F3-74A3-4C12-99F0-83B0713B84A2}">
    <text>C/M added to bagasse</text>
  </threadedComment>
  <threadedComment ref="AJ108" dT="2026-07-18T12:27:26.22" personId="{3FCE93B5-1A3B-438D-B16B-D77C156553B1}" id="{34F513D0-F0D5-4105-889A-D82E07A6ADB0}">
    <text xml:space="preserve">Gypsum+cm mix
</text>
  </threadedComment>
  <threadedComment ref="AP108" dT="2026-07-18T12:29:18.00" personId="{3FCE93B5-1A3B-438D-B16B-D77C156553B1}" id="{EECF051D-4CAC-4F46-9AB8-487F8D57D446}">
    <text>C/M added to bagasse</text>
  </threadedComment>
  <threadedComment ref="AQ108" dT="2026-07-18T12:27:40.18" personId="{3FCE93B5-1A3B-438D-B16B-D77C156553B1}" id="{38A4E09C-E868-4839-99B8-39C5F265CC48}">
    <text>Gypsum+cm mix</text>
  </threadedComment>
  <threadedComment ref="AW108" dT="2026-07-18T12:29:44.93" personId="{3FCE93B5-1A3B-438D-B16B-D77C156553B1}" id="{58030F3A-DDE8-45D9-AD0F-BA766AC95BE2}">
    <text>C/M added to bagasse</text>
  </threadedComment>
  <threadedComment ref="AX108" dT="2026-07-18T12:27:52.61" personId="{3FCE93B5-1A3B-438D-B16B-D77C156553B1}" id="{06651CEA-B5CD-4B3D-B124-0808E2033668}">
    <text>Gypsum+cm mix</text>
  </threadedComment>
  <threadedComment ref="BD108" dT="2026-07-18T12:30:01.38" personId="{3FCE93B5-1A3B-438D-B16B-D77C156553B1}" id="{D2A17EBE-A7B8-4F6D-92E4-4F97CFE265FC}">
    <text>C/M added to bagasse</text>
  </threadedComment>
  <threadedComment ref="BE108" dT="2026-07-18T12:30:25.75" personId="{3FCE93B5-1A3B-438D-B16B-D77C156553B1}" id="{ACAFE4C2-9D8F-4B53-8CC1-8A2BC17D0CEA}">
    <text>Gypsum+cm mix</text>
  </threadedComment>
  <threadedComment ref="CO111" dT="2026-07-10T11:21:42.30" personId="{3FCE93B5-1A3B-438D-B16B-D77C156553B1}" id="{704E792C-C2FA-4926-AAB9-E895DAE7D4EB}">
    <text>Due to ‘T’ issue shifted FROM B/5 TO B/11</text>
  </threadedComment>
  <threadedComment ref="CY111" dT="2026-07-10T11:21:42.30" personId="{3FCE93B5-1A3B-438D-B16B-D77C156553B1}" id="{57DA944E-572F-4119-9799-AF28E1DAAFD4}">
    <text>Due to ‘T’ issue shifted FROM B/5 TO B/11</text>
  </threadedComment>
  <threadedComment ref="BZ136" dT="2026-07-19T10:27:38.92" personId="{3FCE93B5-1A3B-438D-B16B-D77C156553B1}" id="{6A3D4BEF-595A-4C77-9837-53CCC6A36ECE}">
    <text>TDS Meter not working</text>
  </threadedComment>
  <threadedComment ref="CC136" dT="2026-07-19T10:27:38.92" personId="{3FCE93B5-1A3B-438D-B16B-D77C156553B1}" id="{4F74241C-1B32-4C8E-A5E4-18327A42FAA8}">
    <text>TDS Meter not working</text>
  </threadedComment>
  <threadedComment ref="CF136" dT="2026-07-19T10:27:38.92" personId="{3FCE93B5-1A3B-438D-B16B-D77C156553B1}" id="{2F430944-EA06-4D96-B46C-955C02A70202}">
    <text>TDS Meter not working</text>
  </threadedComment>
  <threadedComment ref="CO152" dT="2026-08-04T10:02:50.61" personId="{3FCE93B5-1A3B-438D-B16B-D77C156553B1}" id="{B0FBFC0F-6DFC-43E6-8E87-DB6142E98797}">
    <text>Shifted to B/11 due to low temperature</text>
  </threadedComment>
  <threadedComment ref="CT164" dT="2026-08-15T06:40:28.54" personId="{3FCE93B5-1A3B-438D-B16B-D77C156553B1}" id="{F3B46980-2A3E-4D45-97D5-502C9ADF6C5F}">
    <text>Nitrogen Machine problem</text>
  </threadedComment>
  <threadedComment ref="CO169" dT="2026-08-14T12:37:04.51" personId="{3FCE93B5-1A3B-438D-B16B-D77C156553B1}" id="{A85843A7-BDE5-46C3-ABFC-8904CE7D44E8}">
    <text>SHIFTED FROM BUNKER 13 TO 6 DUE TO LOW TEMPERATURE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5" dT="2026-07-12T09:49:27.74" personId="{3FCE93B5-1A3B-438D-B16B-D77C156553B1}" id="{A3F0CE63-05E2-4A0E-BC1C-CF6F2F4EF4A8}">
    <text>Remaining 16600mt went out</text>
  </threadedComment>
  <threadedComment ref="A78" dT="2026-06-10T06:34:46.60" personId="{87413E02-0890-4F3E-9886-4D4222BEAD47}" id="{22959DC4-6DA9-4DD2-A380-000DB0FBCB02}">
    <text xml:space="preserve">
TUNNEL LOADING IS ONE TO ONE (B TO T) FROM THIS BATCH</text>
  </threadedComment>
  <threadedComment ref="B78" dT="2026-06-30T07:44:54.83" personId="{87413E02-0890-4F3E-9886-4D4222BEAD47}" id="{6A732B57-9166-4F53-BF25-F196744B4E95}">
    <text>DONE TILL HERE</text>
  </threadedComment>
  <threadedComment ref="B96" dT="2026-06-30T07:59:03.50" personId="{87413E02-0890-4F3E-9886-4D4222BEAD47}" id="{DCDCD193-6D9E-48B3-B9F3-DF31280EF224}">
    <text xml:space="preserve">PARTIAL CHECKING
</text>
  </threadedComment>
  <threadedComment ref="B102" dT="2026-06-10T06:35:56.06" personId="{87413E02-0890-4F3E-9886-4D4222BEAD47}" id="{7A127576-3C09-40CB-8B2A-64F1D44E28B9}">
    <text>INDIVIDUAL BUNKER SAMPLES FOR REPORTS START</text>
  </threadedComment>
  <threadedComment ref="C142" dT="2026-07-10T06:49:28.32" personId="{3FCE93B5-1A3B-438D-B16B-D77C156553B1}" id="{C3223DEC-4EAD-425A-ABA4-40FBE2C851B8}">
    <text>T/10,T/11,T/8- tunnels loaded into 2 tunnels (T/5,T/1)</text>
  </threadedComment>
  <threadedComment ref="D142" dT="2026-07-13T08:25:08.24" personId="{3FCE93B5-1A3B-438D-B16B-D77C156553B1}" id="{001DFA25-7D53-4AAB-AFA3-FCEAB3C841DB}">
    <text>GR 62,GR 31 - T/5</text>
  </threadedComment>
  <threadedComment ref="D144" dT="2026-07-13T08:29:10.42" personId="{3FCE93B5-1A3B-438D-B16B-D77C156553B1}" id="{5616DB16-955A-42EA-9B97-F1E130E9AA48}">
    <text>GR 62, GR 25 - T/1</text>
  </threadedComment>
  <threadedComment ref="E201" dT="2026-07-31T12:57:54.46" personId="{3FCE93B5-1A3B-438D-B16B-D77C156553B1}" id="{0C048DD7-B2B5-4A15-92CA-EA8257BC1823}">
    <text xml:space="preserve">Due to power issue , considered average weight </text>
  </threadedComment>
  <threadedComment ref="E202" dT="2026-07-31T12:58:24.37" personId="{3FCE93B5-1A3B-438D-B16B-D77C156553B1}" id="{6A3A66AF-AA49-47AB-8EC6-6B0238430F84}">
    <text xml:space="preserve">Due to power issue , considered average weight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A1B8-584F-4ED1-A690-0D01345B3C23}">
  <dimension ref="A1:EY237"/>
  <sheetViews>
    <sheetView tabSelected="1" workbookViewId="0">
      <pane xSplit="2" ySplit="6" topLeftCell="CC161" activePane="bottomRight" state="frozen"/>
      <selection pane="topRight" activeCell="F1" sqref="F1"/>
      <selection pane="bottomLeft" activeCell="A7" sqref="A7"/>
      <selection pane="bottomRight" activeCell="CN168" sqref="CN168:CN171"/>
    </sheetView>
  </sheetViews>
  <sheetFormatPr defaultColWidth="10.5703125" defaultRowHeight="14.1" customHeight="1"/>
  <cols>
    <col min="1" max="1" width="10.5703125" style="56"/>
    <col min="2" max="2" width="13" style="416" customWidth="1"/>
    <col min="3" max="3" width="13.85546875" style="56" customWidth="1"/>
    <col min="4" max="99" width="10.5703125" style="56"/>
    <col min="100" max="100" width="9.140625" style="28" bestFit="1" customWidth="1"/>
    <col min="101" max="101" width="11.5703125" style="28" customWidth="1"/>
    <col min="102" max="102" width="8.140625" style="28" customWidth="1"/>
    <col min="103" max="109" width="10.5703125" style="56"/>
    <col min="110" max="110" width="9.140625" style="28" bestFit="1" customWidth="1"/>
    <col min="111" max="111" width="11.42578125" style="28" customWidth="1"/>
    <col min="112" max="112" width="6.5703125" style="28" bestFit="1" customWidth="1"/>
    <col min="113" max="119" width="0" style="56" hidden="1" customWidth="1"/>
    <col min="120" max="120" width="9.140625" style="28" hidden="1" customWidth="1"/>
    <col min="121" max="121" width="11.42578125" style="28" hidden="1" customWidth="1"/>
    <col min="122" max="122" width="6.5703125" style="28" hidden="1" customWidth="1"/>
    <col min="123" max="129" width="10.5703125" style="56"/>
    <col min="130" max="130" width="9.140625" style="28" bestFit="1" customWidth="1"/>
    <col min="131" max="131" width="14.42578125" style="28" customWidth="1"/>
    <col min="132" max="132" width="11.5703125" style="28" customWidth="1"/>
    <col min="133" max="133" width="13.42578125" style="28" customWidth="1"/>
    <col min="134" max="134" width="11.7109375" style="28" bestFit="1" customWidth="1"/>
    <col min="135" max="135" width="15.42578125" style="28" customWidth="1"/>
    <col min="136" max="137" width="12.42578125" style="28" customWidth="1"/>
    <col min="138" max="138" width="13.85546875" style="28" bestFit="1" customWidth="1"/>
    <col min="139" max="140" width="12.42578125" style="28" customWidth="1"/>
    <col min="141" max="141" width="13.28515625" style="28" customWidth="1"/>
    <col min="142" max="142" width="10.5703125" style="417"/>
    <col min="143" max="16384" width="10.5703125" style="56"/>
  </cols>
  <sheetData>
    <row r="1" spans="1:155" s="396" customFormat="1" ht="48" customHeight="1">
      <c r="A1" s="222" t="s">
        <v>310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2"/>
      <c r="CB1" s="222"/>
      <c r="CC1" s="222"/>
      <c r="CD1" s="222"/>
      <c r="CE1" s="222"/>
      <c r="CF1" s="222"/>
      <c r="CG1" s="222"/>
      <c r="CH1" s="222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222"/>
      <c r="CW1" s="222"/>
      <c r="CX1" s="222"/>
      <c r="CY1" s="222"/>
      <c r="CZ1" s="222"/>
      <c r="DA1" s="222"/>
      <c r="DB1" s="222"/>
      <c r="DC1" s="222"/>
      <c r="DD1" s="222"/>
      <c r="DE1" s="222"/>
      <c r="DF1" s="222"/>
      <c r="DG1" s="222"/>
      <c r="DH1" s="222"/>
      <c r="DI1" s="222"/>
      <c r="DJ1" s="222"/>
      <c r="DK1" s="222"/>
      <c r="DL1" s="222"/>
      <c r="DM1" s="222"/>
      <c r="DN1" s="222"/>
      <c r="DO1" s="222"/>
      <c r="DP1" s="222"/>
      <c r="DQ1" s="222"/>
      <c r="DR1" s="222"/>
      <c r="DS1" s="222"/>
      <c r="DT1" s="222"/>
      <c r="DU1" s="222"/>
      <c r="DV1" s="222"/>
      <c r="DW1" s="222"/>
      <c r="DX1" s="222"/>
      <c r="DY1" s="222"/>
      <c r="DZ1" s="222"/>
      <c r="EA1" s="222"/>
      <c r="EB1" s="222"/>
      <c r="EC1" s="222"/>
      <c r="ED1" s="222"/>
      <c r="EE1" s="222"/>
      <c r="EF1" s="222"/>
      <c r="EG1" s="222"/>
      <c r="EH1" s="222"/>
      <c r="EI1" s="222"/>
      <c r="EJ1" s="222"/>
      <c r="EK1" s="222"/>
      <c r="EL1" s="222"/>
      <c r="EM1" s="222"/>
      <c r="EN1" s="222"/>
      <c r="EO1" s="222"/>
      <c r="EP1" s="222"/>
      <c r="EQ1" s="222"/>
      <c r="ER1" s="222"/>
      <c r="ES1" s="222"/>
      <c r="ET1" s="222"/>
      <c r="EU1" s="222"/>
      <c r="EV1" s="222"/>
      <c r="EW1" s="222"/>
      <c r="EX1" s="222"/>
      <c r="EY1" s="222"/>
    </row>
    <row r="2" spans="1:155" ht="17.100000000000001" customHeight="1" thickBot="1">
      <c r="A2" s="73">
        <v>1</v>
      </c>
      <c r="B2" s="1">
        <v>2</v>
      </c>
      <c r="C2" s="74">
        <v>6</v>
      </c>
      <c r="D2" s="1">
        <v>7</v>
      </c>
      <c r="E2" s="1">
        <v>8</v>
      </c>
      <c r="F2" s="1">
        <v>9</v>
      </c>
      <c r="G2" s="1">
        <v>10</v>
      </c>
      <c r="H2" s="1">
        <v>11</v>
      </c>
      <c r="I2" s="1">
        <v>12</v>
      </c>
      <c r="J2" s="1">
        <v>13</v>
      </c>
      <c r="K2" s="1">
        <v>14</v>
      </c>
      <c r="L2" s="1">
        <v>15</v>
      </c>
      <c r="M2" s="1">
        <v>16</v>
      </c>
      <c r="N2" s="1">
        <v>17</v>
      </c>
      <c r="O2" s="1">
        <v>18</v>
      </c>
      <c r="P2" s="1">
        <v>19</v>
      </c>
      <c r="Q2" s="1">
        <v>20</v>
      </c>
      <c r="R2" s="1">
        <v>21</v>
      </c>
      <c r="S2" s="1">
        <v>22</v>
      </c>
      <c r="T2" s="1">
        <v>23</v>
      </c>
      <c r="U2" s="1">
        <v>24</v>
      </c>
      <c r="V2" s="1">
        <v>25</v>
      </c>
      <c r="W2" s="1">
        <v>26</v>
      </c>
      <c r="X2" s="1">
        <v>27</v>
      </c>
      <c r="Y2" s="1">
        <v>28</v>
      </c>
      <c r="Z2" s="1">
        <v>29</v>
      </c>
      <c r="AA2" s="1">
        <v>30</v>
      </c>
      <c r="AB2" s="1">
        <v>31</v>
      </c>
      <c r="AC2" s="1">
        <v>32</v>
      </c>
      <c r="AD2" s="1">
        <v>33</v>
      </c>
      <c r="AE2" s="1">
        <v>34</v>
      </c>
      <c r="AF2" s="1">
        <v>35</v>
      </c>
      <c r="AG2" s="1">
        <v>36</v>
      </c>
      <c r="AH2" s="1">
        <v>37</v>
      </c>
      <c r="AI2" s="1">
        <v>38</v>
      </c>
      <c r="AJ2" s="1">
        <v>39</v>
      </c>
      <c r="AK2" s="1">
        <v>40</v>
      </c>
      <c r="AL2" s="1">
        <v>41</v>
      </c>
      <c r="AM2" s="1">
        <v>42</v>
      </c>
      <c r="AN2" s="1">
        <v>43</v>
      </c>
      <c r="AO2" s="1">
        <v>44</v>
      </c>
      <c r="AP2" s="1">
        <v>45</v>
      </c>
      <c r="AQ2" s="1">
        <v>46</v>
      </c>
      <c r="AR2" s="1">
        <v>47</v>
      </c>
      <c r="AS2" s="1">
        <v>48</v>
      </c>
      <c r="AT2" s="1">
        <v>49</v>
      </c>
      <c r="AU2" s="1">
        <v>50</v>
      </c>
      <c r="AV2" s="1">
        <v>51</v>
      </c>
      <c r="AW2" s="1">
        <v>52</v>
      </c>
      <c r="AX2" s="1">
        <v>53</v>
      </c>
      <c r="AY2" s="1">
        <v>54</v>
      </c>
      <c r="AZ2" s="1">
        <v>55</v>
      </c>
      <c r="BA2" s="1">
        <v>56</v>
      </c>
      <c r="BB2" s="1">
        <v>57</v>
      </c>
      <c r="BC2" s="1">
        <v>58</v>
      </c>
      <c r="BD2" s="1">
        <v>59</v>
      </c>
      <c r="BE2" s="1">
        <v>60</v>
      </c>
      <c r="BF2" s="1">
        <v>61</v>
      </c>
      <c r="BG2" s="1">
        <v>62</v>
      </c>
      <c r="BH2" s="1">
        <v>63</v>
      </c>
      <c r="BI2" s="1">
        <v>64</v>
      </c>
      <c r="BJ2" s="1">
        <v>65</v>
      </c>
      <c r="BK2" s="1">
        <v>66</v>
      </c>
      <c r="BL2" s="1">
        <v>67</v>
      </c>
      <c r="BM2" s="1">
        <v>68</v>
      </c>
      <c r="BN2" s="1">
        <v>69</v>
      </c>
      <c r="BO2" s="1">
        <v>70</v>
      </c>
      <c r="BP2" s="1">
        <v>71</v>
      </c>
      <c r="BQ2" s="1">
        <v>72</v>
      </c>
      <c r="BR2" s="1">
        <v>73</v>
      </c>
      <c r="BS2" s="1">
        <v>74</v>
      </c>
      <c r="BT2" s="1">
        <v>75</v>
      </c>
      <c r="BU2" s="1">
        <v>76</v>
      </c>
      <c r="BV2" s="1">
        <v>77</v>
      </c>
      <c r="BW2" s="1">
        <v>78</v>
      </c>
      <c r="BX2" s="1">
        <v>79</v>
      </c>
      <c r="BY2" s="1">
        <v>80</v>
      </c>
      <c r="BZ2" s="1">
        <v>81</v>
      </c>
      <c r="CA2" s="1">
        <v>82</v>
      </c>
      <c r="CB2" s="1">
        <v>83</v>
      </c>
      <c r="CC2" s="1">
        <v>84</v>
      </c>
      <c r="CD2" s="1">
        <v>85</v>
      </c>
      <c r="CE2" s="1">
        <v>86</v>
      </c>
      <c r="CF2" s="1">
        <v>87</v>
      </c>
      <c r="CG2" s="1">
        <v>88</v>
      </c>
      <c r="CH2" s="1">
        <v>89</v>
      </c>
      <c r="CI2" s="1">
        <v>90</v>
      </c>
      <c r="CJ2" s="1">
        <v>91</v>
      </c>
      <c r="CK2" s="1">
        <v>92</v>
      </c>
      <c r="CL2" s="1">
        <v>93</v>
      </c>
      <c r="CM2" s="1">
        <v>94</v>
      </c>
      <c r="CN2" s="1">
        <v>95</v>
      </c>
      <c r="CO2" s="1">
        <v>96</v>
      </c>
      <c r="CP2" s="1">
        <v>97</v>
      </c>
      <c r="CQ2" s="1">
        <v>98</v>
      </c>
      <c r="CR2" s="1">
        <v>99</v>
      </c>
      <c r="CS2" s="1">
        <v>100</v>
      </c>
      <c r="CT2" s="1">
        <v>101</v>
      </c>
      <c r="CU2" s="1">
        <v>102</v>
      </c>
      <c r="CV2" s="1">
        <v>103</v>
      </c>
      <c r="CW2" s="1">
        <v>104</v>
      </c>
      <c r="CX2" s="1">
        <v>105</v>
      </c>
      <c r="CY2" s="1">
        <v>106</v>
      </c>
      <c r="CZ2" s="1">
        <v>107</v>
      </c>
      <c r="DA2" s="1">
        <v>108</v>
      </c>
      <c r="DB2" s="1">
        <v>109</v>
      </c>
      <c r="DC2" s="1">
        <v>110</v>
      </c>
      <c r="DD2" s="1">
        <v>111</v>
      </c>
      <c r="DE2" s="1">
        <v>112</v>
      </c>
      <c r="DF2" s="1">
        <v>113</v>
      </c>
      <c r="DG2" s="1">
        <v>114</v>
      </c>
      <c r="DH2" s="1">
        <v>115</v>
      </c>
      <c r="DI2" s="1">
        <v>116</v>
      </c>
      <c r="DJ2" s="1">
        <v>117</v>
      </c>
      <c r="DK2" s="1">
        <v>118</v>
      </c>
      <c r="DL2" s="1">
        <v>119</v>
      </c>
      <c r="DM2" s="1">
        <v>120</v>
      </c>
      <c r="DN2" s="1">
        <v>121</v>
      </c>
      <c r="DO2" s="1">
        <v>122</v>
      </c>
      <c r="DP2" s="1">
        <v>123</v>
      </c>
      <c r="DQ2" s="1">
        <v>124</v>
      </c>
      <c r="DR2" s="1">
        <v>125</v>
      </c>
      <c r="DS2" s="1">
        <v>126</v>
      </c>
      <c r="DT2" s="1">
        <v>127</v>
      </c>
      <c r="DU2" s="1">
        <v>128</v>
      </c>
      <c r="DV2" s="1">
        <v>129</v>
      </c>
      <c r="DW2" s="1">
        <v>130</v>
      </c>
      <c r="DX2" s="1">
        <v>131</v>
      </c>
      <c r="DY2" s="1">
        <v>132</v>
      </c>
      <c r="DZ2" s="1">
        <v>133</v>
      </c>
      <c r="EA2" s="1">
        <v>134</v>
      </c>
      <c r="EB2" s="1">
        <v>135</v>
      </c>
      <c r="EC2" s="1">
        <v>136</v>
      </c>
      <c r="ED2" s="1">
        <v>137</v>
      </c>
      <c r="EE2" s="1">
        <v>138</v>
      </c>
      <c r="EF2" s="1">
        <v>139</v>
      </c>
      <c r="EG2" s="1">
        <v>140</v>
      </c>
      <c r="EH2" s="1">
        <v>141</v>
      </c>
      <c r="EI2" s="1">
        <v>142</v>
      </c>
      <c r="EJ2" s="1">
        <v>143</v>
      </c>
      <c r="EK2" s="1">
        <v>144</v>
      </c>
      <c r="EL2" s="55">
        <v>145</v>
      </c>
      <c r="EM2" s="1">
        <v>146</v>
      </c>
      <c r="EN2" s="1">
        <v>147</v>
      </c>
      <c r="EO2" s="1">
        <v>148</v>
      </c>
      <c r="EP2" s="1">
        <v>149</v>
      </c>
      <c r="EQ2" s="1">
        <v>150</v>
      </c>
      <c r="ER2" s="1">
        <v>151</v>
      </c>
      <c r="ES2" s="1">
        <v>152</v>
      </c>
      <c r="ET2" s="1">
        <v>153</v>
      </c>
      <c r="EU2" s="1">
        <v>154</v>
      </c>
      <c r="EV2" s="1">
        <v>155</v>
      </c>
      <c r="EW2" s="1">
        <v>156</v>
      </c>
      <c r="EX2" s="1">
        <v>157</v>
      </c>
      <c r="EY2" s="1">
        <v>158</v>
      </c>
    </row>
    <row r="3" spans="1:155" ht="17.100000000000001" customHeight="1">
      <c r="A3" s="223" t="s">
        <v>0</v>
      </c>
      <c r="B3" s="226" t="s">
        <v>1</v>
      </c>
      <c r="C3" s="198" t="s">
        <v>2</v>
      </c>
      <c r="D3" s="229" t="s">
        <v>3</v>
      </c>
      <c r="E3" s="230"/>
      <c r="F3" s="230"/>
      <c r="G3" s="231"/>
      <c r="H3" s="229" t="s">
        <v>4</v>
      </c>
      <c r="I3" s="230"/>
      <c r="J3" s="230"/>
      <c r="K3" s="230"/>
      <c r="L3" s="230"/>
      <c r="M3" s="230"/>
      <c r="N3" s="230"/>
      <c r="O3" s="230"/>
      <c r="P3" s="230"/>
      <c r="Q3" s="231"/>
      <c r="R3" s="229" t="s">
        <v>5</v>
      </c>
      <c r="S3" s="230"/>
      <c r="T3" s="230"/>
      <c r="U3" s="230"/>
      <c r="V3" s="230"/>
      <c r="W3" s="230"/>
      <c r="X3" s="231"/>
      <c r="Y3" s="229" t="s">
        <v>6</v>
      </c>
      <c r="Z3" s="230"/>
      <c r="AA3" s="230"/>
      <c r="AB3" s="230"/>
      <c r="AC3" s="230"/>
      <c r="AD3" s="230"/>
      <c r="AE3" s="231"/>
      <c r="AF3" s="229" t="s">
        <v>7</v>
      </c>
      <c r="AG3" s="230"/>
      <c r="AH3" s="230"/>
      <c r="AI3" s="230"/>
      <c r="AJ3" s="230"/>
      <c r="AK3" s="230"/>
      <c r="AL3" s="231"/>
      <c r="AM3" s="229" t="s">
        <v>8</v>
      </c>
      <c r="AN3" s="230"/>
      <c r="AO3" s="230"/>
      <c r="AP3" s="230"/>
      <c r="AQ3" s="230"/>
      <c r="AR3" s="230"/>
      <c r="AS3" s="231"/>
      <c r="AT3" s="229" t="s">
        <v>9</v>
      </c>
      <c r="AU3" s="230"/>
      <c r="AV3" s="230"/>
      <c r="AW3" s="230"/>
      <c r="AX3" s="230"/>
      <c r="AY3" s="230"/>
      <c r="AZ3" s="231"/>
      <c r="BA3" s="229" t="s">
        <v>10</v>
      </c>
      <c r="BB3" s="230"/>
      <c r="BC3" s="230"/>
      <c r="BD3" s="230"/>
      <c r="BE3" s="230"/>
      <c r="BF3" s="230"/>
      <c r="BG3" s="231"/>
      <c r="BH3" s="229" t="s">
        <v>11</v>
      </c>
      <c r="BI3" s="230"/>
      <c r="BJ3" s="230"/>
      <c r="BK3" s="230"/>
      <c r="BL3" s="230"/>
      <c r="BM3" s="230"/>
      <c r="BN3" s="231"/>
      <c r="BO3" s="258" t="s">
        <v>12</v>
      </c>
      <c r="BP3" s="259"/>
      <c r="BQ3" s="259"/>
      <c r="BR3" s="259"/>
      <c r="BS3" s="259"/>
      <c r="BT3" s="260"/>
      <c r="BU3" s="261" t="s">
        <v>13</v>
      </c>
      <c r="BV3" s="262"/>
      <c r="BW3" s="262"/>
      <c r="BX3" s="262"/>
      <c r="BY3" s="262"/>
      <c r="BZ3" s="262"/>
      <c r="CA3" s="262"/>
      <c r="CB3" s="262"/>
      <c r="CC3" s="262"/>
      <c r="CD3" s="262"/>
      <c r="CE3" s="262"/>
      <c r="CF3" s="262"/>
      <c r="CG3" s="262"/>
      <c r="CH3" s="262"/>
      <c r="CI3" s="262"/>
      <c r="CJ3" s="262"/>
      <c r="CK3" s="262"/>
      <c r="CL3" s="263"/>
      <c r="CM3" s="2"/>
      <c r="CN3" s="2"/>
      <c r="CO3" s="264" t="s">
        <v>14</v>
      </c>
      <c r="CP3" s="265"/>
      <c r="CQ3" s="265"/>
      <c r="CR3" s="265"/>
      <c r="CS3" s="265"/>
      <c r="CT3" s="265"/>
      <c r="CU3" s="265"/>
      <c r="CV3" s="266"/>
      <c r="CW3" s="266"/>
      <c r="CX3" s="266"/>
      <c r="CY3" s="265"/>
      <c r="CZ3" s="265"/>
      <c r="DA3" s="265"/>
      <c r="DB3" s="265"/>
      <c r="DC3" s="265"/>
      <c r="DD3" s="265"/>
      <c r="DE3" s="265"/>
      <c r="DF3" s="265"/>
      <c r="DG3" s="265"/>
      <c r="DH3" s="265"/>
      <c r="DI3" s="265"/>
      <c r="DJ3" s="265"/>
      <c r="DK3" s="265"/>
      <c r="DL3" s="265"/>
      <c r="DM3" s="265"/>
      <c r="DN3" s="265"/>
      <c r="DO3" s="265"/>
      <c r="DP3" s="3"/>
      <c r="DQ3" s="3"/>
      <c r="DR3" s="3"/>
      <c r="DS3" s="249" t="s">
        <v>15</v>
      </c>
      <c r="DT3" s="250"/>
      <c r="DU3" s="250"/>
      <c r="DV3" s="250"/>
      <c r="DW3" s="250"/>
      <c r="DX3" s="250"/>
      <c r="DY3" s="250"/>
      <c r="DZ3" s="250"/>
      <c r="EA3" s="250"/>
      <c r="EB3" s="250"/>
      <c r="EC3" s="250"/>
      <c r="ED3" s="250"/>
      <c r="EE3" s="250"/>
      <c r="EF3" s="250"/>
      <c r="EG3" s="250"/>
      <c r="EH3" s="250"/>
      <c r="EI3" s="250"/>
      <c r="EJ3" s="250"/>
      <c r="EK3" s="250"/>
      <c r="EL3" s="251"/>
      <c r="EM3" s="251"/>
      <c r="EN3" s="251"/>
      <c r="EO3" s="251"/>
      <c r="EP3" s="251"/>
      <c r="EQ3" s="251"/>
      <c r="ER3" s="251"/>
      <c r="ES3" s="251"/>
      <c r="ET3" s="251"/>
      <c r="EU3" s="251"/>
      <c r="EV3" s="251"/>
      <c r="EW3" s="251"/>
      <c r="EX3" s="251"/>
      <c r="EY3" s="251"/>
    </row>
    <row r="4" spans="1:155" ht="17.100000000000001" customHeight="1" thickBot="1">
      <c r="A4" s="224"/>
      <c r="B4" s="227"/>
      <c r="C4" s="199"/>
      <c r="D4" s="232"/>
      <c r="E4" s="233"/>
      <c r="F4" s="233"/>
      <c r="G4" s="234"/>
      <c r="H4" s="235"/>
      <c r="I4" s="236"/>
      <c r="J4" s="236"/>
      <c r="K4" s="236"/>
      <c r="L4" s="236"/>
      <c r="M4" s="236"/>
      <c r="N4" s="236"/>
      <c r="O4" s="236"/>
      <c r="P4" s="236"/>
      <c r="Q4" s="237"/>
      <c r="R4" s="235"/>
      <c r="S4" s="236"/>
      <c r="T4" s="236"/>
      <c r="U4" s="236"/>
      <c r="V4" s="236"/>
      <c r="W4" s="236"/>
      <c r="X4" s="237"/>
      <c r="Y4" s="235"/>
      <c r="Z4" s="236"/>
      <c r="AA4" s="236"/>
      <c r="AB4" s="236"/>
      <c r="AC4" s="236"/>
      <c r="AD4" s="236"/>
      <c r="AE4" s="237"/>
      <c r="AF4" s="235"/>
      <c r="AG4" s="236"/>
      <c r="AH4" s="236"/>
      <c r="AI4" s="236"/>
      <c r="AJ4" s="236"/>
      <c r="AK4" s="236"/>
      <c r="AL4" s="237"/>
      <c r="AM4" s="235"/>
      <c r="AN4" s="236"/>
      <c r="AO4" s="236"/>
      <c r="AP4" s="236"/>
      <c r="AQ4" s="236"/>
      <c r="AR4" s="236"/>
      <c r="AS4" s="237"/>
      <c r="AT4" s="235"/>
      <c r="AU4" s="236"/>
      <c r="AV4" s="236"/>
      <c r="AW4" s="236"/>
      <c r="AX4" s="236"/>
      <c r="AY4" s="236"/>
      <c r="AZ4" s="237"/>
      <c r="BA4" s="235"/>
      <c r="BB4" s="236"/>
      <c r="BC4" s="236"/>
      <c r="BD4" s="236"/>
      <c r="BE4" s="236"/>
      <c r="BF4" s="236"/>
      <c r="BG4" s="237"/>
      <c r="BH4" s="235"/>
      <c r="BI4" s="236"/>
      <c r="BJ4" s="236"/>
      <c r="BK4" s="236"/>
      <c r="BL4" s="236"/>
      <c r="BM4" s="236"/>
      <c r="BN4" s="237"/>
      <c r="BO4" s="252" t="s">
        <v>16</v>
      </c>
      <c r="BP4" s="253"/>
      <c r="BQ4" s="254"/>
      <c r="BR4" s="252" t="s">
        <v>17</v>
      </c>
      <c r="BS4" s="253"/>
      <c r="BT4" s="254"/>
      <c r="BU4" s="255" t="s">
        <v>18</v>
      </c>
      <c r="BV4" s="256"/>
      <c r="BW4" s="257"/>
      <c r="BX4" s="255" t="s">
        <v>19</v>
      </c>
      <c r="BY4" s="256"/>
      <c r="BZ4" s="257"/>
      <c r="CA4" s="255" t="s">
        <v>20</v>
      </c>
      <c r="CB4" s="256"/>
      <c r="CC4" s="257"/>
      <c r="CD4" s="255" t="s">
        <v>21</v>
      </c>
      <c r="CE4" s="256"/>
      <c r="CF4" s="257"/>
      <c r="CG4" s="255" t="s">
        <v>22</v>
      </c>
      <c r="CH4" s="256"/>
      <c r="CI4" s="257"/>
      <c r="CJ4" s="255" t="s">
        <v>23</v>
      </c>
      <c r="CK4" s="256"/>
      <c r="CL4" s="257"/>
      <c r="CM4" s="4" t="s">
        <v>24</v>
      </c>
      <c r="CN4" s="4" t="s">
        <v>25</v>
      </c>
      <c r="CO4" s="267" t="s">
        <v>26</v>
      </c>
      <c r="CP4" s="268"/>
      <c r="CQ4" s="268"/>
      <c r="CR4" s="268"/>
      <c r="CS4" s="268"/>
      <c r="CT4" s="268"/>
      <c r="CU4" s="268"/>
      <c r="CV4" s="268"/>
      <c r="CW4" s="268"/>
      <c r="CX4" s="269"/>
      <c r="CY4" s="5"/>
      <c r="CZ4" s="267" t="s">
        <v>27</v>
      </c>
      <c r="DA4" s="268"/>
      <c r="DB4" s="268"/>
      <c r="DC4" s="268"/>
      <c r="DD4" s="268"/>
      <c r="DE4" s="268"/>
      <c r="DF4" s="268"/>
      <c r="DG4" s="268"/>
      <c r="DH4" s="269"/>
      <c r="DI4" s="5"/>
      <c r="DJ4" s="267" t="s">
        <v>28</v>
      </c>
      <c r="DK4" s="268"/>
      <c r="DL4" s="268"/>
      <c r="DM4" s="268"/>
      <c r="DN4" s="268"/>
      <c r="DO4" s="268"/>
      <c r="DP4" s="268"/>
      <c r="DQ4" s="268"/>
      <c r="DR4" s="268"/>
      <c r="DS4" s="238" t="s">
        <v>29</v>
      </c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40"/>
      <c r="EL4" s="241" t="s">
        <v>30</v>
      </c>
      <c r="EM4" s="242"/>
      <c r="EN4" s="242"/>
      <c r="EO4" s="242"/>
      <c r="EP4" s="242"/>
      <c r="EQ4" s="242"/>
      <c r="ER4" s="242"/>
      <c r="ES4" s="243"/>
      <c r="ET4" s="241" t="s">
        <v>31</v>
      </c>
      <c r="EU4" s="242"/>
      <c r="EV4" s="242"/>
      <c r="EW4" s="242"/>
      <c r="EX4" s="242"/>
      <c r="EY4" s="242"/>
    </row>
    <row r="5" spans="1:155" ht="51.6" customHeight="1">
      <c r="A5" s="224"/>
      <c r="B5" s="227"/>
      <c r="C5" s="199"/>
      <c r="D5" s="244" t="s">
        <v>32</v>
      </c>
      <c r="E5" s="244" t="s">
        <v>33</v>
      </c>
      <c r="F5" s="244" t="s">
        <v>34</v>
      </c>
      <c r="G5" s="244" t="s">
        <v>35</v>
      </c>
      <c r="H5" s="246" t="s">
        <v>36</v>
      </c>
      <c r="I5" s="246" t="s">
        <v>37</v>
      </c>
      <c r="J5" s="248" t="s">
        <v>33</v>
      </c>
      <c r="K5" s="248" t="s">
        <v>38</v>
      </c>
      <c r="L5" s="248" t="s">
        <v>39</v>
      </c>
      <c r="M5" s="246" t="s">
        <v>40</v>
      </c>
      <c r="N5" s="248" t="s">
        <v>41</v>
      </c>
      <c r="O5" s="246" t="s">
        <v>42</v>
      </c>
      <c r="P5" s="246" t="s">
        <v>43</v>
      </c>
      <c r="Q5" s="246" t="s">
        <v>44</v>
      </c>
      <c r="R5" s="246" t="s">
        <v>36</v>
      </c>
      <c r="S5" s="246" t="s">
        <v>37</v>
      </c>
      <c r="T5" s="248" t="s">
        <v>33</v>
      </c>
      <c r="U5" s="248" t="s">
        <v>38</v>
      </c>
      <c r="V5" s="248" t="s">
        <v>39</v>
      </c>
      <c r="W5" s="246" t="s">
        <v>40</v>
      </c>
      <c r="X5" s="246" t="s">
        <v>42</v>
      </c>
      <c r="Y5" s="246" t="s">
        <v>36</v>
      </c>
      <c r="Z5" s="246" t="s">
        <v>37</v>
      </c>
      <c r="AA5" s="248" t="s">
        <v>33</v>
      </c>
      <c r="AB5" s="248" t="s">
        <v>38</v>
      </c>
      <c r="AC5" s="248" t="s">
        <v>39</v>
      </c>
      <c r="AD5" s="246" t="s">
        <v>40</v>
      </c>
      <c r="AE5" s="246" t="s">
        <v>42</v>
      </c>
      <c r="AF5" s="271" t="s">
        <v>36</v>
      </c>
      <c r="AG5" s="246" t="s">
        <v>37</v>
      </c>
      <c r="AH5" s="248" t="s">
        <v>33</v>
      </c>
      <c r="AI5" s="248" t="s">
        <v>38</v>
      </c>
      <c r="AJ5" s="248" t="s">
        <v>39</v>
      </c>
      <c r="AK5" s="246" t="s">
        <v>40</v>
      </c>
      <c r="AL5" s="246" t="s">
        <v>41</v>
      </c>
      <c r="AM5" s="246" t="s">
        <v>36</v>
      </c>
      <c r="AN5" s="246" t="s">
        <v>37</v>
      </c>
      <c r="AO5" s="248" t="s">
        <v>33</v>
      </c>
      <c r="AP5" s="248" t="s">
        <v>38</v>
      </c>
      <c r="AQ5" s="248" t="s">
        <v>39</v>
      </c>
      <c r="AR5" s="246" t="s">
        <v>40</v>
      </c>
      <c r="AS5" s="246" t="s">
        <v>41</v>
      </c>
      <c r="AT5" s="246" t="s">
        <v>36</v>
      </c>
      <c r="AU5" s="246" t="s">
        <v>37</v>
      </c>
      <c r="AV5" s="248" t="s">
        <v>33</v>
      </c>
      <c r="AW5" s="248" t="s">
        <v>38</v>
      </c>
      <c r="AX5" s="248" t="s">
        <v>39</v>
      </c>
      <c r="AY5" s="246" t="s">
        <v>40</v>
      </c>
      <c r="AZ5" s="246" t="s">
        <v>41</v>
      </c>
      <c r="BA5" s="246" t="s">
        <v>36</v>
      </c>
      <c r="BB5" s="246" t="s">
        <v>37</v>
      </c>
      <c r="BC5" s="248" t="s">
        <v>33</v>
      </c>
      <c r="BD5" s="248" t="s">
        <v>38</v>
      </c>
      <c r="BE5" s="248" t="s">
        <v>39</v>
      </c>
      <c r="BF5" s="246" t="s">
        <v>40</v>
      </c>
      <c r="BG5" s="246" t="s">
        <v>41</v>
      </c>
      <c r="BH5" s="246" t="s">
        <v>45</v>
      </c>
      <c r="BI5" s="246" t="s">
        <v>46</v>
      </c>
      <c r="BJ5" s="248" t="s">
        <v>47</v>
      </c>
      <c r="BK5" s="248" t="s">
        <v>6</v>
      </c>
      <c r="BL5" s="248" t="s">
        <v>48</v>
      </c>
      <c r="BM5" s="246" t="s">
        <v>49</v>
      </c>
      <c r="BN5" s="246" t="s">
        <v>50</v>
      </c>
      <c r="BO5" s="195" t="s">
        <v>51</v>
      </c>
      <c r="BP5" s="195" t="s">
        <v>52</v>
      </c>
      <c r="BQ5" s="195" t="s">
        <v>53</v>
      </c>
      <c r="BR5" s="195" t="s">
        <v>51</v>
      </c>
      <c r="BS5" s="195" t="s">
        <v>52</v>
      </c>
      <c r="BT5" s="195" t="s">
        <v>53</v>
      </c>
      <c r="BU5" s="192" t="s">
        <v>53</v>
      </c>
      <c r="BV5" s="192" t="s">
        <v>54</v>
      </c>
      <c r="BW5" s="192" t="s">
        <v>55</v>
      </c>
      <c r="BX5" s="192" t="s">
        <v>53</v>
      </c>
      <c r="BY5" s="192" t="s">
        <v>52</v>
      </c>
      <c r="BZ5" s="192" t="s">
        <v>55</v>
      </c>
      <c r="CA5" s="192" t="s">
        <v>53</v>
      </c>
      <c r="CB5" s="192" t="s">
        <v>52</v>
      </c>
      <c r="CC5" s="192" t="s">
        <v>55</v>
      </c>
      <c r="CD5" s="192" t="s">
        <v>53</v>
      </c>
      <c r="CE5" s="192" t="s">
        <v>52</v>
      </c>
      <c r="CF5" s="192" t="s">
        <v>55</v>
      </c>
      <c r="CG5" s="192" t="s">
        <v>53</v>
      </c>
      <c r="CH5" s="192" t="s">
        <v>52</v>
      </c>
      <c r="CI5" s="192" t="s">
        <v>55</v>
      </c>
      <c r="CJ5" s="192" t="s">
        <v>53</v>
      </c>
      <c r="CK5" s="192" t="s">
        <v>52</v>
      </c>
      <c r="CL5" s="192" t="s">
        <v>55</v>
      </c>
      <c r="CM5" s="204" t="s">
        <v>56</v>
      </c>
      <c r="CN5" s="204" t="s">
        <v>56</v>
      </c>
      <c r="CO5" s="280" t="s">
        <v>57</v>
      </c>
      <c r="CP5" s="273" t="s">
        <v>53</v>
      </c>
      <c r="CQ5" s="273" t="s">
        <v>52</v>
      </c>
      <c r="CR5" s="275" t="s">
        <v>51</v>
      </c>
      <c r="CS5" s="273" t="s">
        <v>8</v>
      </c>
      <c r="CT5" s="273" t="s">
        <v>58</v>
      </c>
      <c r="CU5" s="277" t="s">
        <v>59</v>
      </c>
      <c r="CV5" s="279" t="s">
        <v>60</v>
      </c>
      <c r="CW5" s="283" t="s">
        <v>61</v>
      </c>
      <c r="CX5" s="283" t="s">
        <v>62</v>
      </c>
      <c r="CY5" s="280" t="s">
        <v>57</v>
      </c>
      <c r="CZ5" s="273" t="s">
        <v>53</v>
      </c>
      <c r="DA5" s="273" t="s">
        <v>52</v>
      </c>
      <c r="DB5" s="275" t="s">
        <v>51</v>
      </c>
      <c r="DC5" s="273" t="s">
        <v>8</v>
      </c>
      <c r="DD5" s="273" t="s">
        <v>58</v>
      </c>
      <c r="DE5" s="277" t="s">
        <v>59</v>
      </c>
      <c r="DF5" s="279" t="s">
        <v>60</v>
      </c>
      <c r="DG5" s="283" t="s">
        <v>61</v>
      </c>
      <c r="DH5" s="283" t="s">
        <v>62</v>
      </c>
      <c r="DI5" s="280" t="s">
        <v>57</v>
      </c>
      <c r="DJ5" s="273" t="s">
        <v>53</v>
      </c>
      <c r="DK5" s="273" t="s">
        <v>52</v>
      </c>
      <c r="DL5" s="275" t="s">
        <v>51</v>
      </c>
      <c r="DM5" s="273" t="s">
        <v>8</v>
      </c>
      <c r="DN5" s="273" t="s">
        <v>58</v>
      </c>
      <c r="DO5" s="277" t="s">
        <v>59</v>
      </c>
      <c r="DP5" s="279" t="s">
        <v>60</v>
      </c>
      <c r="DQ5" s="283" t="s">
        <v>61</v>
      </c>
      <c r="DR5" s="283" t="s">
        <v>62</v>
      </c>
      <c r="DS5" s="280" t="s">
        <v>63</v>
      </c>
      <c r="DT5" s="295" t="s">
        <v>53</v>
      </c>
      <c r="DU5" s="295" t="s">
        <v>52</v>
      </c>
      <c r="DV5" s="297" t="s">
        <v>51</v>
      </c>
      <c r="DW5" s="295" t="s">
        <v>8</v>
      </c>
      <c r="DX5" s="295" t="s">
        <v>58</v>
      </c>
      <c r="DY5" s="252" t="s">
        <v>64</v>
      </c>
      <c r="DZ5" s="291" t="s">
        <v>60</v>
      </c>
      <c r="EA5" s="290" t="s">
        <v>65</v>
      </c>
      <c r="EB5" s="291"/>
      <c r="EC5" s="292" t="s">
        <v>66</v>
      </c>
      <c r="ED5" s="292"/>
      <c r="EE5" s="292" t="s">
        <v>67</v>
      </c>
      <c r="EF5" s="292" t="s">
        <v>68</v>
      </c>
      <c r="EG5" s="292"/>
      <c r="EH5" s="292" t="s">
        <v>69</v>
      </c>
      <c r="EI5" s="292" t="s">
        <v>70</v>
      </c>
      <c r="EJ5" s="292"/>
      <c r="EK5" s="292" t="s">
        <v>71</v>
      </c>
      <c r="EL5" s="329" t="s">
        <v>72</v>
      </c>
      <c r="EM5" s="331" t="s">
        <v>73</v>
      </c>
      <c r="EN5" s="286" t="s">
        <v>74</v>
      </c>
      <c r="EO5" s="286" t="s">
        <v>52</v>
      </c>
      <c r="EP5" s="288" t="s">
        <v>51</v>
      </c>
      <c r="EQ5" s="286" t="s">
        <v>8</v>
      </c>
      <c r="ER5" s="286" t="s">
        <v>75</v>
      </c>
      <c r="ES5" s="325" t="s">
        <v>76</v>
      </c>
      <c r="ET5" s="327" t="s">
        <v>77</v>
      </c>
      <c r="EU5" s="327" t="s">
        <v>78</v>
      </c>
      <c r="EV5" s="327" t="s">
        <v>79</v>
      </c>
      <c r="EW5" s="311" t="s">
        <v>80</v>
      </c>
      <c r="EX5" s="313" t="s">
        <v>81</v>
      </c>
      <c r="EY5" s="313" t="s">
        <v>82</v>
      </c>
    </row>
    <row r="6" spans="1:155" ht="32.450000000000003" customHeight="1" thickBot="1">
      <c r="A6" s="225"/>
      <c r="B6" s="228"/>
      <c r="C6" s="200"/>
      <c r="D6" s="245"/>
      <c r="E6" s="245"/>
      <c r="F6" s="245"/>
      <c r="G6" s="245"/>
      <c r="H6" s="247" t="s">
        <v>83</v>
      </c>
      <c r="I6" s="247" t="s">
        <v>84</v>
      </c>
      <c r="J6" s="247" t="s">
        <v>33</v>
      </c>
      <c r="K6" s="247" t="s">
        <v>38</v>
      </c>
      <c r="L6" s="247" t="s">
        <v>39</v>
      </c>
      <c r="M6" s="247" t="s">
        <v>85</v>
      </c>
      <c r="N6" s="247" t="s">
        <v>41</v>
      </c>
      <c r="O6" s="247" t="s">
        <v>86</v>
      </c>
      <c r="P6" s="270"/>
      <c r="Q6" s="270"/>
      <c r="R6" s="247" t="s">
        <v>83</v>
      </c>
      <c r="S6" s="247" t="s">
        <v>84</v>
      </c>
      <c r="T6" s="247" t="s">
        <v>33</v>
      </c>
      <c r="U6" s="247" t="s">
        <v>38</v>
      </c>
      <c r="V6" s="247" t="s">
        <v>39</v>
      </c>
      <c r="W6" s="247" t="s">
        <v>85</v>
      </c>
      <c r="X6" s="247" t="s">
        <v>86</v>
      </c>
      <c r="Y6" s="247" t="s">
        <v>83</v>
      </c>
      <c r="Z6" s="247" t="s">
        <v>84</v>
      </c>
      <c r="AA6" s="247" t="s">
        <v>33</v>
      </c>
      <c r="AB6" s="247" t="s">
        <v>38</v>
      </c>
      <c r="AC6" s="247" t="s">
        <v>39</v>
      </c>
      <c r="AD6" s="247" t="s">
        <v>85</v>
      </c>
      <c r="AE6" s="247" t="s">
        <v>86</v>
      </c>
      <c r="AF6" s="272" t="s">
        <v>83</v>
      </c>
      <c r="AG6" s="270"/>
      <c r="AH6" s="247"/>
      <c r="AI6" s="247" t="s">
        <v>38</v>
      </c>
      <c r="AJ6" s="247" t="s">
        <v>39</v>
      </c>
      <c r="AK6" s="247" t="s">
        <v>85</v>
      </c>
      <c r="AL6" s="247" t="s">
        <v>86</v>
      </c>
      <c r="AM6" s="247" t="s">
        <v>83</v>
      </c>
      <c r="AN6" s="247" t="s">
        <v>84</v>
      </c>
      <c r="AO6" s="247" t="s">
        <v>33</v>
      </c>
      <c r="AP6" s="247" t="s">
        <v>38</v>
      </c>
      <c r="AQ6" s="247" t="s">
        <v>39</v>
      </c>
      <c r="AR6" s="247" t="s">
        <v>85</v>
      </c>
      <c r="AS6" s="247" t="s">
        <v>86</v>
      </c>
      <c r="AT6" s="247" t="s">
        <v>83</v>
      </c>
      <c r="AU6" s="247" t="s">
        <v>84</v>
      </c>
      <c r="AV6" s="247" t="s">
        <v>33</v>
      </c>
      <c r="AW6" s="247" t="s">
        <v>38</v>
      </c>
      <c r="AX6" s="247" t="s">
        <v>39</v>
      </c>
      <c r="AY6" s="247" t="s">
        <v>85</v>
      </c>
      <c r="AZ6" s="247" t="s">
        <v>86</v>
      </c>
      <c r="BA6" s="247" t="s">
        <v>83</v>
      </c>
      <c r="BB6" s="247" t="s">
        <v>84</v>
      </c>
      <c r="BC6" s="247" t="s">
        <v>33</v>
      </c>
      <c r="BD6" s="247" t="s">
        <v>38</v>
      </c>
      <c r="BE6" s="247" t="s">
        <v>39</v>
      </c>
      <c r="BF6" s="247" t="s">
        <v>85</v>
      </c>
      <c r="BG6" s="247" t="s">
        <v>86</v>
      </c>
      <c r="BH6" s="247" t="s">
        <v>83</v>
      </c>
      <c r="BI6" s="247" t="s">
        <v>84</v>
      </c>
      <c r="BJ6" s="247" t="s">
        <v>33</v>
      </c>
      <c r="BK6" s="247" t="s">
        <v>38</v>
      </c>
      <c r="BL6" s="247" t="s">
        <v>39</v>
      </c>
      <c r="BM6" s="270"/>
      <c r="BN6" s="270"/>
      <c r="BO6" s="217"/>
      <c r="BP6" s="217"/>
      <c r="BQ6" s="217"/>
      <c r="BR6" s="217"/>
      <c r="BS6" s="217"/>
      <c r="BT6" s="217"/>
      <c r="BU6" s="219"/>
      <c r="BV6" s="219"/>
      <c r="BW6" s="219"/>
      <c r="BX6" s="219"/>
      <c r="BY6" s="219"/>
      <c r="BZ6" s="219"/>
      <c r="CA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21"/>
      <c r="CN6" s="221"/>
      <c r="CO6" s="281"/>
      <c r="CP6" s="274"/>
      <c r="CQ6" s="274"/>
      <c r="CR6" s="276"/>
      <c r="CS6" s="274"/>
      <c r="CT6" s="274"/>
      <c r="CU6" s="278"/>
      <c r="CV6" s="278"/>
      <c r="CW6" s="285"/>
      <c r="CX6" s="285"/>
      <c r="CY6" s="281"/>
      <c r="CZ6" s="274"/>
      <c r="DA6" s="274"/>
      <c r="DB6" s="276"/>
      <c r="DC6" s="274"/>
      <c r="DD6" s="274"/>
      <c r="DE6" s="278"/>
      <c r="DF6" s="282"/>
      <c r="DG6" s="284"/>
      <c r="DH6" s="284"/>
      <c r="DI6" s="281"/>
      <c r="DJ6" s="274"/>
      <c r="DK6" s="274"/>
      <c r="DL6" s="276"/>
      <c r="DM6" s="274"/>
      <c r="DN6" s="274"/>
      <c r="DO6" s="278"/>
      <c r="DP6" s="282"/>
      <c r="DQ6" s="284"/>
      <c r="DR6" s="284"/>
      <c r="DS6" s="281"/>
      <c r="DT6" s="296"/>
      <c r="DU6" s="296"/>
      <c r="DV6" s="298"/>
      <c r="DW6" s="296"/>
      <c r="DX6" s="296"/>
      <c r="DY6" s="299"/>
      <c r="DZ6" s="300"/>
      <c r="EA6" s="63" t="s">
        <v>87</v>
      </c>
      <c r="EB6" s="63" t="s">
        <v>88</v>
      </c>
      <c r="EC6" s="63" t="s">
        <v>87</v>
      </c>
      <c r="ED6" s="63" t="s">
        <v>88</v>
      </c>
      <c r="EE6" s="293"/>
      <c r="EF6" s="63" t="s">
        <v>87</v>
      </c>
      <c r="EG6" s="63" t="s">
        <v>88</v>
      </c>
      <c r="EH6" s="294"/>
      <c r="EI6" s="63" t="s">
        <v>87</v>
      </c>
      <c r="EJ6" s="63" t="s">
        <v>88</v>
      </c>
      <c r="EK6" s="293"/>
      <c r="EL6" s="330"/>
      <c r="EM6" s="328"/>
      <c r="EN6" s="287"/>
      <c r="EO6" s="287"/>
      <c r="EP6" s="289"/>
      <c r="EQ6" s="287"/>
      <c r="ER6" s="287"/>
      <c r="ES6" s="326"/>
      <c r="ET6" s="328"/>
      <c r="EU6" s="328"/>
      <c r="EV6" s="328"/>
      <c r="EW6" s="312"/>
      <c r="EX6" s="314"/>
      <c r="EY6" s="315"/>
    </row>
    <row r="7" spans="1:155" s="398" customFormat="1" ht="17.100000000000001" customHeight="1">
      <c r="A7" s="176">
        <v>1</v>
      </c>
      <c r="B7" s="397" t="s">
        <v>89</v>
      </c>
      <c r="C7" s="201" t="s">
        <v>90</v>
      </c>
      <c r="D7" s="316">
        <f t="shared" ref="D7:D66" si="0">(I7+H7)/(H7+I7+J7+K7+L7)*100</f>
        <v>45.662100456621005</v>
      </c>
      <c r="E7" s="319">
        <f t="shared" ref="E7:E66" si="1">J7/(H7+I7+J7+K7+L7)*100</f>
        <v>44.292237442922371</v>
      </c>
      <c r="F7" s="319">
        <f t="shared" ref="F7:F66" si="2">K7/(H7+I7+J7+K7+L7)*100</f>
        <v>10.045662100456623</v>
      </c>
      <c r="G7" s="322">
        <f t="shared" ref="G7:G66" si="3">L7/(H7+I7+J7+K7+L7)*100</f>
        <v>0</v>
      </c>
      <c r="H7" s="305">
        <v>0</v>
      </c>
      <c r="I7" s="308">
        <v>10</v>
      </c>
      <c r="J7" s="308">
        <v>9.6999999999999993</v>
      </c>
      <c r="K7" s="308">
        <v>2.2000000000000002</v>
      </c>
      <c r="L7" s="308">
        <v>0</v>
      </c>
      <c r="M7" s="308">
        <v>7.8</v>
      </c>
      <c r="N7" s="308">
        <v>1.7</v>
      </c>
      <c r="O7" s="308">
        <v>0.3</v>
      </c>
      <c r="P7" s="301"/>
      <c r="Q7" s="303"/>
      <c r="R7" s="305">
        <v>0</v>
      </c>
      <c r="S7" s="308">
        <v>0.9</v>
      </c>
      <c r="T7" s="308">
        <v>0.42</v>
      </c>
      <c r="U7" s="308">
        <v>0.7</v>
      </c>
      <c r="V7" s="308">
        <v>0</v>
      </c>
      <c r="W7" s="308">
        <v>3.22</v>
      </c>
      <c r="X7" s="335">
        <v>20.5</v>
      </c>
      <c r="Y7" s="305">
        <f t="shared" ref="Y7:AF38" si="4">H7*R7*10</f>
        <v>0</v>
      </c>
      <c r="Z7" s="308">
        <f t="shared" si="4"/>
        <v>90</v>
      </c>
      <c r="AA7" s="308">
        <f t="shared" si="4"/>
        <v>40.739999999999995</v>
      </c>
      <c r="AB7" s="308">
        <f t="shared" si="4"/>
        <v>15.4</v>
      </c>
      <c r="AC7" s="308">
        <f t="shared" si="4"/>
        <v>0</v>
      </c>
      <c r="AD7" s="308">
        <f t="shared" si="4"/>
        <v>251.16</v>
      </c>
      <c r="AE7" s="335">
        <f>O7*X7*10</f>
        <v>61.499999999999993</v>
      </c>
      <c r="AF7" s="305">
        <v>0</v>
      </c>
      <c r="AG7" s="301">
        <v>15.4</v>
      </c>
      <c r="AH7" s="301">
        <v>1.5</v>
      </c>
      <c r="AI7" s="301">
        <v>9.9</v>
      </c>
      <c r="AJ7" s="301">
        <v>0</v>
      </c>
      <c r="AK7" s="301">
        <v>30.6</v>
      </c>
      <c r="AL7" s="303">
        <v>84.4</v>
      </c>
      <c r="AM7" s="332">
        <f>H7*AF7*10</f>
        <v>0</v>
      </c>
      <c r="AN7" s="301">
        <f>I7*AG7*10</f>
        <v>1540</v>
      </c>
      <c r="AO7" s="301">
        <f>J7*AH7*10</f>
        <v>145.5</v>
      </c>
      <c r="AP7" s="301">
        <f t="shared" ref="AP7:AS7" si="5">K7*AI7*10</f>
        <v>217.8</v>
      </c>
      <c r="AQ7" s="301">
        <f t="shared" si="5"/>
        <v>0</v>
      </c>
      <c r="AR7" s="301">
        <f t="shared" si="5"/>
        <v>2386.8000000000002</v>
      </c>
      <c r="AS7" s="301">
        <f t="shared" si="5"/>
        <v>1434.8000000000002</v>
      </c>
      <c r="AT7" s="305">
        <v>0</v>
      </c>
      <c r="AU7" s="308">
        <v>13.6</v>
      </c>
      <c r="AV7" s="308">
        <v>56.2</v>
      </c>
      <c r="AW7" s="308">
        <v>10.8</v>
      </c>
      <c r="AX7" s="308">
        <v>0</v>
      </c>
      <c r="AY7" s="308">
        <v>18.3</v>
      </c>
      <c r="AZ7" s="335">
        <v>27.6</v>
      </c>
      <c r="BA7" s="332">
        <f>(H7*3*1000)/(1-AT7/100)</f>
        <v>0</v>
      </c>
      <c r="BB7" s="332">
        <f t="shared" ref="BB7" si="6">(I7*3*1000)/(1-AU7/100)</f>
        <v>34722.222222222219</v>
      </c>
      <c r="BC7" s="332">
        <f>(J7*3*1000)/(1-AV7/100)</f>
        <v>66438.356164383556</v>
      </c>
      <c r="BD7" s="332">
        <f>(K7*3*1000)/(1-AW7/100)</f>
        <v>7399.103139013454</v>
      </c>
      <c r="BE7" s="332">
        <f>(L7*3*1000)/(1-AX7/100)</f>
        <v>0</v>
      </c>
      <c r="BF7" s="332">
        <f>(M7*3*1000)/(1-AY7/100)</f>
        <v>28641.37086903305</v>
      </c>
      <c r="BG7" s="332">
        <f>(N7*3*1000)/(1-AZ7/100)</f>
        <v>7044.1988950276245</v>
      </c>
      <c r="BH7" s="332">
        <f>H7+I7+J7+K7+L7</f>
        <v>21.9</v>
      </c>
      <c r="BI7" s="301">
        <f>M7+N7+O7</f>
        <v>9.8000000000000007</v>
      </c>
      <c r="BJ7" s="301">
        <f>BH7+BI7</f>
        <v>31.7</v>
      </c>
      <c r="BK7" s="301">
        <f>Y7+Z7+AA7+AB7+AC7+AD7+AE7</f>
        <v>458.8</v>
      </c>
      <c r="BL7" s="301">
        <f>AM7+AN7+AO7+AP7+AQ7+AR7+AS7</f>
        <v>5724.9000000000005</v>
      </c>
      <c r="BM7" s="301">
        <f>BJ7*3*1000</f>
        <v>95100</v>
      </c>
      <c r="BN7" s="303">
        <f>BA7+BB7+BC7+BD7+BE7+BF7+BG7</f>
        <v>144245.2512896799</v>
      </c>
      <c r="BO7" s="216">
        <v>73.400000000000006</v>
      </c>
      <c r="BP7" s="216">
        <v>0.42699999999999999</v>
      </c>
      <c r="BQ7" s="216">
        <v>5.86</v>
      </c>
      <c r="BR7" s="216">
        <v>72.900000000000006</v>
      </c>
      <c r="BS7" s="338">
        <v>1.52</v>
      </c>
      <c r="BT7" s="216">
        <v>7.63</v>
      </c>
      <c r="BU7" s="218">
        <v>7.15</v>
      </c>
      <c r="BV7" s="218">
        <v>0.53</v>
      </c>
      <c r="BW7" s="218">
        <v>3800</v>
      </c>
      <c r="BX7" s="218">
        <v>5.1100000000000003</v>
      </c>
      <c r="BY7" s="218">
        <v>3.9</v>
      </c>
      <c r="BZ7" s="218">
        <v>6200</v>
      </c>
      <c r="CA7" s="218">
        <v>7.19</v>
      </c>
      <c r="CB7" s="218">
        <v>1.07</v>
      </c>
      <c r="CC7" s="218">
        <v>2500</v>
      </c>
      <c r="CD7" s="218">
        <v>6.39</v>
      </c>
      <c r="CE7" s="218">
        <v>3.4</v>
      </c>
      <c r="CF7" s="218">
        <v>5100</v>
      </c>
      <c r="CG7" s="218">
        <v>7.1</v>
      </c>
      <c r="CH7" s="218">
        <v>1.34</v>
      </c>
      <c r="CI7" s="218">
        <v>2100</v>
      </c>
      <c r="CJ7" s="218">
        <v>7.44</v>
      </c>
      <c r="CK7" s="218">
        <v>2.31</v>
      </c>
      <c r="CL7" s="218">
        <v>3300</v>
      </c>
      <c r="CM7" s="220">
        <v>76.400000000000006</v>
      </c>
      <c r="CN7" s="220">
        <v>76.2</v>
      </c>
      <c r="CO7" s="75">
        <v>2</v>
      </c>
      <c r="CP7" s="76">
        <v>7.87</v>
      </c>
      <c r="CQ7" s="76">
        <v>1.82</v>
      </c>
      <c r="CR7" s="77">
        <v>75.8</v>
      </c>
      <c r="CS7" s="76">
        <v>20.8</v>
      </c>
      <c r="CT7" s="76">
        <v>1.52</v>
      </c>
      <c r="CU7" s="78" t="s">
        <v>91</v>
      </c>
      <c r="CV7" s="79">
        <v>2.7</v>
      </c>
      <c r="CW7" s="79">
        <v>7</v>
      </c>
      <c r="CX7" s="79">
        <v>30</v>
      </c>
      <c r="CY7" s="75">
        <v>5</v>
      </c>
      <c r="CZ7" s="76">
        <v>7.71</v>
      </c>
      <c r="DA7" s="76">
        <v>2.04</v>
      </c>
      <c r="DB7" s="80">
        <v>75.5</v>
      </c>
      <c r="DC7" s="81"/>
      <c r="DD7" s="81"/>
      <c r="DE7" s="82"/>
      <c r="DF7" s="79">
        <v>2.6</v>
      </c>
      <c r="DG7" s="79">
        <v>24</v>
      </c>
      <c r="DH7" s="79">
        <v>17</v>
      </c>
      <c r="DI7" s="75">
        <v>8</v>
      </c>
      <c r="DJ7" s="76">
        <v>7.71</v>
      </c>
      <c r="DK7" s="76">
        <v>2.11</v>
      </c>
      <c r="DL7" s="83">
        <v>74.599999999999994</v>
      </c>
      <c r="DM7" s="76">
        <v>21.1</v>
      </c>
      <c r="DN7" s="76">
        <v>1.59</v>
      </c>
      <c r="DO7" s="84" t="s">
        <v>92</v>
      </c>
      <c r="DP7" s="79">
        <v>2.4</v>
      </c>
      <c r="DQ7" s="79">
        <v>11</v>
      </c>
      <c r="DR7" s="79">
        <v>22</v>
      </c>
      <c r="DS7" s="85">
        <v>6</v>
      </c>
      <c r="DT7" s="76">
        <v>7.6</v>
      </c>
      <c r="DU7" s="76">
        <v>2.1</v>
      </c>
      <c r="DV7" s="77">
        <v>74.5</v>
      </c>
      <c r="DW7" s="76">
        <v>23.4</v>
      </c>
      <c r="DX7" s="76">
        <v>1.84</v>
      </c>
      <c r="DY7" s="86" t="s">
        <v>93</v>
      </c>
      <c r="DZ7" s="79">
        <v>2.4</v>
      </c>
      <c r="EA7" s="79">
        <v>13</v>
      </c>
      <c r="EB7" s="79">
        <v>4</v>
      </c>
      <c r="EC7" s="79">
        <v>7</v>
      </c>
      <c r="ED7" s="79">
        <v>0</v>
      </c>
      <c r="EE7" s="79">
        <v>8</v>
      </c>
      <c r="EF7" s="79">
        <v>9</v>
      </c>
      <c r="EG7" s="79">
        <v>4</v>
      </c>
      <c r="EH7" s="79">
        <v>95</v>
      </c>
      <c r="EI7" s="79">
        <v>19</v>
      </c>
      <c r="EJ7" s="79">
        <v>0</v>
      </c>
      <c r="EK7" s="79">
        <f>EA7+EB7+EC7+ED7+EE7+EF7+EG7+EH7+EI7+EJ7</f>
        <v>159</v>
      </c>
      <c r="EL7" s="87">
        <v>1</v>
      </c>
      <c r="EM7" s="79">
        <v>45</v>
      </c>
      <c r="EN7" s="76">
        <v>7.36</v>
      </c>
      <c r="EO7" s="76">
        <v>2.37</v>
      </c>
      <c r="EP7" s="77">
        <v>67.2</v>
      </c>
      <c r="EQ7" s="76">
        <v>26.2</v>
      </c>
      <c r="ER7" s="76">
        <v>2.0299999999999998</v>
      </c>
      <c r="ES7" s="78" t="s">
        <v>94</v>
      </c>
      <c r="ET7" s="79">
        <v>4211</v>
      </c>
      <c r="EU7" s="79">
        <v>2550</v>
      </c>
      <c r="EV7" s="79">
        <v>824</v>
      </c>
      <c r="EW7" s="79">
        <f>SUM(ET7:EV7)</f>
        <v>7585</v>
      </c>
      <c r="EX7" s="79">
        <v>52</v>
      </c>
      <c r="EY7" s="341">
        <f>EW7+EW8+EW9+EW10</f>
        <v>32328</v>
      </c>
    </row>
    <row r="8" spans="1:155" ht="17.100000000000001" customHeight="1">
      <c r="A8" s="28"/>
      <c r="B8" s="399" t="s">
        <v>89</v>
      </c>
      <c r="C8" s="202" t="s">
        <v>90</v>
      </c>
      <c r="D8" s="317">
        <f t="shared" si="0"/>
        <v>45.662100456621005</v>
      </c>
      <c r="E8" s="320">
        <f t="shared" si="1"/>
        <v>44.292237442922371</v>
      </c>
      <c r="F8" s="320">
        <f t="shared" si="2"/>
        <v>10.045662100456623</v>
      </c>
      <c r="G8" s="323">
        <f t="shared" si="3"/>
        <v>0</v>
      </c>
      <c r="H8" s="306">
        <v>0</v>
      </c>
      <c r="I8" s="309">
        <v>10</v>
      </c>
      <c r="J8" s="309">
        <v>9.6999999999999993</v>
      </c>
      <c r="K8" s="309">
        <v>2.2000000000000002</v>
      </c>
      <c r="L8" s="309">
        <v>0</v>
      </c>
      <c r="M8" s="309">
        <v>7.8</v>
      </c>
      <c r="N8" s="309">
        <v>1.7</v>
      </c>
      <c r="O8" s="309">
        <v>0.27</v>
      </c>
      <c r="P8" s="211"/>
      <c r="Q8" s="214"/>
      <c r="R8" s="306"/>
      <c r="S8" s="309"/>
      <c r="T8" s="309"/>
      <c r="U8" s="309"/>
      <c r="V8" s="309"/>
      <c r="W8" s="309"/>
      <c r="X8" s="336"/>
      <c r="Y8" s="306">
        <f t="shared" si="4"/>
        <v>0</v>
      </c>
      <c r="Z8" s="309">
        <f t="shared" si="4"/>
        <v>0</v>
      </c>
      <c r="AA8" s="309">
        <f t="shared" si="4"/>
        <v>0</v>
      </c>
      <c r="AB8" s="309">
        <f t="shared" si="4"/>
        <v>0</v>
      </c>
      <c r="AC8" s="309">
        <f t="shared" si="4"/>
        <v>0</v>
      </c>
      <c r="AD8" s="309">
        <f t="shared" si="4"/>
        <v>0</v>
      </c>
      <c r="AE8" s="336">
        <f t="shared" si="4"/>
        <v>0</v>
      </c>
      <c r="AF8" s="306">
        <f t="shared" si="4"/>
        <v>0</v>
      </c>
      <c r="AG8" s="211"/>
      <c r="AH8" s="211"/>
      <c r="AI8" s="211"/>
      <c r="AJ8" s="211"/>
      <c r="AK8" s="211"/>
      <c r="AL8" s="214"/>
      <c r="AM8" s="333"/>
      <c r="AN8" s="211"/>
      <c r="AO8" s="211"/>
      <c r="AP8" s="211"/>
      <c r="AQ8" s="211"/>
      <c r="AR8" s="211"/>
      <c r="AS8" s="211"/>
      <c r="AT8" s="306"/>
      <c r="AU8" s="309"/>
      <c r="AV8" s="309"/>
      <c r="AW8" s="309"/>
      <c r="AX8" s="309"/>
      <c r="AY8" s="309"/>
      <c r="AZ8" s="336"/>
      <c r="BA8" s="333"/>
      <c r="BB8" s="333"/>
      <c r="BC8" s="333"/>
      <c r="BD8" s="333"/>
      <c r="BE8" s="333"/>
      <c r="BF8" s="333"/>
      <c r="BG8" s="333"/>
      <c r="BH8" s="333"/>
      <c r="BI8" s="211"/>
      <c r="BJ8" s="211"/>
      <c r="BK8" s="211"/>
      <c r="BL8" s="211"/>
      <c r="BM8" s="211"/>
      <c r="BN8" s="214"/>
      <c r="BO8" s="196">
        <v>74.3</v>
      </c>
      <c r="BP8" s="196">
        <v>0.379</v>
      </c>
      <c r="BQ8" s="196">
        <v>6.97</v>
      </c>
      <c r="BR8" s="196">
        <v>73</v>
      </c>
      <c r="BS8" s="339">
        <v>0.28599999999999998</v>
      </c>
      <c r="BT8" s="196">
        <v>6.74</v>
      </c>
      <c r="BU8" s="193">
        <v>7.15</v>
      </c>
      <c r="BV8" s="193">
        <v>0.53</v>
      </c>
      <c r="BW8" s="193">
        <v>3800</v>
      </c>
      <c r="BX8" s="193">
        <v>5.1100000000000003</v>
      </c>
      <c r="BY8" s="193">
        <v>3.9</v>
      </c>
      <c r="BZ8" s="193">
        <v>6200</v>
      </c>
      <c r="CA8" s="193">
        <v>7.19</v>
      </c>
      <c r="CB8" s="193">
        <v>1.07</v>
      </c>
      <c r="CC8" s="193">
        <v>2500</v>
      </c>
      <c r="CD8" s="193">
        <v>6.39</v>
      </c>
      <c r="CE8" s="193">
        <v>3.4</v>
      </c>
      <c r="CF8" s="193">
        <v>5100</v>
      </c>
      <c r="CG8" s="193">
        <v>7.1</v>
      </c>
      <c r="CH8" s="193">
        <v>1.34</v>
      </c>
      <c r="CI8" s="193">
        <v>2100</v>
      </c>
      <c r="CJ8" s="193">
        <v>7.44</v>
      </c>
      <c r="CK8" s="193">
        <v>2.31</v>
      </c>
      <c r="CL8" s="193">
        <v>3300</v>
      </c>
      <c r="CM8" s="205">
        <v>76</v>
      </c>
      <c r="CN8" s="205"/>
      <c r="CO8" s="13">
        <v>3</v>
      </c>
      <c r="CP8" s="10">
        <v>7.87</v>
      </c>
      <c r="CQ8" s="10">
        <v>1.82</v>
      </c>
      <c r="CR8" s="11">
        <v>75.8</v>
      </c>
      <c r="CS8" s="10">
        <v>20.8</v>
      </c>
      <c r="CT8" s="10">
        <v>1.52</v>
      </c>
      <c r="CU8" s="12" t="s">
        <v>91</v>
      </c>
      <c r="CV8" s="8">
        <v>2.7</v>
      </c>
      <c r="CW8" s="8">
        <v>7</v>
      </c>
      <c r="CX8" s="8">
        <v>28</v>
      </c>
      <c r="CY8" s="13">
        <v>6</v>
      </c>
      <c r="CZ8" s="10">
        <v>7.71</v>
      </c>
      <c r="DA8" s="10">
        <v>2.04</v>
      </c>
      <c r="DB8" s="14">
        <v>75.5</v>
      </c>
      <c r="DC8" s="15"/>
      <c r="DD8" s="15"/>
      <c r="DE8" s="16"/>
      <c r="DF8" s="8">
        <v>2.6</v>
      </c>
      <c r="DG8" s="8">
        <v>26</v>
      </c>
      <c r="DH8" s="8">
        <v>18</v>
      </c>
      <c r="DI8" s="13">
        <v>9</v>
      </c>
      <c r="DJ8" s="10">
        <v>7.71</v>
      </c>
      <c r="DK8" s="10">
        <v>2.11</v>
      </c>
      <c r="DL8" s="17">
        <v>74.599999999999994</v>
      </c>
      <c r="DM8" s="10">
        <v>21.1</v>
      </c>
      <c r="DN8" s="10">
        <v>1.59</v>
      </c>
      <c r="DO8" s="18" t="s">
        <v>92</v>
      </c>
      <c r="DP8" s="8">
        <v>2.4</v>
      </c>
      <c r="DQ8" s="8">
        <v>12</v>
      </c>
      <c r="DR8" s="8">
        <v>19</v>
      </c>
      <c r="DS8" s="19">
        <v>7</v>
      </c>
      <c r="DT8" s="10">
        <v>7.6</v>
      </c>
      <c r="DU8" s="10">
        <v>2.1</v>
      </c>
      <c r="DV8" s="11">
        <v>74.5</v>
      </c>
      <c r="DW8" s="10">
        <v>23.4</v>
      </c>
      <c r="DX8" s="10">
        <v>1.84</v>
      </c>
      <c r="DY8" s="20" t="s">
        <v>93</v>
      </c>
      <c r="DZ8" s="8">
        <v>2.4</v>
      </c>
      <c r="EA8" s="8">
        <v>8</v>
      </c>
      <c r="EB8" s="8">
        <v>10</v>
      </c>
      <c r="EC8" s="8">
        <v>8</v>
      </c>
      <c r="ED8" s="8">
        <v>0</v>
      </c>
      <c r="EE8" s="8">
        <v>9</v>
      </c>
      <c r="EF8" s="8">
        <v>8</v>
      </c>
      <c r="EG8" s="8">
        <v>5</v>
      </c>
      <c r="EH8" s="8">
        <v>96</v>
      </c>
      <c r="EI8" s="8">
        <v>39</v>
      </c>
      <c r="EJ8" s="8">
        <v>24</v>
      </c>
      <c r="EK8" s="8">
        <f t="shared" ref="EK8:EK9" si="7">EA8+EB8+EC8+ED8+EE8+EF8+EG8+EH8+EI8+EJ8</f>
        <v>207</v>
      </c>
      <c r="EL8" s="9">
        <v>3</v>
      </c>
      <c r="EM8" s="8">
        <v>57</v>
      </c>
      <c r="EN8" s="10">
        <v>7.21</v>
      </c>
      <c r="EO8" s="10">
        <v>2.46</v>
      </c>
      <c r="EP8" s="11">
        <v>66.7</v>
      </c>
      <c r="EQ8" s="10">
        <v>25.2</v>
      </c>
      <c r="ER8" s="10">
        <v>2.09</v>
      </c>
      <c r="ES8" s="12" t="s">
        <v>95</v>
      </c>
      <c r="ET8" s="8">
        <v>4897</v>
      </c>
      <c r="EU8" s="8">
        <v>3655</v>
      </c>
      <c r="EV8" s="8">
        <v>1030</v>
      </c>
      <c r="EW8" s="8">
        <f t="shared" ref="EW8:EW67" si="8">SUM(ET8:EV8)</f>
        <v>9582</v>
      </c>
      <c r="EX8" s="8">
        <v>54</v>
      </c>
      <c r="EY8" s="342"/>
    </row>
    <row r="9" spans="1:155" ht="17.100000000000001" customHeight="1">
      <c r="A9" s="28"/>
      <c r="B9" s="399" t="s">
        <v>89</v>
      </c>
      <c r="C9" s="202" t="s">
        <v>96</v>
      </c>
      <c r="D9" s="317">
        <f t="shared" si="0"/>
        <v>45.662100456621005</v>
      </c>
      <c r="E9" s="320">
        <f t="shared" si="1"/>
        <v>44.292237442922371</v>
      </c>
      <c r="F9" s="320">
        <f t="shared" si="2"/>
        <v>10.045662100456623</v>
      </c>
      <c r="G9" s="323">
        <f t="shared" si="3"/>
        <v>0</v>
      </c>
      <c r="H9" s="306">
        <v>0</v>
      </c>
      <c r="I9" s="309">
        <v>10</v>
      </c>
      <c r="J9" s="309">
        <v>9.6999999999999993</v>
      </c>
      <c r="K9" s="309">
        <v>2.2000000000000002</v>
      </c>
      <c r="L9" s="309">
        <v>0</v>
      </c>
      <c r="M9" s="309">
        <v>7.8</v>
      </c>
      <c r="N9" s="309">
        <v>1.7</v>
      </c>
      <c r="O9" s="309">
        <v>0.3</v>
      </c>
      <c r="P9" s="211"/>
      <c r="Q9" s="214"/>
      <c r="R9" s="306"/>
      <c r="S9" s="309"/>
      <c r="T9" s="309"/>
      <c r="U9" s="309"/>
      <c r="V9" s="309"/>
      <c r="W9" s="309"/>
      <c r="X9" s="336"/>
      <c r="Y9" s="306">
        <f t="shared" si="4"/>
        <v>0</v>
      </c>
      <c r="Z9" s="309">
        <f t="shared" si="4"/>
        <v>0</v>
      </c>
      <c r="AA9" s="309">
        <f t="shared" si="4"/>
        <v>0</v>
      </c>
      <c r="AB9" s="309">
        <f t="shared" si="4"/>
        <v>0</v>
      </c>
      <c r="AC9" s="309">
        <f t="shared" si="4"/>
        <v>0</v>
      </c>
      <c r="AD9" s="309">
        <f t="shared" si="4"/>
        <v>0</v>
      </c>
      <c r="AE9" s="336">
        <f t="shared" si="4"/>
        <v>0</v>
      </c>
      <c r="AF9" s="306">
        <f t="shared" si="4"/>
        <v>0</v>
      </c>
      <c r="AG9" s="211"/>
      <c r="AH9" s="211"/>
      <c r="AI9" s="211"/>
      <c r="AJ9" s="211"/>
      <c r="AK9" s="211"/>
      <c r="AL9" s="214"/>
      <c r="AM9" s="333"/>
      <c r="AN9" s="211"/>
      <c r="AO9" s="211"/>
      <c r="AP9" s="211"/>
      <c r="AQ9" s="211"/>
      <c r="AR9" s="211"/>
      <c r="AS9" s="211"/>
      <c r="AT9" s="306"/>
      <c r="AU9" s="309"/>
      <c r="AV9" s="309"/>
      <c r="AW9" s="309"/>
      <c r="AX9" s="309"/>
      <c r="AY9" s="309"/>
      <c r="AZ9" s="336"/>
      <c r="BA9" s="333"/>
      <c r="BB9" s="333"/>
      <c r="BC9" s="333"/>
      <c r="BD9" s="333"/>
      <c r="BE9" s="333"/>
      <c r="BF9" s="333"/>
      <c r="BG9" s="333"/>
      <c r="BH9" s="333"/>
      <c r="BI9" s="211"/>
      <c r="BJ9" s="211"/>
      <c r="BK9" s="211"/>
      <c r="BL9" s="211"/>
      <c r="BM9" s="211"/>
      <c r="BN9" s="214"/>
      <c r="BO9" s="196">
        <v>73.8</v>
      </c>
      <c r="BP9" s="196">
        <v>0.67100000000000004</v>
      </c>
      <c r="BQ9" s="196">
        <v>5.57</v>
      </c>
      <c r="BR9" s="196">
        <v>73</v>
      </c>
      <c r="BS9" s="339">
        <v>0.45900000000000002</v>
      </c>
      <c r="BT9" s="196">
        <v>5.89</v>
      </c>
      <c r="BU9" s="193">
        <v>7.15</v>
      </c>
      <c r="BV9" s="193">
        <v>0.53</v>
      </c>
      <c r="BW9" s="193">
        <v>3800</v>
      </c>
      <c r="BX9" s="193">
        <v>5.1100000000000003</v>
      </c>
      <c r="BY9" s="193">
        <v>3.9</v>
      </c>
      <c r="BZ9" s="193">
        <v>6200</v>
      </c>
      <c r="CA9" s="193">
        <v>7.19</v>
      </c>
      <c r="CB9" s="193">
        <v>1.07</v>
      </c>
      <c r="CC9" s="193">
        <v>2500</v>
      </c>
      <c r="CD9" s="193">
        <v>6.39</v>
      </c>
      <c r="CE9" s="193">
        <v>3.4</v>
      </c>
      <c r="CF9" s="193">
        <v>5100</v>
      </c>
      <c r="CG9" s="193">
        <v>7.1</v>
      </c>
      <c r="CH9" s="193">
        <v>1.34</v>
      </c>
      <c r="CI9" s="193">
        <v>2100</v>
      </c>
      <c r="CJ9" s="193">
        <v>7.44</v>
      </c>
      <c r="CK9" s="193">
        <v>2.31</v>
      </c>
      <c r="CL9" s="193">
        <v>3300</v>
      </c>
      <c r="CM9" s="205">
        <v>76.8</v>
      </c>
      <c r="CN9" s="205"/>
      <c r="CO9" s="13">
        <v>4</v>
      </c>
      <c r="CP9" s="10">
        <v>7.87</v>
      </c>
      <c r="CQ9" s="10">
        <v>1.82</v>
      </c>
      <c r="CR9" s="11">
        <v>75.8</v>
      </c>
      <c r="CS9" s="10">
        <v>20.8</v>
      </c>
      <c r="CT9" s="10">
        <v>1.52</v>
      </c>
      <c r="CU9" s="12" t="s">
        <v>91</v>
      </c>
      <c r="CV9" s="8">
        <v>2.7</v>
      </c>
      <c r="CW9" s="8">
        <v>7</v>
      </c>
      <c r="CX9" s="8">
        <v>24</v>
      </c>
      <c r="CY9" s="13">
        <v>7</v>
      </c>
      <c r="CZ9" s="10">
        <v>7.71</v>
      </c>
      <c r="DA9" s="10">
        <v>2.04</v>
      </c>
      <c r="DB9" s="14">
        <v>75.5</v>
      </c>
      <c r="DC9" s="15"/>
      <c r="DD9" s="15"/>
      <c r="DE9" s="16"/>
      <c r="DF9" s="8">
        <v>2.6</v>
      </c>
      <c r="DG9" s="8">
        <v>16</v>
      </c>
      <c r="DH9" s="8">
        <v>26</v>
      </c>
      <c r="DI9" s="13">
        <v>10</v>
      </c>
      <c r="DJ9" s="10">
        <v>7.71</v>
      </c>
      <c r="DK9" s="10">
        <v>2.11</v>
      </c>
      <c r="DL9" s="17">
        <v>74.599999999999994</v>
      </c>
      <c r="DM9" s="10">
        <v>21.1</v>
      </c>
      <c r="DN9" s="10">
        <v>1.59</v>
      </c>
      <c r="DO9" s="18" t="s">
        <v>92</v>
      </c>
      <c r="DP9" s="8">
        <v>2.4</v>
      </c>
      <c r="DQ9" s="8">
        <v>17</v>
      </c>
      <c r="DR9" s="8">
        <v>12</v>
      </c>
      <c r="DS9" s="19">
        <v>5</v>
      </c>
      <c r="DT9" s="10">
        <v>7.6</v>
      </c>
      <c r="DU9" s="10">
        <v>2.1</v>
      </c>
      <c r="DV9" s="11">
        <v>74.5</v>
      </c>
      <c r="DW9" s="10">
        <v>23.4</v>
      </c>
      <c r="DX9" s="10">
        <v>1.84</v>
      </c>
      <c r="DY9" s="20" t="s">
        <v>93</v>
      </c>
      <c r="DZ9" s="8">
        <v>2.2999999999999998</v>
      </c>
      <c r="EA9" s="8">
        <v>9</v>
      </c>
      <c r="EB9" s="8">
        <v>9</v>
      </c>
      <c r="EC9" s="8">
        <v>9</v>
      </c>
      <c r="ED9" s="8">
        <v>0</v>
      </c>
      <c r="EE9" s="8">
        <v>9</v>
      </c>
      <c r="EF9" s="8">
        <v>9</v>
      </c>
      <c r="EG9" s="8">
        <v>4</v>
      </c>
      <c r="EH9" s="8">
        <v>96</v>
      </c>
      <c r="EI9" s="8">
        <v>9</v>
      </c>
      <c r="EJ9" s="8">
        <v>21</v>
      </c>
      <c r="EK9" s="8">
        <f t="shared" si="7"/>
        <v>175</v>
      </c>
      <c r="EL9" s="9">
        <v>2</v>
      </c>
      <c r="EM9" s="8">
        <v>46</v>
      </c>
      <c r="EN9" s="10">
        <v>7.2</v>
      </c>
      <c r="EO9" s="10">
        <v>2.19</v>
      </c>
      <c r="EP9" s="11">
        <v>68</v>
      </c>
      <c r="EQ9" s="10">
        <v>25.7</v>
      </c>
      <c r="ER9" s="10">
        <v>1.97</v>
      </c>
      <c r="ES9" s="12" t="s">
        <v>97</v>
      </c>
      <c r="ET9" s="8">
        <v>5375</v>
      </c>
      <c r="EU9" s="8">
        <v>2643</v>
      </c>
      <c r="EV9" s="8">
        <v>0</v>
      </c>
      <c r="EW9" s="8">
        <f t="shared" si="8"/>
        <v>8018</v>
      </c>
      <c r="EX9" s="8">
        <v>47</v>
      </c>
      <c r="EY9" s="342"/>
    </row>
    <row r="10" spans="1:155" s="401" customFormat="1" ht="17.100000000000001" customHeight="1" thickBot="1">
      <c r="A10" s="179"/>
      <c r="B10" s="400" t="s">
        <v>89</v>
      </c>
      <c r="C10" s="203" t="s">
        <v>96</v>
      </c>
      <c r="D10" s="318">
        <f t="shared" si="0"/>
        <v>45.662100456621005</v>
      </c>
      <c r="E10" s="321">
        <f t="shared" si="1"/>
        <v>44.292237442922371</v>
      </c>
      <c r="F10" s="321">
        <f t="shared" si="2"/>
        <v>10.045662100456623</v>
      </c>
      <c r="G10" s="324">
        <f t="shared" si="3"/>
        <v>0</v>
      </c>
      <c r="H10" s="307">
        <v>0</v>
      </c>
      <c r="I10" s="310">
        <v>10</v>
      </c>
      <c r="J10" s="310">
        <v>9.6999999999999993</v>
      </c>
      <c r="K10" s="310">
        <v>2.2000000000000002</v>
      </c>
      <c r="L10" s="310">
        <v>0</v>
      </c>
      <c r="M10" s="310">
        <v>7.8</v>
      </c>
      <c r="N10" s="310">
        <v>1.7</v>
      </c>
      <c r="O10" s="310">
        <v>0.27</v>
      </c>
      <c r="P10" s="302"/>
      <c r="Q10" s="304"/>
      <c r="R10" s="307"/>
      <c r="S10" s="310"/>
      <c r="T10" s="310"/>
      <c r="U10" s="310"/>
      <c r="V10" s="310"/>
      <c r="W10" s="310"/>
      <c r="X10" s="337"/>
      <c r="Y10" s="307">
        <f t="shared" si="4"/>
        <v>0</v>
      </c>
      <c r="Z10" s="310">
        <f t="shared" si="4"/>
        <v>0</v>
      </c>
      <c r="AA10" s="310">
        <f t="shared" si="4"/>
        <v>0</v>
      </c>
      <c r="AB10" s="310">
        <f t="shared" si="4"/>
        <v>0</v>
      </c>
      <c r="AC10" s="310">
        <f t="shared" si="4"/>
        <v>0</v>
      </c>
      <c r="AD10" s="310">
        <f t="shared" si="4"/>
        <v>0</v>
      </c>
      <c r="AE10" s="337">
        <f t="shared" si="4"/>
        <v>0</v>
      </c>
      <c r="AF10" s="307">
        <f t="shared" si="4"/>
        <v>0</v>
      </c>
      <c r="AG10" s="302"/>
      <c r="AH10" s="302"/>
      <c r="AI10" s="302"/>
      <c r="AJ10" s="302"/>
      <c r="AK10" s="302"/>
      <c r="AL10" s="304"/>
      <c r="AM10" s="334"/>
      <c r="AN10" s="302"/>
      <c r="AO10" s="302"/>
      <c r="AP10" s="302"/>
      <c r="AQ10" s="302"/>
      <c r="AR10" s="302"/>
      <c r="AS10" s="302"/>
      <c r="AT10" s="307"/>
      <c r="AU10" s="310"/>
      <c r="AV10" s="310"/>
      <c r="AW10" s="310"/>
      <c r="AX10" s="310"/>
      <c r="AY10" s="310"/>
      <c r="AZ10" s="337"/>
      <c r="BA10" s="334"/>
      <c r="BB10" s="334"/>
      <c r="BC10" s="334"/>
      <c r="BD10" s="334"/>
      <c r="BE10" s="334"/>
      <c r="BF10" s="334"/>
      <c r="BG10" s="334"/>
      <c r="BH10" s="334"/>
      <c r="BI10" s="302"/>
      <c r="BJ10" s="302"/>
      <c r="BK10" s="302"/>
      <c r="BL10" s="302"/>
      <c r="BM10" s="302"/>
      <c r="BN10" s="304"/>
      <c r="BO10" s="217">
        <v>73.400000000000006</v>
      </c>
      <c r="BP10" s="217">
        <v>0.42699999999999999</v>
      </c>
      <c r="BQ10" s="217">
        <v>5.86</v>
      </c>
      <c r="BR10" s="217">
        <v>72.900000000000006</v>
      </c>
      <c r="BS10" s="340">
        <v>1.52</v>
      </c>
      <c r="BT10" s="217">
        <v>7.63</v>
      </c>
      <c r="BU10" s="219">
        <v>7.15</v>
      </c>
      <c r="BV10" s="219">
        <v>0.53</v>
      </c>
      <c r="BW10" s="219">
        <v>3800</v>
      </c>
      <c r="BX10" s="219">
        <v>5.1100000000000003</v>
      </c>
      <c r="BY10" s="219">
        <v>3.9</v>
      </c>
      <c r="BZ10" s="219">
        <v>6200</v>
      </c>
      <c r="CA10" s="219">
        <v>7.19</v>
      </c>
      <c r="CB10" s="219">
        <v>1.07</v>
      </c>
      <c r="CC10" s="219">
        <v>2500</v>
      </c>
      <c r="CD10" s="219">
        <v>6.39</v>
      </c>
      <c r="CE10" s="219">
        <v>3.4</v>
      </c>
      <c r="CF10" s="219">
        <v>5100</v>
      </c>
      <c r="CG10" s="219">
        <v>7.1</v>
      </c>
      <c r="CH10" s="219">
        <v>1.34</v>
      </c>
      <c r="CI10" s="219">
        <v>2100</v>
      </c>
      <c r="CJ10" s="219">
        <v>7.44</v>
      </c>
      <c r="CK10" s="219">
        <v>2.31</v>
      </c>
      <c r="CL10" s="219">
        <v>3300</v>
      </c>
      <c r="CM10" s="221">
        <v>76.400000000000006</v>
      </c>
      <c r="CN10" s="221"/>
      <c r="CO10" s="98"/>
      <c r="CP10" s="99"/>
      <c r="CQ10" s="99"/>
      <c r="CR10" s="100"/>
      <c r="CS10" s="99"/>
      <c r="CT10" s="99"/>
      <c r="CU10" s="101"/>
      <c r="CV10" s="102"/>
      <c r="CW10" s="102"/>
      <c r="CX10" s="102"/>
      <c r="CY10" s="103"/>
      <c r="CZ10" s="99"/>
      <c r="DA10" s="99"/>
      <c r="DB10" s="100"/>
      <c r="DC10" s="99"/>
      <c r="DD10" s="99"/>
      <c r="DE10" s="104"/>
      <c r="DF10" s="102"/>
      <c r="DG10" s="102"/>
      <c r="DH10" s="102"/>
      <c r="DI10" s="101"/>
      <c r="DJ10" s="99"/>
      <c r="DK10" s="99"/>
      <c r="DL10" s="100"/>
      <c r="DM10" s="99"/>
      <c r="DN10" s="99"/>
      <c r="DO10" s="101"/>
      <c r="DP10" s="102"/>
      <c r="DQ10" s="102"/>
      <c r="DR10" s="102"/>
      <c r="DS10" s="105"/>
      <c r="DT10" s="99"/>
      <c r="DU10" s="99"/>
      <c r="DV10" s="100"/>
      <c r="DW10" s="99"/>
      <c r="DX10" s="99"/>
      <c r="DY10" s="104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6" t="s">
        <v>98</v>
      </c>
      <c r="EM10" s="102">
        <v>13</v>
      </c>
      <c r="EN10" s="107">
        <v>7.24</v>
      </c>
      <c r="EO10" s="107">
        <v>2.44</v>
      </c>
      <c r="EP10" s="108">
        <v>67.8</v>
      </c>
      <c r="EQ10" s="107">
        <v>26</v>
      </c>
      <c r="ER10" s="107">
        <v>2.0099999999999998</v>
      </c>
      <c r="ES10" s="109" t="s">
        <v>99</v>
      </c>
      <c r="ET10" s="102">
        <v>3171</v>
      </c>
      <c r="EU10" s="102">
        <v>3102</v>
      </c>
      <c r="EV10" s="102">
        <v>870</v>
      </c>
      <c r="EW10" s="102">
        <f t="shared" si="8"/>
        <v>7143</v>
      </c>
      <c r="EX10" s="102">
        <v>55</v>
      </c>
      <c r="EY10" s="343"/>
    </row>
    <row r="11" spans="1:155" s="398" customFormat="1" ht="17.100000000000001" customHeight="1">
      <c r="A11" s="176">
        <v>2</v>
      </c>
      <c r="B11" s="397" t="s">
        <v>246</v>
      </c>
      <c r="C11" s="201" t="s">
        <v>90</v>
      </c>
      <c r="D11" s="316">
        <f t="shared" si="0"/>
        <v>45.662100456621005</v>
      </c>
      <c r="E11" s="319">
        <f t="shared" si="1"/>
        <v>44.292237442922371</v>
      </c>
      <c r="F11" s="319">
        <f t="shared" si="2"/>
        <v>10.045662100456623</v>
      </c>
      <c r="G11" s="322">
        <f t="shared" si="3"/>
        <v>0</v>
      </c>
      <c r="H11" s="305">
        <v>0</v>
      </c>
      <c r="I11" s="308">
        <v>10</v>
      </c>
      <c r="J11" s="308">
        <v>9.6999999999999993</v>
      </c>
      <c r="K11" s="308">
        <v>2.2000000000000002</v>
      </c>
      <c r="L11" s="308">
        <v>0</v>
      </c>
      <c r="M11" s="308">
        <v>7.8</v>
      </c>
      <c r="N11" s="308">
        <v>1.7</v>
      </c>
      <c r="O11" s="344">
        <v>0.26600000000000001</v>
      </c>
      <c r="P11" s="301"/>
      <c r="Q11" s="303"/>
      <c r="R11" s="305">
        <v>0</v>
      </c>
      <c r="S11" s="308">
        <v>0.9</v>
      </c>
      <c r="T11" s="308">
        <v>0.42</v>
      </c>
      <c r="U11" s="308">
        <v>0.7</v>
      </c>
      <c r="V11" s="308">
        <v>0</v>
      </c>
      <c r="W11" s="308">
        <v>3.36</v>
      </c>
      <c r="X11" s="335">
        <v>20.5</v>
      </c>
      <c r="Y11" s="305">
        <f t="shared" si="4"/>
        <v>0</v>
      </c>
      <c r="Z11" s="308">
        <f t="shared" si="4"/>
        <v>90</v>
      </c>
      <c r="AA11" s="308">
        <f t="shared" si="4"/>
        <v>40.739999999999995</v>
      </c>
      <c r="AB11" s="308">
        <f t="shared" si="4"/>
        <v>15.4</v>
      </c>
      <c r="AC11" s="308">
        <f t="shared" si="4"/>
        <v>0</v>
      </c>
      <c r="AD11" s="308">
        <f t="shared" si="4"/>
        <v>262.08</v>
      </c>
      <c r="AE11" s="347">
        <f>O11*X11*10</f>
        <v>54.53</v>
      </c>
      <c r="AF11" s="305">
        <v>0</v>
      </c>
      <c r="AG11" s="301">
        <v>15.4</v>
      </c>
      <c r="AH11" s="301">
        <v>1.5</v>
      </c>
      <c r="AI11" s="301">
        <v>9.9</v>
      </c>
      <c r="AJ11" s="301">
        <v>0</v>
      </c>
      <c r="AK11" s="301">
        <v>30.2</v>
      </c>
      <c r="AL11" s="303">
        <v>84.7</v>
      </c>
      <c r="AM11" s="332">
        <f>H11*AF11*10</f>
        <v>0</v>
      </c>
      <c r="AN11" s="301">
        <f>I11*AG11*10</f>
        <v>1540</v>
      </c>
      <c r="AO11" s="301">
        <f t="shared" ref="AO11:AS11" si="9">J11*AH11*10</f>
        <v>145.5</v>
      </c>
      <c r="AP11" s="301">
        <f t="shared" si="9"/>
        <v>217.8</v>
      </c>
      <c r="AQ11" s="301">
        <f t="shared" si="9"/>
        <v>0</v>
      </c>
      <c r="AR11" s="301">
        <f t="shared" si="9"/>
        <v>2355.6</v>
      </c>
      <c r="AS11" s="301">
        <f t="shared" si="9"/>
        <v>1439.9</v>
      </c>
      <c r="AT11" s="305">
        <v>0</v>
      </c>
      <c r="AU11" s="308">
        <v>13</v>
      </c>
      <c r="AV11" s="308">
        <v>56.2</v>
      </c>
      <c r="AW11" s="308">
        <v>10.9</v>
      </c>
      <c r="AX11" s="308">
        <v>0</v>
      </c>
      <c r="AY11" s="308">
        <v>18.600000000000001</v>
      </c>
      <c r="AZ11" s="335">
        <v>27.6</v>
      </c>
      <c r="BA11" s="332">
        <f t="shared" ref="BA11:BG11" si="10">(H11*3*1000)/(1-AT11/100)</f>
        <v>0</v>
      </c>
      <c r="BB11" s="332">
        <f t="shared" si="10"/>
        <v>34482.758620689652</v>
      </c>
      <c r="BC11" s="332">
        <f t="shared" si="10"/>
        <v>66438.356164383556</v>
      </c>
      <c r="BD11" s="332">
        <f t="shared" si="10"/>
        <v>7407.4074074074088</v>
      </c>
      <c r="BE11" s="332">
        <f t="shared" si="10"/>
        <v>0</v>
      </c>
      <c r="BF11" s="332">
        <f t="shared" si="10"/>
        <v>28746.928746928748</v>
      </c>
      <c r="BG11" s="332">
        <f t="shared" si="10"/>
        <v>7044.1988950276245</v>
      </c>
      <c r="BH11" s="332">
        <f t="shared" ref="BH11" si="11">H11+I11+J11+K11+L11</f>
        <v>21.9</v>
      </c>
      <c r="BI11" s="301">
        <f t="shared" ref="BI11" si="12">M11+N11+O11</f>
        <v>9.766</v>
      </c>
      <c r="BJ11" s="301">
        <f t="shared" ref="BJ11" si="13">BH11+BI11</f>
        <v>31.665999999999997</v>
      </c>
      <c r="BK11" s="350">
        <f>Y11+Z11+AA11+AB11+AC11+AD11+AE11</f>
        <v>462.75</v>
      </c>
      <c r="BL11" s="301">
        <f t="shared" ref="BL11" si="14">AM11+AN11+AO11+AP11+AQ11+AR11+AS11</f>
        <v>5698.7999999999993</v>
      </c>
      <c r="BM11" s="301">
        <f t="shared" ref="BM11" si="15">BJ11*3*1000</f>
        <v>94997.999999999985</v>
      </c>
      <c r="BN11" s="303">
        <f t="shared" ref="BN11" si="16">BA11+BB11+BC11+BD11+BE11+BF11+BG11</f>
        <v>144119.649834437</v>
      </c>
      <c r="BO11" s="216">
        <v>74.3</v>
      </c>
      <c r="BP11" s="216">
        <v>0.379</v>
      </c>
      <c r="BQ11" s="216">
        <v>6.97</v>
      </c>
      <c r="BR11" s="216">
        <v>73</v>
      </c>
      <c r="BS11" s="338">
        <v>0.28599999999999998</v>
      </c>
      <c r="BT11" s="216">
        <v>6.74</v>
      </c>
      <c r="BU11" s="218">
        <v>7.45</v>
      </c>
      <c r="BV11" s="218">
        <v>1.49</v>
      </c>
      <c r="BW11" s="218">
        <v>1450</v>
      </c>
      <c r="BX11" s="218">
        <v>6.43</v>
      </c>
      <c r="BY11" s="218">
        <v>7.57</v>
      </c>
      <c r="BZ11" s="218">
        <v>6500</v>
      </c>
      <c r="CA11" s="218">
        <v>6.53</v>
      </c>
      <c r="CB11" s="218">
        <v>1.46</v>
      </c>
      <c r="CC11" s="218">
        <v>1570</v>
      </c>
      <c r="CD11" s="218">
        <v>7.13</v>
      </c>
      <c r="CE11" s="218">
        <v>2.69</v>
      </c>
      <c r="CF11" s="218">
        <v>2400</v>
      </c>
      <c r="CG11" s="218">
        <v>7.02</v>
      </c>
      <c r="CH11" s="218">
        <v>1.48</v>
      </c>
      <c r="CI11" s="218">
        <v>1847</v>
      </c>
      <c r="CJ11" s="218">
        <v>7.3</v>
      </c>
      <c r="CK11" s="218">
        <v>2.73</v>
      </c>
      <c r="CL11" s="218">
        <v>2100</v>
      </c>
      <c r="CM11" s="220">
        <v>76</v>
      </c>
      <c r="CN11" s="220">
        <v>76.400000000000006</v>
      </c>
      <c r="CO11" s="75">
        <v>2</v>
      </c>
      <c r="CP11" s="76">
        <v>7.91</v>
      </c>
      <c r="CQ11" s="111">
        <v>1.74</v>
      </c>
      <c r="CR11" s="83">
        <v>76.2</v>
      </c>
      <c r="CS11" s="76">
        <v>19.3</v>
      </c>
      <c r="CT11" s="76">
        <v>1.47</v>
      </c>
      <c r="CU11" s="78">
        <v>27.4</v>
      </c>
      <c r="CV11" s="79">
        <v>2.5</v>
      </c>
      <c r="CW11" s="79">
        <v>13</v>
      </c>
      <c r="CX11" s="79">
        <v>28</v>
      </c>
      <c r="CY11" s="75">
        <v>5</v>
      </c>
      <c r="CZ11" s="76">
        <v>7.75</v>
      </c>
      <c r="DA11" s="76">
        <v>2.11</v>
      </c>
      <c r="DB11" s="80">
        <v>75.7</v>
      </c>
      <c r="DC11" s="81"/>
      <c r="DD11" s="81"/>
      <c r="DE11" s="82"/>
      <c r="DF11" s="79">
        <v>2.4</v>
      </c>
      <c r="DG11" s="79">
        <v>16</v>
      </c>
      <c r="DH11" s="79">
        <v>28</v>
      </c>
      <c r="DI11" s="75">
        <v>8</v>
      </c>
      <c r="DJ11" s="76">
        <v>7.7</v>
      </c>
      <c r="DK11" s="76">
        <v>1.84</v>
      </c>
      <c r="DL11" s="77">
        <v>74.7</v>
      </c>
      <c r="DM11" s="76">
        <v>22</v>
      </c>
      <c r="DN11" s="76">
        <v>1.68</v>
      </c>
      <c r="DO11" s="78" t="s">
        <v>100</v>
      </c>
      <c r="DP11" s="79">
        <v>2.35</v>
      </c>
      <c r="DQ11" s="79">
        <v>13</v>
      </c>
      <c r="DR11" s="79">
        <v>20</v>
      </c>
      <c r="DS11" s="85">
        <v>1</v>
      </c>
      <c r="DT11" s="76">
        <v>7.69</v>
      </c>
      <c r="DU11" s="76">
        <v>2.08</v>
      </c>
      <c r="DV11" s="77">
        <v>74.2</v>
      </c>
      <c r="DW11" s="76">
        <v>23.9</v>
      </c>
      <c r="DX11" s="76">
        <v>1.79</v>
      </c>
      <c r="DY11" s="86" t="s">
        <v>101</v>
      </c>
      <c r="DZ11" s="79">
        <v>1.8</v>
      </c>
      <c r="EA11" s="79">
        <v>11</v>
      </c>
      <c r="EB11" s="79">
        <v>8</v>
      </c>
      <c r="EC11" s="79">
        <v>8</v>
      </c>
      <c r="ED11" s="79">
        <v>0</v>
      </c>
      <c r="EE11" s="79">
        <v>9</v>
      </c>
      <c r="EF11" s="79">
        <v>10</v>
      </c>
      <c r="EG11" s="79">
        <v>2</v>
      </c>
      <c r="EH11" s="79">
        <v>96</v>
      </c>
      <c r="EI11" s="79">
        <v>20</v>
      </c>
      <c r="EJ11" s="79">
        <v>0</v>
      </c>
      <c r="EK11" s="79">
        <f t="shared" ref="EK11:EK13" si="17">EA11+EB11+EC11+ED11+EE11+EF11+EG11+EH11+EI11+EJ11</f>
        <v>164</v>
      </c>
      <c r="EL11" s="112">
        <v>5</v>
      </c>
      <c r="EM11" s="79">
        <v>59</v>
      </c>
      <c r="EN11" s="76">
        <v>7.32</v>
      </c>
      <c r="EO11" s="76">
        <v>2.48</v>
      </c>
      <c r="EP11" s="77">
        <v>68.099999999999994</v>
      </c>
      <c r="EQ11" s="76">
        <v>28.1</v>
      </c>
      <c r="ER11" s="76">
        <v>1.94</v>
      </c>
      <c r="ES11" s="78" t="s">
        <v>102</v>
      </c>
      <c r="ET11" s="113">
        <v>3969</v>
      </c>
      <c r="EU11" s="113">
        <v>4483</v>
      </c>
      <c r="EV11" s="113">
        <v>0</v>
      </c>
      <c r="EW11" s="79">
        <f t="shared" si="8"/>
        <v>8452</v>
      </c>
      <c r="EX11" s="113">
        <v>55</v>
      </c>
      <c r="EY11" s="341">
        <f>EW11+EW12+EW13+EW14</f>
        <v>33186</v>
      </c>
    </row>
    <row r="12" spans="1:155" ht="17.100000000000001" customHeight="1">
      <c r="A12" s="28"/>
      <c r="B12" s="399" t="s">
        <v>246</v>
      </c>
      <c r="C12" s="202" t="s">
        <v>90</v>
      </c>
      <c r="D12" s="317">
        <f t="shared" si="0"/>
        <v>45.662100456621005</v>
      </c>
      <c r="E12" s="320">
        <f t="shared" si="1"/>
        <v>44.292237442922371</v>
      </c>
      <c r="F12" s="320">
        <f t="shared" si="2"/>
        <v>10.045662100456623</v>
      </c>
      <c r="G12" s="323">
        <f t="shared" si="3"/>
        <v>0</v>
      </c>
      <c r="H12" s="306">
        <v>0</v>
      </c>
      <c r="I12" s="309">
        <v>10</v>
      </c>
      <c r="J12" s="309">
        <v>9.6999999999999993</v>
      </c>
      <c r="K12" s="309">
        <v>2.2000000000000002</v>
      </c>
      <c r="L12" s="309">
        <v>0</v>
      </c>
      <c r="M12" s="309">
        <v>7.8</v>
      </c>
      <c r="N12" s="309">
        <v>1.7</v>
      </c>
      <c r="O12" s="345">
        <v>0.27</v>
      </c>
      <c r="P12" s="211"/>
      <c r="Q12" s="214"/>
      <c r="R12" s="306"/>
      <c r="S12" s="309"/>
      <c r="T12" s="309"/>
      <c r="U12" s="309"/>
      <c r="V12" s="309"/>
      <c r="W12" s="309"/>
      <c r="X12" s="336"/>
      <c r="Y12" s="306">
        <f t="shared" si="4"/>
        <v>0</v>
      </c>
      <c r="Z12" s="309">
        <f t="shared" si="4"/>
        <v>0</v>
      </c>
      <c r="AA12" s="309">
        <f t="shared" si="4"/>
        <v>0</v>
      </c>
      <c r="AB12" s="309">
        <f t="shared" si="4"/>
        <v>0</v>
      </c>
      <c r="AC12" s="309">
        <f t="shared" si="4"/>
        <v>0</v>
      </c>
      <c r="AD12" s="309">
        <f t="shared" si="4"/>
        <v>0</v>
      </c>
      <c r="AE12" s="348">
        <f t="shared" si="4"/>
        <v>0</v>
      </c>
      <c r="AF12" s="306">
        <f t="shared" si="4"/>
        <v>0</v>
      </c>
      <c r="AG12" s="211"/>
      <c r="AH12" s="211"/>
      <c r="AI12" s="211"/>
      <c r="AJ12" s="211"/>
      <c r="AK12" s="211"/>
      <c r="AL12" s="214"/>
      <c r="AM12" s="333"/>
      <c r="AN12" s="211"/>
      <c r="AO12" s="211"/>
      <c r="AP12" s="211"/>
      <c r="AQ12" s="211"/>
      <c r="AR12" s="211"/>
      <c r="AS12" s="211"/>
      <c r="AT12" s="306"/>
      <c r="AU12" s="309"/>
      <c r="AV12" s="309"/>
      <c r="AW12" s="309"/>
      <c r="AX12" s="309"/>
      <c r="AY12" s="309"/>
      <c r="AZ12" s="336"/>
      <c r="BA12" s="333"/>
      <c r="BB12" s="333"/>
      <c r="BC12" s="333"/>
      <c r="BD12" s="333"/>
      <c r="BE12" s="333"/>
      <c r="BF12" s="333"/>
      <c r="BG12" s="333"/>
      <c r="BH12" s="333"/>
      <c r="BI12" s="211"/>
      <c r="BJ12" s="211"/>
      <c r="BK12" s="351"/>
      <c r="BL12" s="211"/>
      <c r="BM12" s="211"/>
      <c r="BN12" s="214"/>
      <c r="BO12" s="196">
        <v>73.8</v>
      </c>
      <c r="BP12" s="196">
        <v>0.67100000000000004</v>
      </c>
      <c r="BQ12" s="196">
        <v>5.57</v>
      </c>
      <c r="BR12" s="196">
        <v>73</v>
      </c>
      <c r="BS12" s="339">
        <v>0.45900000000000002</v>
      </c>
      <c r="BT12" s="196">
        <v>5.89</v>
      </c>
      <c r="BU12" s="193">
        <v>7.45</v>
      </c>
      <c r="BV12" s="193">
        <v>1.49</v>
      </c>
      <c r="BW12" s="193">
        <v>1450</v>
      </c>
      <c r="BX12" s="193">
        <v>6.43</v>
      </c>
      <c r="BY12" s="193">
        <v>7.57</v>
      </c>
      <c r="BZ12" s="193">
        <v>6500</v>
      </c>
      <c r="CA12" s="193">
        <v>6.53</v>
      </c>
      <c r="CB12" s="193">
        <v>1.46</v>
      </c>
      <c r="CC12" s="193">
        <v>1570</v>
      </c>
      <c r="CD12" s="193">
        <v>7.13</v>
      </c>
      <c r="CE12" s="193">
        <v>2.69</v>
      </c>
      <c r="CF12" s="193">
        <v>2400</v>
      </c>
      <c r="CG12" s="193">
        <v>7.02</v>
      </c>
      <c r="CH12" s="193">
        <v>1.48</v>
      </c>
      <c r="CI12" s="193">
        <v>1847</v>
      </c>
      <c r="CJ12" s="193">
        <v>7.3</v>
      </c>
      <c r="CK12" s="193">
        <v>2.73</v>
      </c>
      <c r="CL12" s="193">
        <v>2100</v>
      </c>
      <c r="CM12" s="205">
        <v>76.8</v>
      </c>
      <c r="CN12" s="205"/>
      <c r="CO12" s="13">
        <v>3</v>
      </c>
      <c r="CP12" s="10">
        <v>7.91</v>
      </c>
      <c r="CQ12" s="26">
        <v>1.74</v>
      </c>
      <c r="CR12" s="17">
        <v>76.2</v>
      </c>
      <c r="CS12" s="10">
        <v>19.3</v>
      </c>
      <c r="CT12" s="10">
        <v>1.47</v>
      </c>
      <c r="CU12" s="12">
        <v>27.4</v>
      </c>
      <c r="CV12" s="8">
        <v>2.5</v>
      </c>
      <c r="CW12" s="8">
        <v>10</v>
      </c>
      <c r="CX12" s="8">
        <v>29</v>
      </c>
      <c r="CY12" s="13">
        <v>6</v>
      </c>
      <c r="CZ12" s="10">
        <v>7.75</v>
      </c>
      <c r="DA12" s="10">
        <v>2.11</v>
      </c>
      <c r="DB12" s="14">
        <v>75.7</v>
      </c>
      <c r="DC12" s="15"/>
      <c r="DD12" s="15"/>
      <c r="DE12" s="16"/>
      <c r="DF12" s="8">
        <v>2.4</v>
      </c>
      <c r="DG12" s="8">
        <v>15</v>
      </c>
      <c r="DH12" s="8">
        <v>27</v>
      </c>
      <c r="DI12" s="13">
        <v>9</v>
      </c>
      <c r="DJ12" s="10">
        <v>7.7</v>
      </c>
      <c r="DK12" s="10">
        <v>1.84</v>
      </c>
      <c r="DL12" s="11">
        <v>74.7</v>
      </c>
      <c r="DM12" s="10">
        <v>22</v>
      </c>
      <c r="DN12" s="10">
        <v>1.68</v>
      </c>
      <c r="DO12" s="12" t="s">
        <v>100</v>
      </c>
      <c r="DP12" s="8">
        <v>2.35</v>
      </c>
      <c r="DQ12" s="8">
        <v>14</v>
      </c>
      <c r="DR12" s="8">
        <v>22</v>
      </c>
      <c r="DS12" s="19">
        <v>3</v>
      </c>
      <c r="DT12" s="10">
        <v>7.69</v>
      </c>
      <c r="DU12" s="10">
        <v>2.08</v>
      </c>
      <c r="DV12" s="11">
        <v>74.2</v>
      </c>
      <c r="DW12" s="10">
        <v>23.9</v>
      </c>
      <c r="DX12" s="10">
        <v>1.79</v>
      </c>
      <c r="DY12" s="20" t="s">
        <v>101</v>
      </c>
      <c r="DZ12" s="8">
        <v>1.9</v>
      </c>
      <c r="EA12" s="8">
        <v>15</v>
      </c>
      <c r="EB12" s="8">
        <v>4</v>
      </c>
      <c r="EC12" s="8">
        <v>10</v>
      </c>
      <c r="ED12" s="8">
        <v>0</v>
      </c>
      <c r="EE12" s="8">
        <v>9</v>
      </c>
      <c r="EF12" s="8">
        <v>8</v>
      </c>
      <c r="EG12" s="8">
        <v>5</v>
      </c>
      <c r="EH12" s="8">
        <v>105</v>
      </c>
      <c r="EI12" s="8">
        <v>15</v>
      </c>
      <c r="EJ12" s="8">
        <v>13</v>
      </c>
      <c r="EK12" s="8">
        <f t="shared" si="17"/>
        <v>184</v>
      </c>
      <c r="EL12" s="9">
        <v>6</v>
      </c>
      <c r="EM12" s="8">
        <v>2</v>
      </c>
      <c r="EN12" s="10">
        <v>7.01</v>
      </c>
      <c r="EO12" s="10">
        <v>2.5299999999999998</v>
      </c>
      <c r="EP12" s="11">
        <v>68.8</v>
      </c>
      <c r="EQ12" s="10">
        <v>27.5</v>
      </c>
      <c r="ER12" s="10">
        <v>1.94</v>
      </c>
      <c r="ES12" s="12" t="s">
        <v>103</v>
      </c>
      <c r="ET12" s="8">
        <v>4589</v>
      </c>
      <c r="EU12" s="8">
        <v>3420</v>
      </c>
      <c r="EV12" s="8">
        <v>1017</v>
      </c>
      <c r="EW12" s="8">
        <f t="shared" si="8"/>
        <v>9026</v>
      </c>
      <c r="EX12" s="8">
        <v>57</v>
      </c>
      <c r="EY12" s="342"/>
    </row>
    <row r="13" spans="1:155" ht="17.100000000000001" customHeight="1">
      <c r="A13" s="28"/>
      <c r="B13" s="399" t="s">
        <v>246</v>
      </c>
      <c r="C13" s="202" t="s">
        <v>96</v>
      </c>
      <c r="D13" s="317">
        <f t="shared" si="0"/>
        <v>45.662100456621005</v>
      </c>
      <c r="E13" s="320">
        <f t="shared" si="1"/>
        <v>44.292237442922371</v>
      </c>
      <c r="F13" s="320">
        <f t="shared" si="2"/>
        <v>10.045662100456623</v>
      </c>
      <c r="G13" s="323">
        <f t="shared" si="3"/>
        <v>0</v>
      </c>
      <c r="H13" s="306">
        <v>0</v>
      </c>
      <c r="I13" s="309">
        <v>10</v>
      </c>
      <c r="J13" s="309">
        <v>9.6999999999999993</v>
      </c>
      <c r="K13" s="309">
        <v>2.2000000000000002</v>
      </c>
      <c r="L13" s="309">
        <v>0</v>
      </c>
      <c r="M13" s="309">
        <v>7.8</v>
      </c>
      <c r="N13" s="309">
        <v>1.7</v>
      </c>
      <c r="O13" s="345">
        <v>0.3</v>
      </c>
      <c r="P13" s="211"/>
      <c r="Q13" s="214"/>
      <c r="R13" s="306"/>
      <c r="S13" s="309"/>
      <c r="T13" s="309"/>
      <c r="U13" s="309"/>
      <c r="V13" s="309"/>
      <c r="W13" s="309"/>
      <c r="X13" s="336"/>
      <c r="Y13" s="306">
        <f t="shared" si="4"/>
        <v>0</v>
      </c>
      <c r="Z13" s="309">
        <f t="shared" si="4"/>
        <v>0</v>
      </c>
      <c r="AA13" s="309">
        <f t="shared" si="4"/>
        <v>0</v>
      </c>
      <c r="AB13" s="309">
        <f t="shared" si="4"/>
        <v>0</v>
      </c>
      <c r="AC13" s="309">
        <f t="shared" si="4"/>
        <v>0</v>
      </c>
      <c r="AD13" s="309">
        <f t="shared" si="4"/>
        <v>0</v>
      </c>
      <c r="AE13" s="348">
        <f t="shared" si="4"/>
        <v>0</v>
      </c>
      <c r="AF13" s="306">
        <f t="shared" si="4"/>
        <v>0</v>
      </c>
      <c r="AG13" s="211"/>
      <c r="AH13" s="211"/>
      <c r="AI13" s="211"/>
      <c r="AJ13" s="211"/>
      <c r="AK13" s="211"/>
      <c r="AL13" s="214"/>
      <c r="AM13" s="333"/>
      <c r="AN13" s="211"/>
      <c r="AO13" s="211"/>
      <c r="AP13" s="211"/>
      <c r="AQ13" s="211"/>
      <c r="AR13" s="211"/>
      <c r="AS13" s="211"/>
      <c r="AT13" s="306"/>
      <c r="AU13" s="309"/>
      <c r="AV13" s="309"/>
      <c r="AW13" s="309"/>
      <c r="AX13" s="309"/>
      <c r="AY13" s="309"/>
      <c r="AZ13" s="336"/>
      <c r="BA13" s="333"/>
      <c r="BB13" s="333"/>
      <c r="BC13" s="333"/>
      <c r="BD13" s="333"/>
      <c r="BE13" s="333"/>
      <c r="BF13" s="333"/>
      <c r="BG13" s="333"/>
      <c r="BH13" s="333"/>
      <c r="BI13" s="211"/>
      <c r="BJ13" s="211"/>
      <c r="BK13" s="351"/>
      <c r="BL13" s="211"/>
      <c r="BM13" s="211"/>
      <c r="BN13" s="214"/>
      <c r="BO13" s="196">
        <v>73.400000000000006</v>
      </c>
      <c r="BP13" s="196">
        <v>0.42699999999999999</v>
      </c>
      <c r="BQ13" s="196">
        <v>5.86</v>
      </c>
      <c r="BR13" s="196">
        <v>72.900000000000006</v>
      </c>
      <c r="BS13" s="339">
        <v>1.52</v>
      </c>
      <c r="BT13" s="196">
        <v>7.63</v>
      </c>
      <c r="BU13" s="193">
        <v>7.45</v>
      </c>
      <c r="BV13" s="193">
        <v>1.49</v>
      </c>
      <c r="BW13" s="193">
        <v>1450</v>
      </c>
      <c r="BX13" s="193">
        <v>6.43</v>
      </c>
      <c r="BY13" s="193">
        <v>7.57</v>
      </c>
      <c r="BZ13" s="193">
        <v>6500</v>
      </c>
      <c r="CA13" s="193">
        <v>6.53</v>
      </c>
      <c r="CB13" s="193">
        <v>1.46</v>
      </c>
      <c r="CC13" s="193">
        <v>1570</v>
      </c>
      <c r="CD13" s="193">
        <v>7.13</v>
      </c>
      <c r="CE13" s="193">
        <v>2.69</v>
      </c>
      <c r="CF13" s="193">
        <v>2400</v>
      </c>
      <c r="CG13" s="193">
        <v>7.02</v>
      </c>
      <c r="CH13" s="193">
        <v>1.48</v>
      </c>
      <c r="CI13" s="193">
        <v>1847</v>
      </c>
      <c r="CJ13" s="193">
        <v>7.3</v>
      </c>
      <c r="CK13" s="193">
        <v>2.73</v>
      </c>
      <c r="CL13" s="193">
        <v>2100</v>
      </c>
      <c r="CM13" s="205">
        <v>76.400000000000006</v>
      </c>
      <c r="CN13" s="205"/>
      <c r="CO13" s="13">
        <v>4</v>
      </c>
      <c r="CP13" s="10">
        <v>7.91</v>
      </c>
      <c r="CQ13" s="26">
        <v>1.74</v>
      </c>
      <c r="CR13" s="17">
        <v>76.2</v>
      </c>
      <c r="CS13" s="10">
        <v>19.3</v>
      </c>
      <c r="CT13" s="10">
        <v>1.47</v>
      </c>
      <c r="CU13" s="12">
        <v>27.4</v>
      </c>
      <c r="CV13" s="8">
        <v>2.5</v>
      </c>
      <c r="CW13" s="8">
        <v>11</v>
      </c>
      <c r="CX13" s="8">
        <v>25</v>
      </c>
      <c r="CY13" s="13">
        <v>7</v>
      </c>
      <c r="CZ13" s="10">
        <v>7.75</v>
      </c>
      <c r="DA13" s="10">
        <v>2.11</v>
      </c>
      <c r="DB13" s="14">
        <v>75.7</v>
      </c>
      <c r="DC13" s="15"/>
      <c r="DD13" s="15"/>
      <c r="DE13" s="16"/>
      <c r="DF13" s="8">
        <v>2.4</v>
      </c>
      <c r="DG13" s="8">
        <v>12</v>
      </c>
      <c r="DH13" s="8">
        <v>27</v>
      </c>
      <c r="DI13" s="13">
        <v>10</v>
      </c>
      <c r="DJ13" s="10">
        <v>7.7</v>
      </c>
      <c r="DK13" s="10">
        <v>1.84</v>
      </c>
      <c r="DL13" s="11">
        <v>74.7</v>
      </c>
      <c r="DM13" s="10">
        <v>22</v>
      </c>
      <c r="DN13" s="10">
        <v>1.68</v>
      </c>
      <c r="DO13" s="12" t="s">
        <v>100</v>
      </c>
      <c r="DP13" s="8">
        <v>2.35</v>
      </c>
      <c r="DQ13" s="8">
        <v>15</v>
      </c>
      <c r="DR13" s="8">
        <v>17</v>
      </c>
      <c r="DS13" s="19">
        <v>10</v>
      </c>
      <c r="DT13" s="10">
        <v>7.69</v>
      </c>
      <c r="DU13" s="10">
        <v>2.08</v>
      </c>
      <c r="DV13" s="11">
        <v>74.2</v>
      </c>
      <c r="DW13" s="10">
        <v>23.9</v>
      </c>
      <c r="DX13" s="10">
        <v>1.79</v>
      </c>
      <c r="DY13" s="20" t="s">
        <v>101</v>
      </c>
      <c r="DZ13" s="8">
        <v>2.1</v>
      </c>
      <c r="EA13" s="8">
        <v>12</v>
      </c>
      <c r="EB13" s="8">
        <v>2</v>
      </c>
      <c r="EC13" s="8">
        <v>11</v>
      </c>
      <c r="ED13" s="8">
        <v>0</v>
      </c>
      <c r="EE13" s="8">
        <v>9</v>
      </c>
      <c r="EF13" s="8">
        <v>8</v>
      </c>
      <c r="EG13" s="8">
        <v>1</v>
      </c>
      <c r="EH13" s="8">
        <v>96</v>
      </c>
      <c r="EI13" s="8">
        <v>10</v>
      </c>
      <c r="EJ13" s="8">
        <v>0</v>
      </c>
      <c r="EK13" s="8">
        <f t="shared" si="17"/>
        <v>149</v>
      </c>
      <c r="EL13" s="9">
        <v>4</v>
      </c>
      <c r="EM13" s="8">
        <v>28</v>
      </c>
      <c r="EN13" s="10">
        <v>7.24</v>
      </c>
      <c r="EO13" s="10">
        <v>2.36</v>
      </c>
      <c r="EP13" s="11">
        <v>68.2</v>
      </c>
      <c r="EQ13" s="10">
        <v>27.6</v>
      </c>
      <c r="ER13" s="10">
        <v>1.89</v>
      </c>
      <c r="ES13" s="12" t="s">
        <v>104</v>
      </c>
      <c r="ET13" s="8">
        <v>2337</v>
      </c>
      <c r="EU13" s="8">
        <v>4334</v>
      </c>
      <c r="EV13" s="8">
        <v>0</v>
      </c>
      <c r="EW13" s="8">
        <f t="shared" si="8"/>
        <v>6671</v>
      </c>
      <c r="EX13" s="8">
        <v>56</v>
      </c>
      <c r="EY13" s="342"/>
    </row>
    <row r="14" spans="1:155" s="401" customFormat="1" ht="17.100000000000001" customHeight="1" thickBot="1">
      <c r="A14" s="179"/>
      <c r="B14" s="400" t="s">
        <v>246</v>
      </c>
      <c r="C14" s="203" t="s">
        <v>96</v>
      </c>
      <c r="D14" s="318">
        <f t="shared" si="0"/>
        <v>45.662100456621005</v>
      </c>
      <c r="E14" s="321">
        <f t="shared" si="1"/>
        <v>44.292237442922371</v>
      </c>
      <c r="F14" s="321">
        <f t="shared" si="2"/>
        <v>10.045662100456623</v>
      </c>
      <c r="G14" s="324">
        <f t="shared" si="3"/>
        <v>0</v>
      </c>
      <c r="H14" s="307">
        <v>0</v>
      </c>
      <c r="I14" s="310">
        <v>10</v>
      </c>
      <c r="J14" s="310">
        <v>9.6999999999999993</v>
      </c>
      <c r="K14" s="310">
        <v>2.2000000000000002</v>
      </c>
      <c r="L14" s="310">
        <v>0</v>
      </c>
      <c r="M14" s="310">
        <v>7.8</v>
      </c>
      <c r="N14" s="310">
        <v>1.7</v>
      </c>
      <c r="O14" s="346">
        <v>0.27</v>
      </c>
      <c r="P14" s="302"/>
      <c r="Q14" s="304"/>
      <c r="R14" s="307"/>
      <c r="S14" s="310"/>
      <c r="T14" s="310"/>
      <c r="U14" s="310"/>
      <c r="V14" s="310"/>
      <c r="W14" s="310"/>
      <c r="X14" s="337"/>
      <c r="Y14" s="307">
        <f t="shared" si="4"/>
        <v>0</v>
      </c>
      <c r="Z14" s="310">
        <f t="shared" si="4"/>
        <v>0</v>
      </c>
      <c r="AA14" s="310">
        <f t="shared" si="4"/>
        <v>0</v>
      </c>
      <c r="AB14" s="310">
        <f t="shared" si="4"/>
        <v>0</v>
      </c>
      <c r="AC14" s="310">
        <f t="shared" si="4"/>
        <v>0</v>
      </c>
      <c r="AD14" s="310">
        <f t="shared" si="4"/>
        <v>0</v>
      </c>
      <c r="AE14" s="349">
        <f t="shared" si="4"/>
        <v>0</v>
      </c>
      <c r="AF14" s="307">
        <f t="shared" si="4"/>
        <v>0</v>
      </c>
      <c r="AG14" s="302"/>
      <c r="AH14" s="302"/>
      <c r="AI14" s="302"/>
      <c r="AJ14" s="302"/>
      <c r="AK14" s="302"/>
      <c r="AL14" s="304"/>
      <c r="AM14" s="334"/>
      <c r="AN14" s="302"/>
      <c r="AO14" s="302"/>
      <c r="AP14" s="302"/>
      <c r="AQ14" s="302"/>
      <c r="AR14" s="302"/>
      <c r="AS14" s="302"/>
      <c r="AT14" s="307"/>
      <c r="AU14" s="310"/>
      <c r="AV14" s="310"/>
      <c r="AW14" s="310"/>
      <c r="AX14" s="310"/>
      <c r="AY14" s="310"/>
      <c r="AZ14" s="337"/>
      <c r="BA14" s="334"/>
      <c r="BB14" s="334"/>
      <c r="BC14" s="334"/>
      <c r="BD14" s="334"/>
      <c r="BE14" s="334"/>
      <c r="BF14" s="334"/>
      <c r="BG14" s="334"/>
      <c r="BH14" s="334"/>
      <c r="BI14" s="302"/>
      <c r="BJ14" s="302"/>
      <c r="BK14" s="352"/>
      <c r="BL14" s="302"/>
      <c r="BM14" s="302"/>
      <c r="BN14" s="304"/>
      <c r="BO14" s="217">
        <v>74.3</v>
      </c>
      <c r="BP14" s="217">
        <v>0.379</v>
      </c>
      <c r="BQ14" s="217">
        <v>6.97</v>
      </c>
      <c r="BR14" s="217">
        <v>73</v>
      </c>
      <c r="BS14" s="340">
        <v>0.28599999999999998</v>
      </c>
      <c r="BT14" s="217">
        <v>6.74</v>
      </c>
      <c r="BU14" s="219">
        <v>7.45</v>
      </c>
      <c r="BV14" s="219">
        <v>1.49</v>
      </c>
      <c r="BW14" s="219">
        <v>1450</v>
      </c>
      <c r="BX14" s="219">
        <v>6.43</v>
      </c>
      <c r="BY14" s="219">
        <v>7.57</v>
      </c>
      <c r="BZ14" s="219">
        <v>6500</v>
      </c>
      <c r="CA14" s="219">
        <v>6.53</v>
      </c>
      <c r="CB14" s="219">
        <v>1.46</v>
      </c>
      <c r="CC14" s="219">
        <v>1570</v>
      </c>
      <c r="CD14" s="219">
        <v>7.13</v>
      </c>
      <c r="CE14" s="219">
        <v>2.69</v>
      </c>
      <c r="CF14" s="219">
        <v>2400</v>
      </c>
      <c r="CG14" s="219">
        <v>7.02</v>
      </c>
      <c r="CH14" s="219">
        <v>1.48</v>
      </c>
      <c r="CI14" s="219">
        <v>1847</v>
      </c>
      <c r="CJ14" s="219">
        <v>7.3</v>
      </c>
      <c r="CK14" s="219">
        <v>2.73</v>
      </c>
      <c r="CL14" s="219">
        <v>2100</v>
      </c>
      <c r="CM14" s="221">
        <v>76</v>
      </c>
      <c r="CN14" s="221"/>
      <c r="CO14" s="98"/>
      <c r="CP14" s="99"/>
      <c r="CQ14" s="99"/>
      <c r="CR14" s="100"/>
      <c r="CS14" s="99"/>
      <c r="CT14" s="99"/>
      <c r="CU14" s="101"/>
      <c r="CV14" s="102"/>
      <c r="CW14" s="102"/>
      <c r="CX14" s="102"/>
      <c r="CY14" s="103"/>
      <c r="CZ14" s="99"/>
      <c r="DA14" s="99"/>
      <c r="DB14" s="100"/>
      <c r="DC14" s="99"/>
      <c r="DD14" s="99"/>
      <c r="DE14" s="104"/>
      <c r="DF14" s="102"/>
      <c r="DG14" s="102"/>
      <c r="DH14" s="102"/>
      <c r="DI14" s="101"/>
      <c r="DJ14" s="99"/>
      <c r="DK14" s="99"/>
      <c r="DL14" s="100"/>
      <c r="DM14" s="99"/>
      <c r="DN14" s="99"/>
      <c r="DO14" s="101"/>
      <c r="DP14" s="102"/>
      <c r="DQ14" s="102"/>
      <c r="DR14" s="102"/>
      <c r="DS14" s="105"/>
      <c r="DT14" s="99"/>
      <c r="DU14" s="99"/>
      <c r="DV14" s="100"/>
      <c r="DW14" s="99"/>
      <c r="DX14" s="99"/>
      <c r="DY14" s="104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6" t="s">
        <v>105</v>
      </c>
      <c r="EM14" s="102">
        <v>60</v>
      </c>
      <c r="EN14" s="107">
        <v>7.32</v>
      </c>
      <c r="EO14" s="107">
        <v>2.48</v>
      </c>
      <c r="EP14" s="108">
        <v>68.099999999999994</v>
      </c>
      <c r="EQ14" s="107">
        <v>28.1</v>
      </c>
      <c r="ER14" s="107">
        <v>1.94</v>
      </c>
      <c r="ES14" s="109" t="s">
        <v>102</v>
      </c>
      <c r="ET14" s="102">
        <v>4290</v>
      </c>
      <c r="EU14" s="102">
        <v>4747</v>
      </c>
      <c r="EV14" s="102">
        <v>0</v>
      </c>
      <c r="EW14" s="102">
        <f t="shared" si="8"/>
        <v>9037</v>
      </c>
      <c r="EX14" s="102">
        <v>55</v>
      </c>
      <c r="EY14" s="343"/>
    </row>
    <row r="15" spans="1:155" s="398" customFormat="1" ht="17.100000000000001" customHeight="1">
      <c r="A15" s="176">
        <v>3</v>
      </c>
      <c r="B15" s="397" t="s">
        <v>247</v>
      </c>
      <c r="C15" s="201" t="s">
        <v>96</v>
      </c>
      <c r="D15" s="316">
        <f t="shared" si="0"/>
        <v>50.672645739910315</v>
      </c>
      <c r="E15" s="319">
        <f t="shared" si="1"/>
        <v>40.358744394618832</v>
      </c>
      <c r="F15" s="319">
        <f t="shared" si="2"/>
        <v>8.9686098654708513</v>
      </c>
      <c r="G15" s="322">
        <f t="shared" si="3"/>
        <v>0</v>
      </c>
      <c r="H15" s="305">
        <v>11.3</v>
      </c>
      <c r="I15" s="308">
        <v>0</v>
      </c>
      <c r="J15" s="308">
        <v>9</v>
      </c>
      <c r="K15" s="308">
        <v>2</v>
      </c>
      <c r="L15" s="308">
        <v>0</v>
      </c>
      <c r="M15" s="308">
        <v>8</v>
      </c>
      <c r="N15" s="308">
        <v>1.7</v>
      </c>
      <c r="O15" s="308">
        <v>0.3</v>
      </c>
      <c r="P15" s="301"/>
      <c r="Q15" s="303"/>
      <c r="R15" s="305">
        <v>0.84</v>
      </c>
      <c r="S15" s="308">
        <v>0</v>
      </c>
      <c r="T15" s="308">
        <v>0.38</v>
      </c>
      <c r="U15" s="308">
        <v>0.63</v>
      </c>
      <c r="V15" s="308">
        <v>0</v>
      </c>
      <c r="W15" s="308">
        <v>3.3</v>
      </c>
      <c r="X15" s="335">
        <v>20.5</v>
      </c>
      <c r="Y15" s="305">
        <f t="shared" si="4"/>
        <v>94.920000000000016</v>
      </c>
      <c r="Z15" s="308">
        <f t="shared" si="4"/>
        <v>0</v>
      </c>
      <c r="AA15" s="308">
        <f t="shared" si="4"/>
        <v>34.200000000000003</v>
      </c>
      <c r="AB15" s="308">
        <f t="shared" si="4"/>
        <v>12.6</v>
      </c>
      <c r="AC15" s="308">
        <f t="shared" si="4"/>
        <v>0</v>
      </c>
      <c r="AD15" s="308">
        <f t="shared" si="4"/>
        <v>264</v>
      </c>
      <c r="AE15" s="335">
        <f>O15*X15*10</f>
        <v>61.499999999999993</v>
      </c>
      <c r="AF15" s="305">
        <v>12.18</v>
      </c>
      <c r="AG15" s="301">
        <v>0</v>
      </c>
      <c r="AH15" s="301">
        <v>1.7</v>
      </c>
      <c r="AI15" s="301">
        <v>10.6</v>
      </c>
      <c r="AJ15" s="301">
        <v>0</v>
      </c>
      <c r="AK15" s="301">
        <v>30.8</v>
      </c>
      <c r="AL15" s="303">
        <v>84.4</v>
      </c>
      <c r="AM15" s="332">
        <f>H15*AF15*10</f>
        <v>1376.3400000000001</v>
      </c>
      <c r="AN15" s="301">
        <f t="shared" ref="AN15:AS15" si="18">I15*AG15*10</f>
        <v>0</v>
      </c>
      <c r="AO15" s="301">
        <f t="shared" si="18"/>
        <v>153</v>
      </c>
      <c r="AP15" s="301">
        <f t="shared" si="18"/>
        <v>212</v>
      </c>
      <c r="AQ15" s="301">
        <f t="shared" si="18"/>
        <v>0</v>
      </c>
      <c r="AR15" s="301">
        <f t="shared" si="18"/>
        <v>2464</v>
      </c>
      <c r="AS15" s="301">
        <f t="shared" si="18"/>
        <v>1434.8000000000002</v>
      </c>
      <c r="AT15" s="305">
        <v>12.5</v>
      </c>
      <c r="AU15" s="308">
        <v>0</v>
      </c>
      <c r="AV15" s="308">
        <v>53.2</v>
      </c>
      <c r="AW15" s="308">
        <v>11.6</v>
      </c>
      <c r="AX15" s="308">
        <v>0</v>
      </c>
      <c r="AY15" s="308">
        <v>18.2</v>
      </c>
      <c r="AZ15" s="335">
        <v>27.4</v>
      </c>
      <c r="BA15" s="332">
        <f t="shared" ref="BA15:BG15" si="19">(H15*3*1000)/(1-AT15/100)</f>
        <v>38742.857142857152</v>
      </c>
      <c r="BB15" s="332">
        <f t="shared" si="19"/>
        <v>0</v>
      </c>
      <c r="BC15" s="332">
        <f t="shared" si="19"/>
        <v>57692.307692307695</v>
      </c>
      <c r="BD15" s="332">
        <f t="shared" si="19"/>
        <v>6787.3303167420818</v>
      </c>
      <c r="BE15" s="332">
        <f t="shared" si="19"/>
        <v>0</v>
      </c>
      <c r="BF15" s="332">
        <f t="shared" si="19"/>
        <v>29339.853300733495</v>
      </c>
      <c r="BG15" s="332">
        <f t="shared" si="19"/>
        <v>7024.7933884297527</v>
      </c>
      <c r="BH15" s="332">
        <f t="shared" ref="BH15" si="20">H15+I15+J15+K15+L15</f>
        <v>22.3</v>
      </c>
      <c r="BI15" s="301">
        <f t="shared" ref="BI15" si="21">M15+N15+O15</f>
        <v>10</v>
      </c>
      <c r="BJ15" s="301">
        <f t="shared" ref="BJ15" si="22">BH15+BI15</f>
        <v>32.299999999999997</v>
      </c>
      <c r="BK15" s="301">
        <f t="shared" ref="BK15" si="23">Y15+Z15+AA15+AB15+AC15+AD15+AE15</f>
        <v>467.22</v>
      </c>
      <c r="BL15" s="301">
        <f t="shared" ref="BL15" si="24">AM15+AN15+AO15+AP15+AQ15+AR15+AS15</f>
        <v>5640.14</v>
      </c>
      <c r="BM15" s="301">
        <f t="shared" ref="BM15" si="25">BJ15*3*1000</f>
        <v>96899.999999999985</v>
      </c>
      <c r="BN15" s="303">
        <f t="shared" ref="BN15" si="26">BA15+BB15+BC15+BD15+BE15+BF15+BG15</f>
        <v>139587.1418410702</v>
      </c>
      <c r="BO15" s="216">
        <v>73.8</v>
      </c>
      <c r="BP15" s="216">
        <v>0.67100000000000004</v>
      </c>
      <c r="BQ15" s="216">
        <v>5.57</v>
      </c>
      <c r="BR15" s="216">
        <v>73</v>
      </c>
      <c r="BS15" s="338">
        <v>0.45900000000000002</v>
      </c>
      <c r="BT15" s="216">
        <v>5.89</v>
      </c>
      <c r="BU15" s="218">
        <v>7.32</v>
      </c>
      <c r="BV15" s="218">
        <v>1.46</v>
      </c>
      <c r="BW15" s="218">
        <v>1270</v>
      </c>
      <c r="BX15" s="218">
        <v>6.54</v>
      </c>
      <c r="BY15" s="218">
        <v>4.9800000000000004</v>
      </c>
      <c r="BZ15" s="218">
        <v>3180</v>
      </c>
      <c r="CA15" s="218">
        <v>7.3</v>
      </c>
      <c r="CB15" s="218">
        <v>1.48</v>
      </c>
      <c r="CC15" s="218">
        <v>1320</v>
      </c>
      <c r="CD15" s="218">
        <v>7.3</v>
      </c>
      <c r="CE15" s="218">
        <v>2.61</v>
      </c>
      <c r="CF15" s="218">
        <v>2800</v>
      </c>
      <c r="CG15" s="218">
        <v>7.34</v>
      </c>
      <c r="CH15" s="218">
        <v>1.5</v>
      </c>
      <c r="CI15" s="218">
        <v>1610</v>
      </c>
      <c r="CJ15" s="218">
        <v>7.62</v>
      </c>
      <c r="CK15" s="218">
        <v>2.46</v>
      </c>
      <c r="CL15" s="218">
        <v>2300</v>
      </c>
      <c r="CM15" s="220">
        <v>76.8</v>
      </c>
      <c r="CN15" s="220">
        <v>76.2</v>
      </c>
      <c r="CO15" s="75">
        <v>2</v>
      </c>
      <c r="CP15" s="76">
        <v>7.99</v>
      </c>
      <c r="CQ15" s="76">
        <v>2.2400000000000002</v>
      </c>
      <c r="CR15" s="77">
        <v>75.7</v>
      </c>
      <c r="CS15" s="111">
        <v>19.399999999999999</v>
      </c>
      <c r="CT15" s="76">
        <v>1.49</v>
      </c>
      <c r="CU15" s="78" t="s">
        <v>106</v>
      </c>
      <c r="CV15" s="79">
        <v>2.5</v>
      </c>
      <c r="CW15" s="79">
        <v>15</v>
      </c>
      <c r="CX15" s="79">
        <v>25</v>
      </c>
      <c r="CY15" s="75">
        <v>5</v>
      </c>
      <c r="CZ15" s="76">
        <v>7.77</v>
      </c>
      <c r="DA15" s="76">
        <v>1.95</v>
      </c>
      <c r="DB15" s="80">
        <v>75</v>
      </c>
      <c r="DC15" s="81"/>
      <c r="DD15" s="81"/>
      <c r="DE15" s="82"/>
      <c r="DF15" s="79">
        <v>2.5</v>
      </c>
      <c r="DG15" s="79">
        <v>18</v>
      </c>
      <c r="DH15" s="79">
        <v>20</v>
      </c>
      <c r="DI15" s="75">
        <v>8</v>
      </c>
      <c r="DJ15" s="76">
        <v>7.73</v>
      </c>
      <c r="DK15" s="111">
        <v>2.2599999999999998</v>
      </c>
      <c r="DL15" s="83">
        <v>75.099999999999994</v>
      </c>
      <c r="DM15" s="76">
        <v>20.7</v>
      </c>
      <c r="DN15" s="76">
        <v>1.75</v>
      </c>
      <c r="DO15" s="78" t="s">
        <v>107</v>
      </c>
      <c r="DP15" s="79">
        <v>2</v>
      </c>
      <c r="DQ15" s="79">
        <v>9</v>
      </c>
      <c r="DR15" s="79">
        <v>27</v>
      </c>
      <c r="DS15" s="85">
        <v>11</v>
      </c>
      <c r="DT15" s="76">
        <v>7.57</v>
      </c>
      <c r="DU15" s="76">
        <v>2.12</v>
      </c>
      <c r="DV15" s="83">
        <v>74.7</v>
      </c>
      <c r="DW15" s="76">
        <v>23.4</v>
      </c>
      <c r="DX15" s="76">
        <v>1.86</v>
      </c>
      <c r="DY15" s="86" t="s">
        <v>108</v>
      </c>
      <c r="DZ15" s="79">
        <v>2.2000000000000002</v>
      </c>
      <c r="EA15" s="79">
        <v>8</v>
      </c>
      <c r="EB15" s="79">
        <v>11</v>
      </c>
      <c r="EC15" s="79">
        <v>8</v>
      </c>
      <c r="ED15" s="79">
        <v>1</v>
      </c>
      <c r="EE15" s="79">
        <v>9</v>
      </c>
      <c r="EF15" s="79">
        <v>7</v>
      </c>
      <c r="EG15" s="79">
        <v>6</v>
      </c>
      <c r="EH15" s="79">
        <v>86</v>
      </c>
      <c r="EI15" s="79">
        <v>5</v>
      </c>
      <c r="EJ15" s="79">
        <v>0</v>
      </c>
      <c r="EK15" s="79">
        <f t="shared" ref="EK15:EK17" si="27">EA15+EB15+EC15+ED15+EE15+EF15+EG15+EH15+EI15+EJ15</f>
        <v>141</v>
      </c>
      <c r="EL15" s="87">
        <v>7</v>
      </c>
      <c r="EM15" s="79">
        <v>5</v>
      </c>
      <c r="EN15" s="76">
        <v>7.18</v>
      </c>
      <c r="EO15" s="76">
        <v>2.44</v>
      </c>
      <c r="EP15" s="77">
        <v>68.7</v>
      </c>
      <c r="EQ15" s="76">
        <v>26.8</v>
      </c>
      <c r="ER15" s="76">
        <v>1.87</v>
      </c>
      <c r="ES15" s="78" t="s">
        <v>109</v>
      </c>
      <c r="ET15" s="79">
        <v>3843</v>
      </c>
      <c r="EU15" s="79">
        <v>2782</v>
      </c>
      <c r="EV15" s="79">
        <v>0</v>
      </c>
      <c r="EW15" s="79">
        <f t="shared" si="8"/>
        <v>6625</v>
      </c>
      <c r="EX15" s="79">
        <v>54</v>
      </c>
      <c r="EY15" s="341">
        <f>EW15+EW16+EW17+EW18</f>
        <v>28956</v>
      </c>
    </row>
    <row r="16" spans="1:155" ht="17.100000000000001" customHeight="1">
      <c r="A16" s="28"/>
      <c r="B16" s="399" t="s">
        <v>247</v>
      </c>
      <c r="C16" s="202" t="s">
        <v>96</v>
      </c>
      <c r="D16" s="317">
        <f t="shared" si="0"/>
        <v>49.549549549549546</v>
      </c>
      <c r="E16" s="320">
        <f t="shared" si="1"/>
        <v>40.54054054054054</v>
      </c>
      <c r="F16" s="320">
        <f t="shared" si="2"/>
        <v>9.9099099099099117</v>
      </c>
      <c r="G16" s="323">
        <f t="shared" si="3"/>
        <v>0</v>
      </c>
      <c r="H16" s="306">
        <v>11</v>
      </c>
      <c r="I16" s="309">
        <v>0</v>
      </c>
      <c r="J16" s="309">
        <v>9</v>
      </c>
      <c r="K16" s="309">
        <v>2.2000000000000002</v>
      </c>
      <c r="L16" s="309">
        <v>0</v>
      </c>
      <c r="M16" s="309">
        <v>8.5</v>
      </c>
      <c r="N16" s="309">
        <v>1.6</v>
      </c>
      <c r="O16" s="309">
        <v>0.3</v>
      </c>
      <c r="P16" s="211"/>
      <c r="Q16" s="214"/>
      <c r="R16" s="306"/>
      <c r="S16" s="309"/>
      <c r="T16" s="309"/>
      <c r="U16" s="309"/>
      <c r="V16" s="309"/>
      <c r="W16" s="309"/>
      <c r="X16" s="336"/>
      <c r="Y16" s="306">
        <f t="shared" si="4"/>
        <v>0</v>
      </c>
      <c r="Z16" s="309">
        <f t="shared" si="4"/>
        <v>0</v>
      </c>
      <c r="AA16" s="309">
        <f t="shared" si="4"/>
        <v>0</v>
      </c>
      <c r="AB16" s="309">
        <f t="shared" si="4"/>
        <v>0</v>
      </c>
      <c r="AC16" s="309">
        <f t="shared" si="4"/>
        <v>0</v>
      </c>
      <c r="AD16" s="309">
        <f t="shared" si="4"/>
        <v>0</v>
      </c>
      <c r="AE16" s="336">
        <f>N16*X16*10</f>
        <v>0</v>
      </c>
      <c r="AF16" s="306"/>
      <c r="AG16" s="211"/>
      <c r="AH16" s="211"/>
      <c r="AI16" s="211"/>
      <c r="AJ16" s="211"/>
      <c r="AK16" s="211"/>
      <c r="AL16" s="214"/>
      <c r="AM16" s="333"/>
      <c r="AN16" s="211"/>
      <c r="AO16" s="211"/>
      <c r="AP16" s="211"/>
      <c r="AQ16" s="211"/>
      <c r="AR16" s="211"/>
      <c r="AS16" s="211"/>
      <c r="AT16" s="306"/>
      <c r="AU16" s="309"/>
      <c r="AV16" s="309"/>
      <c r="AW16" s="309"/>
      <c r="AX16" s="309"/>
      <c r="AY16" s="309"/>
      <c r="AZ16" s="336"/>
      <c r="BA16" s="333"/>
      <c r="BB16" s="333"/>
      <c r="BC16" s="333"/>
      <c r="BD16" s="333"/>
      <c r="BE16" s="333"/>
      <c r="BF16" s="333"/>
      <c r="BG16" s="333"/>
      <c r="BH16" s="333"/>
      <c r="BI16" s="211"/>
      <c r="BJ16" s="211"/>
      <c r="BK16" s="211"/>
      <c r="BL16" s="211"/>
      <c r="BM16" s="211"/>
      <c r="BN16" s="214"/>
      <c r="BO16" s="196">
        <v>73.400000000000006</v>
      </c>
      <c r="BP16" s="196">
        <v>0.42699999999999999</v>
      </c>
      <c r="BQ16" s="196">
        <v>5.86</v>
      </c>
      <c r="BR16" s="196">
        <v>72.900000000000006</v>
      </c>
      <c r="BS16" s="339">
        <v>1.52</v>
      </c>
      <c r="BT16" s="196">
        <v>7.63</v>
      </c>
      <c r="BU16" s="193">
        <v>7.32</v>
      </c>
      <c r="BV16" s="193">
        <v>1.46</v>
      </c>
      <c r="BW16" s="193">
        <v>1270</v>
      </c>
      <c r="BX16" s="193">
        <v>6.54</v>
      </c>
      <c r="BY16" s="193">
        <v>4.9800000000000004</v>
      </c>
      <c r="BZ16" s="193">
        <v>3180</v>
      </c>
      <c r="CA16" s="193">
        <v>7.3</v>
      </c>
      <c r="CB16" s="193">
        <v>1.48</v>
      </c>
      <c r="CC16" s="193">
        <v>1320</v>
      </c>
      <c r="CD16" s="193">
        <v>7.3</v>
      </c>
      <c r="CE16" s="193">
        <v>2.61</v>
      </c>
      <c r="CF16" s="193">
        <v>2800</v>
      </c>
      <c r="CG16" s="193">
        <v>7.34</v>
      </c>
      <c r="CH16" s="193">
        <v>1.5</v>
      </c>
      <c r="CI16" s="193">
        <v>1610</v>
      </c>
      <c r="CJ16" s="193">
        <v>7.62</v>
      </c>
      <c r="CK16" s="193">
        <v>2.46</v>
      </c>
      <c r="CL16" s="193">
        <v>2300</v>
      </c>
      <c r="CM16" s="205">
        <v>76.400000000000006</v>
      </c>
      <c r="CN16" s="205"/>
      <c r="CO16" s="13">
        <v>3</v>
      </c>
      <c r="CP16" s="10">
        <v>7.99</v>
      </c>
      <c r="CQ16" s="10">
        <v>2.2400000000000002</v>
      </c>
      <c r="CR16" s="11">
        <v>75.7</v>
      </c>
      <c r="CS16" s="26">
        <v>19.399999999999999</v>
      </c>
      <c r="CT16" s="10">
        <v>1.49</v>
      </c>
      <c r="CU16" s="12" t="s">
        <v>106</v>
      </c>
      <c r="CV16" s="8">
        <v>2.5</v>
      </c>
      <c r="CW16" s="8">
        <v>14</v>
      </c>
      <c r="CX16" s="8">
        <v>24</v>
      </c>
      <c r="CY16" s="13">
        <v>6</v>
      </c>
      <c r="CZ16" s="10">
        <v>7.77</v>
      </c>
      <c r="DA16" s="10">
        <v>1.95</v>
      </c>
      <c r="DB16" s="14">
        <v>75</v>
      </c>
      <c r="DC16" s="15"/>
      <c r="DD16" s="15"/>
      <c r="DE16" s="16"/>
      <c r="DF16" s="8">
        <v>2.5</v>
      </c>
      <c r="DG16" s="8">
        <v>17</v>
      </c>
      <c r="DH16" s="8">
        <v>19</v>
      </c>
      <c r="DI16" s="13">
        <v>9</v>
      </c>
      <c r="DJ16" s="10">
        <v>7.73</v>
      </c>
      <c r="DK16" s="26">
        <v>2.2599999999999998</v>
      </c>
      <c r="DL16" s="17">
        <v>75.099999999999994</v>
      </c>
      <c r="DM16" s="10">
        <v>20.7</v>
      </c>
      <c r="DN16" s="10">
        <v>1.75</v>
      </c>
      <c r="DO16" s="12" t="s">
        <v>107</v>
      </c>
      <c r="DP16" s="8">
        <v>2</v>
      </c>
      <c r="DQ16" s="8">
        <v>10</v>
      </c>
      <c r="DR16" s="8">
        <v>29</v>
      </c>
      <c r="DS16" s="19">
        <v>12</v>
      </c>
      <c r="DT16" s="10">
        <v>7.57</v>
      </c>
      <c r="DU16" s="10">
        <v>2.12</v>
      </c>
      <c r="DV16" s="17">
        <v>74.7</v>
      </c>
      <c r="DW16" s="10">
        <v>23.4</v>
      </c>
      <c r="DX16" s="10">
        <v>1.86</v>
      </c>
      <c r="DY16" s="20" t="s">
        <v>108</v>
      </c>
      <c r="DZ16" s="8">
        <v>2.2000000000000002</v>
      </c>
      <c r="EA16" s="8">
        <v>8</v>
      </c>
      <c r="EB16" s="8">
        <v>9</v>
      </c>
      <c r="EC16" s="8">
        <v>9</v>
      </c>
      <c r="ED16" s="8">
        <v>0</v>
      </c>
      <c r="EE16" s="8">
        <v>11</v>
      </c>
      <c r="EF16" s="8">
        <v>8</v>
      </c>
      <c r="EG16" s="8">
        <v>5</v>
      </c>
      <c r="EH16" s="8">
        <v>96</v>
      </c>
      <c r="EI16" s="8">
        <v>5</v>
      </c>
      <c r="EJ16" s="8">
        <v>5</v>
      </c>
      <c r="EK16" s="8">
        <f t="shared" si="27"/>
        <v>156</v>
      </c>
      <c r="EL16" s="9">
        <v>8</v>
      </c>
      <c r="EM16" s="8">
        <v>3</v>
      </c>
      <c r="EN16" s="10">
        <v>7.35</v>
      </c>
      <c r="EO16" s="10">
        <v>2.39</v>
      </c>
      <c r="EP16" s="11">
        <v>68.3</v>
      </c>
      <c r="EQ16" s="10">
        <v>27.12</v>
      </c>
      <c r="ER16" s="10">
        <v>2.2999999999999998</v>
      </c>
      <c r="ES16" s="12" t="s">
        <v>110</v>
      </c>
      <c r="ET16" s="8">
        <v>3337</v>
      </c>
      <c r="EU16" s="8">
        <v>2769</v>
      </c>
      <c r="EV16" s="8">
        <v>521</v>
      </c>
      <c r="EW16" s="8">
        <f t="shared" si="8"/>
        <v>6627</v>
      </c>
      <c r="EX16" s="8">
        <v>54</v>
      </c>
      <c r="EY16" s="342"/>
    </row>
    <row r="17" spans="1:155" ht="17.100000000000001" customHeight="1">
      <c r="A17" s="28"/>
      <c r="B17" s="399" t="s">
        <v>247</v>
      </c>
      <c r="C17" s="202" t="s">
        <v>96</v>
      </c>
      <c r="D17" s="317">
        <f t="shared" si="0"/>
        <v>61.777777777777779</v>
      </c>
      <c r="E17" s="320">
        <f t="shared" si="1"/>
        <v>38.222222222222221</v>
      </c>
      <c r="F17" s="320">
        <f t="shared" si="2"/>
        <v>0</v>
      </c>
      <c r="G17" s="323">
        <f t="shared" si="3"/>
        <v>0</v>
      </c>
      <c r="H17" s="306">
        <v>13.9</v>
      </c>
      <c r="I17" s="309">
        <v>0</v>
      </c>
      <c r="J17" s="309">
        <v>8.6</v>
      </c>
      <c r="K17" s="309">
        <v>0</v>
      </c>
      <c r="L17" s="309">
        <v>0</v>
      </c>
      <c r="M17" s="309">
        <v>8</v>
      </c>
      <c r="N17" s="309">
        <v>1.7</v>
      </c>
      <c r="O17" s="309">
        <v>0.2</v>
      </c>
      <c r="P17" s="211"/>
      <c r="Q17" s="214"/>
      <c r="R17" s="306"/>
      <c r="S17" s="309"/>
      <c r="T17" s="309"/>
      <c r="U17" s="309"/>
      <c r="V17" s="309"/>
      <c r="W17" s="309"/>
      <c r="X17" s="336"/>
      <c r="Y17" s="306">
        <f t="shared" si="4"/>
        <v>0</v>
      </c>
      <c r="Z17" s="309">
        <f t="shared" si="4"/>
        <v>0</v>
      </c>
      <c r="AA17" s="309">
        <f t="shared" si="4"/>
        <v>0</v>
      </c>
      <c r="AB17" s="309">
        <f t="shared" si="4"/>
        <v>0</v>
      </c>
      <c r="AC17" s="309">
        <f t="shared" si="4"/>
        <v>0</v>
      </c>
      <c r="AD17" s="309">
        <f t="shared" si="4"/>
        <v>0</v>
      </c>
      <c r="AE17" s="336">
        <f>N17*X17*10</f>
        <v>0</v>
      </c>
      <c r="AF17" s="306"/>
      <c r="AG17" s="211"/>
      <c r="AH17" s="211"/>
      <c r="AI17" s="211"/>
      <c r="AJ17" s="211"/>
      <c r="AK17" s="211"/>
      <c r="AL17" s="214"/>
      <c r="AM17" s="333"/>
      <c r="AN17" s="211"/>
      <c r="AO17" s="211"/>
      <c r="AP17" s="211"/>
      <c r="AQ17" s="211"/>
      <c r="AR17" s="211"/>
      <c r="AS17" s="211"/>
      <c r="AT17" s="306"/>
      <c r="AU17" s="309"/>
      <c r="AV17" s="309"/>
      <c r="AW17" s="309"/>
      <c r="AX17" s="309"/>
      <c r="AY17" s="309"/>
      <c r="AZ17" s="336"/>
      <c r="BA17" s="333"/>
      <c r="BB17" s="333"/>
      <c r="BC17" s="333"/>
      <c r="BD17" s="333"/>
      <c r="BE17" s="333"/>
      <c r="BF17" s="333"/>
      <c r="BG17" s="333"/>
      <c r="BH17" s="333"/>
      <c r="BI17" s="211"/>
      <c r="BJ17" s="211"/>
      <c r="BK17" s="211"/>
      <c r="BL17" s="211"/>
      <c r="BM17" s="211"/>
      <c r="BN17" s="214"/>
      <c r="BO17" s="196">
        <v>74.3</v>
      </c>
      <c r="BP17" s="196">
        <v>0.379</v>
      </c>
      <c r="BQ17" s="196">
        <v>6.97</v>
      </c>
      <c r="BR17" s="196">
        <v>73</v>
      </c>
      <c r="BS17" s="339">
        <v>0.28599999999999998</v>
      </c>
      <c r="BT17" s="196">
        <v>6.74</v>
      </c>
      <c r="BU17" s="193">
        <v>7.32</v>
      </c>
      <c r="BV17" s="193">
        <v>1.46</v>
      </c>
      <c r="BW17" s="193">
        <v>1270</v>
      </c>
      <c r="BX17" s="193">
        <v>6.54</v>
      </c>
      <c r="BY17" s="193">
        <v>4.9800000000000004</v>
      </c>
      <c r="BZ17" s="193">
        <v>3180</v>
      </c>
      <c r="CA17" s="193">
        <v>7.3</v>
      </c>
      <c r="CB17" s="193">
        <v>1.48</v>
      </c>
      <c r="CC17" s="193">
        <v>1320</v>
      </c>
      <c r="CD17" s="193">
        <v>7.3</v>
      </c>
      <c r="CE17" s="193">
        <v>2.61</v>
      </c>
      <c r="CF17" s="193">
        <v>2800</v>
      </c>
      <c r="CG17" s="193">
        <v>7.34</v>
      </c>
      <c r="CH17" s="193">
        <v>1.5</v>
      </c>
      <c r="CI17" s="193">
        <v>1610</v>
      </c>
      <c r="CJ17" s="193">
        <v>7.62</v>
      </c>
      <c r="CK17" s="193">
        <v>2.46</v>
      </c>
      <c r="CL17" s="193">
        <v>2300</v>
      </c>
      <c r="CM17" s="205">
        <v>76</v>
      </c>
      <c r="CN17" s="205"/>
      <c r="CO17" s="13">
        <v>4</v>
      </c>
      <c r="CP17" s="10">
        <v>7.99</v>
      </c>
      <c r="CQ17" s="10">
        <v>2.2400000000000002</v>
      </c>
      <c r="CR17" s="11">
        <v>75.7</v>
      </c>
      <c r="CS17" s="26">
        <v>19.399999999999999</v>
      </c>
      <c r="CT17" s="10">
        <v>1.49</v>
      </c>
      <c r="CU17" s="12" t="s">
        <v>106</v>
      </c>
      <c r="CV17" s="8">
        <v>2.5</v>
      </c>
      <c r="CW17" s="8">
        <v>12</v>
      </c>
      <c r="CX17" s="8">
        <v>29</v>
      </c>
      <c r="CY17" s="13">
        <v>7</v>
      </c>
      <c r="CZ17" s="10">
        <v>7.77</v>
      </c>
      <c r="DA17" s="10">
        <v>1.95</v>
      </c>
      <c r="DB17" s="14">
        <v>75</v>
      </c>
      <c r="DC17" s="15"/>
      <c r="DD17" s="15"/>
      <c r="DE17" s="16"/>
      <c r="DF17" s="8">
        <v>2.5</v>
      </c>
      <c r="DG17" s="8">
        <v>14</v>
      </c>
      <c r="DH17" s="8">
        <v>20</v>
      </c>
      <c r="DI17" s="13">
        <v>10</v>
      </c>
      <c r="DJ17" s="10">
        <v>7.73</v>
      </c>
      <c r="DK17" s="26">
        <v>2.2599999999999998</v>
      </c>
      <c r="DL17" s="17">
        <v>75.099999999999994</v>
      </c>
      <c r="DM17" s="10">
        <v>20.7</v>
      </c>
      <c r="DN17" s="10">
        <v>1.75</v>
      </c>
      <c r="DO17" s="12" t="s">
        <v>107</v>
      </c>
      <c r="DP17" s="8">
        <v>2</v>
      </c>
      <c r="DQ17" s="8">
        <v>12</v>
      </c>
      <c r="DR17" s="8">
        <v>21</v>
      </c>
      <c r="DS17" s="19">
        <v>2</v>
      </c>
      <c r="DT17" s="10">
        <v>7.57</v>
      </c>
      <c r="DU17" s="10">
        <v>2.12</v>
      </c>
      <c r="DV17" s="17">
        <v>74.7</v>
      </c>
      <c r="DW17" s="10">
        <v>23.4</v>
      </c>
      <c r="DX17" s="10">
        <v>1.86</v>
      </c>
      <c r="DY17" s="20" t="s">
        <v>108</v>
      </c>
      <c r="DZ17" s="8">
        <v>2.4</v>
      </c>
      <c r="EA17" s="8">
        <v>9</v>
      </c>
      <c r="EB17" s="8">
        <v>7</v>
      </c>
      <c r="EC17" s="8">
        <v>10</v>
      </c>
      <c r="ED17" s="8">
        <v>1</v>
      </c>
      <c r="EE17" s="8">
        <v>11</v>
      </c>
      <c r="EF17" s="8">
        <v>13</v>
      </c>
      <c r="EG17" s="8">
        <v>0</v>
      </c>
      <c r="EH17" s="8">
        <v>94</v>
      </c>
      <c r="EI17" s="8">
        <v>11</v>
      </c>
      <c r="EJ17" s="8">
        <v>18</v>
      </c>
      <c r="EK17" s="8">
        <f t="shared" si="27"/>
        <v>174</v>
      </c>
      <c r="EL17" s="9">
        <v>9</v>
      </c>
      <c r="EM17" s="8">
        <v>61</v>
      </c>
      <c r="EN17" s="10">
        <v>7.13</v>
      </c>
      <c r="EO17" s="10">
        <v>2.4</v>
      </c>
      <c r="EP17" s="11">
        <v>68.400000000000006</v>
      </c>
      <c r="EQ17" s="10">
        <v>26.4</v>
      </c>
      <c r="ER17" s="10">
        <v>2.09</v>
      </c>
      <c r="ES17" s="12" t="s">
        <v>111</v>
      </c>
      <c r="ET17" s="8">
        <v>5569</v>
      </c>
      <c r="EU17" s="8">
        <v>3182</v>
      </c>
      <c r="EV17" s="8">
        <v>0</v>
      </c>
      <c r="EW17" s="8">
        <f t="shared" si="8"/>
        <v>8751</v>
      </c>
      <c r="EX17" s="8">
        <v>53</v>
      </c>
      <c r="EY17" s="342"/>
    </row>
    <row r="18" spans="1:155" s="401" customFormat="1" ht="17.100000000000001" customHeight="1" thickBot="1">
      <c r="A18" s="179"/>
      <c r="B18" s="400" t="s">
        <v>247</v>
      </c>
      <c r="C18" s="203" t="s">
        <v>96</v>
      </c>
      <c r="D18" s="318">
        <f t="shared" si="0"/>
        <v>50.672645739910315</v>
      </c>
      <c r="E18" s="321">
        <f t="shared" si="1"/>
        <v>40.358744394618832</v>
      </c>
      <c r="F18" s="321">
        <f t="shared" si="2"/>
        <v>8.9686098654708513</v>
      </c>
      <c r="G18" s="324">
        <f t="shared" si="3"/>
        <v>0</v>
      </c>
      <c r="H18" s="307">
        <v>11.3</v>
      </c>
      <c r="I18" s="310">
        <v>0</v>
      </c>
      <c r="J18" s="310">
        <v>9</v>
      </c>
      <c r="K18" s="310">
        <v>2</v>
      </c>
      <c r="L18" s="310">
        <v>0</v>
      </c>
      <c r="M18" s="310">
        <v>8</v>
      </c>
      <c r="N18" s="310">
        <v>1.7</v>
      </c>
      <c r="O18" s="310">
        <v>0.3</v>
      </c>
      <c r="P18" s="302"/>
      <c r="Q18" s="304"/>
      <c r="R18" s="307"/>
      <c r="S18" s="310"/>
      <c r="T18" s="310"/>
      <c r="U18" s="310"/>
      <c r="V18" s="310"/>
      <c r="W18" s="310"/>
      <c r="X18" s="337"/>
      <c r="Y18" s="307">
        <f t="shared" si="4"/>
        <v>0</v>
      </c>
      <c r="Z18" s="310">
        <f t="shared" si="4"/>
        <v>0</v>
      </c>
      <c r="AA18" s="310">
        <f t="shared" si="4"/>
        <v>0</v>
      </c>
      <c r="AB18" s="310">
        <f t="shared" si="4"/>
        <v>0</v>
      </c>
      <c r="AC18" s="310">
        <f t="shared" si="4"/>
        <v>0</v>
      </c>
      <c r="AD18" s="310">
        <f t="shared" si="4"/>
        <v>0</v>
      </c>
      <c r="AE18" s="337">
        <f>N18*X18*10</f>
        <v>0</v>
      </c>
      <c r="AF18" s="307"/>
      <c r="AG18" s="302"/>
      <c r="AH18" s="302"/>
      <c r="AI18" s="302"/>
      <c r="AJ18" s="302"/>
      <c r="AK18" s="302"/>
      <c r="AL18" s="304"/>
      <c r="AM18" s="334"/>
      <c r="AN18" s="302"/>
      <c r="AO18" s="302"/>
      <c r="AP18" s="302"/>
      <c r="AQ18" s="302"/>
      <c r="AR18" s="302"/>
      <c r="AS18" s="302"/>
      <c r="AT18" s="307"/>
      <c r="AU18" s="310"/>
      <c r="AV18" s="310"/>
      <c r="AW18" s="310"/>
      <c r="AX18" s="310"/>
      <c r="AY18" s="310"/>
      <c r="AZ18" s="337"/>
      <c r="BA18" s="334"/>
      <c r="BB18" s="334"/>
      <c r="BC18" s="334"/>
      <c r="BD18" s="334"/>
      <c r="BE18" s="334"/>
      <c r="BF18" s="334"/>
      <c r="BG18" s="334"/>
      <c r="BH18" s="334"/>
      <c r="BI18" s="302"/>
      <c r="BJ18" s="302"/>
      <c r="BK18" s="302"/>
      <c r="BL18" s="302"/>
      <c r="BM18" s="302"/>
      <c r="BN18" s="304"/>
      <c r="BO18" s="217">
        <v>73.8</v>
      </c>
      <c r="BP18" s="217">
        <v>0.67100000000000004</v>
      </c>
      <c r="BQ18" s="217">
        <v>5.57</v>
      </c>
      <c r="BR18" s="217">
        <v>73</v>
      </c>
      <c r="BS18" s="340">
        <v>0.45900000000000002</v>
      </c>
      <c r="BT18" s="217">
        <v>5.89</v>
      </c>
      <c r="BU18" s="219">
        <v>7.32</v>
      </c>
      <c r="BV18" s="219">
        <v>1.46</v>
      </c>
      <c r="BW18" s="219">
        <v>1270</v>
      </c>
      <c r="BX18" s="219">
        <v>6.54</v>
      </c>
      <c r="BY18" s="219">
        <v>4.9800000000000004</v>
      </c>
      <c r="BZ18" s="219">
        <v>3180</v>
      </c>
      <c r="CA18" s="219">
        <v>7.3</v>
      </c>
      <c r="CB18" s="219">
        <v>1.48</v>
      </c>
      <c r="CC18" s="219">
        <v>1320</v>
      </c>
      <c r="CD18" s="219">
        <v>7.3</v>
      </c>
      <c r="CE18" s="219">
        <v>2.61</v>
      </c>
      <c r="CF18" s="219">
        <v>2800</v>
      </c>
      <c r="CG18" s="219">
        <v>7.34</v>
      </c>
      <c r="CH18" s="219">
        <v>1.5</v>
      </c>
      <c r="CI18" s="219">
        <v>1610</v>
      </c>
      <c r="CJ18" s="219">
        <v>7.62</v>
      </c>
      <c r="CK18" s="219">
        <v>2.46</v>
      </c>
      <c r="CL18" s="219">
        <v>2300</v>
      </c>
      <c r="CM18" s="221">
        <v>76.8</v>
      </c>
      <c r="CN18" s="221"/>
      <c r="CO18" s="98"/>
      <c r="CP18" s="99"/>
      <c r="CQ18" s="99"/>
      <c r="CR18" s="100"/>
      <c r="CS18" s="99"/>
      <c r="CT18" s="99"/>
      <c r="CU18" s="101"/>
      <c r="CV18" s="102"/>
      <c r="CW18" s="102"/>
      <c r="CX18" s="102"/>
      <c r="CY18" s="103"/>
      <c r="CZ18" s="99"/>
      <c r="DA18" s="99"/>
      <c r="DB18" s="100"/>
      <c r="DC18" s="99"/>
      <c r="DD18" s="99"/>
      <c r="DE18" s="104"/>
      <c r="DF18" s="102"/>
      <c r="DG18" s="102"/>
      <c r="DH18" s="102"/>
      <c r="DI18" s="101"/>
      <c r="DJ18" s="99"/>
      <c r="DK18" s="99"/>
      <c r="DL18" s="100"/>
      <c r="DM18" s="99"/>
      <c r="DN18" s="99"/>
      <c r="DO18" s="101"/>
      <c r="DP18" s="102"/>
      <c r="DQ18" s="102"/>
      <c r="DR18" s="102"/>
      <c r="DS18" s="105"/>
      <c r="DT18" s="99"/>
      <c r="DU18" s="99"/>
      <c r="DV18" s="100"/>
      <c r="DW18" s="99"/>
      <c r="DX18" s="99"/>
      <c r="DY18" s="104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6" t="s">
        <v>112</v>
      </c>
      <c r="EM18" s="102">
        <v>43</v>
      </c>
      <c r="EN18" s="107">
        <v>7.31</v>
      </c>
      <c r="EO18" s="107">
        <v>2.34</v>
      </c>
      <c r="EP18" s="108">
        <v>68.2</v>
      </c>
      <c r="EQ18" s="107">
        <v>26.9</v>
      </c>
      <c r="ER18" s="107">
        <v>2.06</v>
      </c>
      <c r="ES18" s="109" t="s">
        <v>113</v>
      </c>
      <c r="ET18" s="102">
        <v>4172</v>
      </c>
      <c r="EU18" s="102">
        <v>2781</v>
      </c>
      <c r="EV18" s="102">
        <v>0</v>
      </c>
      <c r="EW18" s="102">
        <f t="shared" si="8"/>
        <v>6953</v>
      </c>
      <c r="EX18" s="102">
        <v>48</v>
      </c>
      <c r="EY18" s="343"/>
    </row>
    <row r="19" spans="1:155" s="398" customFormat="1" ht="17.100000000000001" customHeight="1">
      <c r="A19" s="173">
        <v>4</v>
      </c>
      <c r="B19" s="397" t="s">
        <v>248</v>
      </c>
      <c r="C19" s="201" t="s">
        <v>96</v>
      </c>
      <c r="D19" s="316">
        <f t="shared" si="0"/>
        <v>49.549549549549546</v>
      </c>
      <c r="E19" s="319">
        <f t="shared" si="1"/>
        <v>40.54054054054054</v>
      </c>
      <c r="F19" s="319">
        <f t="shared" si="2"/>
        <v>9.9099099099099117</v>
      </c>
      <c r="G19" s="322">
        <f t="shared" si="3"/>
        <v>0</v>
      </c>
      <c r="H19" s="305">
        <v>11</v>
      </c>
      <c r="I19" s="308">
        <v>0</v>
      </c>
      <c r="J19" s="308">
        <v>9</v>
      </c>
      <c r="K19" s="308">
        <v>2.2000000000000002</v>
      </c>
      <c r="L19" s="308">
        <v>0</v>
      </c>
      <c r="M19" s="308">
        <v>8.5</v>
      </c>
      <c r="N19" s="308">
        <v>1.6</v>
      </c>
      <c r="O19" s="308">
        <v>0.3</v>
      </c>
      <c r="P19" s="301"/>
      <c r="Q19" s="303"/>
      <c r="R19" s="305">
        <v>0.84</v>
      </c>
      <c r="S19" s="308">
        <v>0</v>
      </c>
      <c r="T19" s="308">
        <v>0.34</v>
      </c>
      <c r="U19" s="308">
        <v>0.63</v>
      </c>
      <c r="V19" s="308">
        <v>0</v>
      </c>
      <c r="W19" s="308">
        <v>3.22</v>
      </c>
      <c r="X19" s="335">
        <v>20.5</v>
      </c>
      <c r="Y19" s="305">
        <f t="shared" si="4"/>
        <v>92.4</v>
      </c>
      <c r="Z19" s="308">
        <f t="shared" si="4"/>
        <v>0</v>
      </c>
      <c r="AA19" s="308">
        <f t="shared" si="4"/>
        <v>30.6</v>
      </c>
      <c r="AB19" s="308">
        <f t="shared" si="4"/>
        <v>13.860000000000001</v>
      </c>
      <c r="AC19" s="308">
        <f t="shared" si="4"/>
        <v>0</v>
      </c>
      <c r="AD19" s="308">
        <f t="shared" si="4"/>
        <v>273.7</v>
      </c>
      <c r="AE19" s="335">
        <f>O19*X19*10</f>
        <v>61.499999999999993</v>
      </c>
      <c r="AF19" s="305">
        <v>12.1</v>
      </c>
      <c r="AG19" s="301">
        <v>0</v>
      </c>
      <c r="AH19" s="301">
        <v>1.6</v>
      </c>
      <c r="AI19" s="301">
        <v>10.6</v>
      </c>
      <c r="AJ19" s="301">
        <v>0</v>
      </c>
      <c r="AK19" s="301">
        <v>30.6</v>
      </c>
      <c r="AL19" s="303">
        <v>84.4</v>
      </c>
      <c r="AM19" s="332">
        <f>H19*AF19*10</f>
        <v>1331</v>
      </c>
      <c r="AN19" s="301">
        <f t="shared" ref="AN19:AS19" si="28">I19*AG19*10</f>
        <v>0</v>
      </c>
      <c r="AO19" s="301">
        <f t="shared" si="28"/>
        <v>144</v>
      </c>
      <c r="AP19" s="301">
        <f t="shared" si="28"/>
        <v>233.2</v>
      </c>
      <c r="AQ19" s="301">
        <f t="shared" si="28"/>
        <v>0</v>
      </c>
      <c r="AR19" s="301">
        <f t="shared" si="28"/>
        <v>2601</v>
      </c>
      <c r="AS19" s="301">
        <f t="shared" si="28"/>
        <v>1350.4</v>
      </c>
      <c r="AT19" s="305">
        <v>12.8</v>
      </c>
      <c r="AU19" s="308">
        <v>0</v>
      </c>
      <c r="AV19" s="308">
        <v>53.8</v>
      </c>
      <c r="AW19" s="308">
        <v>11.6</v>
      </c>
      <c r="AX19" s="308">
        <v>0</v>
      </c>
      <c r="AY19" s="308">
        <v>18.399999999999999</v>
      </c>
      <c r="AZ19" s="335">
        <v>27.2</v>
      </c>
      <c r="BA19" s="332">
        <f t="shared" ref="BA19:BG19" si="29">(H19*3*1000)/(1-AT19/100)</f>
        <v>37844.036697247706</v>
      </c>
      <c r="BB19" s="332">
        <f t="shared" si="29"/>
        <v>0</v>
      </c>
      <c r="BC19" s="332">
        <f t="shared" si="29"/>
        <v>58441.558441558431</v>
      </c>
      <c r="BD19" s="332">
        <f t="shared" si="29"/>
        <v>7466.0633484162909</v>
      </c>
      <c r="BE19" s="332">
        <f t="shared" si="29"/>
        <v>0</v>
      </c>
      <c r="BF19" s="332">
        <f t="shared" si="29"/>
        <v>31249.999999999996</v>
      </c>
      <c r="BG19" s="332">
        <f t="shared" si="29"/>
        <v>6593.4065934065948</v>
      </c>
      <c r="BH19" s="332">
        <f t="shared" ref="BH19" si="30">H19+I19+J19+K19+L19</f>
        <v>22.2</v>
      </c>
      <c r="BI19" s="301">
        <f t="shared" ref="BI19" si="31">M19+N19+O19</f>
        <v>10.4</v>
      </c>
      <c r="BJ19" s="301">
        <f t="shared" ref="BJ19" si="32">BH19+BI19</f>
        <v>32.6</v>
      </c>
      <c r="BK19" s="301">
        <f t="shared" ref="BK19" si="33">Y19+Z19+AA19+AB19+AC19+AD19+AE19</f>
        <v>472.06</v>
      </c>
      <c r="BL19" s="301">
        <f t="shared" ref="BL19" si="34">AM19+AN19+AO19+AP19+AQ19+AR19+AS19</f>
        <v>5659.6</v>
      </c>
      <c r="BM19" s="301">
        <f t="shared" ref="BM19" si="35">BJ19*3*1000</f>
        <v>97800.000000000015</v>
      </c>
      <c r="BN19" s="303">
        <f t="shared" ref="BN19" si="36">BA19+BB19+BC19+BD19+BE19+BF19+BG19</f>
        <v>141595.06508062902</v>
      </c>
      <c r="BO19" s="216">
        <v>74.7</v>
      </c>
      <c r="BP19" s="216">
        <v>0.70399999999999996</v>
      </c>
      <c r="BQ19" s="216">
        <v>5.98</v>
      </c>
      <c r="BR19" s="216">
        <v>73.8</v>
      </c>
      <c r="BS19" s="338">
        <v>0.53200000000000003</v>
      </c>
      <c r="BT19" s="216">
        <v>5.74</v>
      </c>
      <c r="BU19" s="218">
        <v>7.28</v>
      </c>
      <c r="BV19" s="218">
        <v>1.53</v>
      </c>
      <c r="BW19" s="218">
        <v>1520</v>
      </c>
      <c r="BX19" s="218">
        <v>6.64</v>
      </c>
      <c r="BY19" s="218">
        <v>4.67</v>
      </c>
      <c r="BZ19" s="218">
        <v>5100</v>
      </c>
      <c r="CA19" s="218">
        <v>7.23</v>
      </c>
      <c r="CB19" s="218">
        <v>1.5</v>
      </c>
      <c r="CC19" s="218">
        <v>1120</v>
      </c>
      <c r="CD19" s="218">
        <v>7.75</v>
      </c>
      <c r="CE19" s="218">
        <v>2.91</v>
      </c>
      <c r="CF19" s="218">
        <v>2900</v>
      </c>
      <c r="CG19" s="218">
        <v>7.21</v>
      </c>
      <c r="CH19" s="218">
        <v>1.41</v>
      </c>
      <c r="CI19" s="218">
        <v>1380</v>
      </c>
      <c r="CJ19" s="218">
        <v>7.53</v>
      </c>
      <c r="CK19" s="218">
        <v>3.27</v>
      </c>
      <c r="CL19" s="218">
        <v>3200</v>
      </c>
      <c r="CM19" s="220">
        <v>75.8</v>
      </c>
      <c r="CN19" s="220">
        <v>75.2</v>
      </c>
      <c r="CO19" s="75">
        <v>2</v>
      </c>
      <c r="CP19" s="76">
        <v>7.69</v>
      </c>
      <c r="CQ19" s="111">
        <v>1.89</v>
      </c>
      <c r="CR19" s="83">
        <v>75.400000000000006</v>
      </c>
      <c r="CS19" s="76">
        <v>18.399999999999999</v>
      </c>
      <c r="CT19" s="76">
        <v>1.53</v>
      </c>
      <c r="CU19" s="78" t="s">
        <v>114</v>
      </c>
      <c r="CV19" s="79">
        <v>2.65</v>
      </c>
      <c r="CW19" s="79">
        <v>6</v>
      </c>
      <c r="CX19" s="79">
        <v>54</v>
      </c>
      <c r="CY19" s="75">
        <v>5</v>
      </c>
      <c r="CZ19" s="76">
        <v>7.68</v>
      </c>
      <c r="DA19" s="111">
        <v>2.2200000000000002</v>
      </c>
      <c r="DB19" s="77">
        <v>74</v>
      </c>
      <c r="DC19" s="81"/>
      <c r="DD19" s="81"/>
      <c r="DE19" s="82"/>
      <c r="DF19" s="79">
        <v>2.2999999999999998</v>
      </c>
      <c r="DG19" s="79">
        <v>12</v>
      </c>
      <c r="DH19" s="79">
        <v>29</v>
      </c>
      <c r="DI19" s="75">
        <v>8</v>
      </c>
      <c r="DJ19" s="76">
        <v>7.66</v>
      </c>
      <c r="DK19" s="111">
        <v>2.3199999999999998</v>
      </c>
      <c r="DL19" s="83">
        <v>73.900000000000006</v>
      </c>
      <c r="DM19" s="76">
        <v>21</v>
      </c>
      <c r="DN19" s="76">
        <v>1.61</v>
      </c>
      <c r="DO19" s="78" t="s">
        <v>115</v>
      </c>
      <c r="DP19" s="79">
        <v>2.2000000000000002</v>
      </c>
      <c r="DQ19" s="79">
        <v>12</v>
      </c>
      <c r="DR19" s="79">
        <v>41</v>
      </c>
      <c r="DS19" s="85">
        <v>5</v>
      </c>
      <c r="DT19" s="76">
        <v>7.6</v>
      </c>
      <c r="DU19" s="76">
        <v>2.09</v>
      </c>
      <c r="DV19" s="77">
        <v>74.599999999999994</v>
      </c>
      <c r="DW19" s="76">
        <v>25.5</v>
      </c>
      <c r="DX19" s="76">
        <v>1.8</v>
      </c>
      <c r="DY19" s="86" t="s">
        <v>116</v>
      </c>
      <c r="DZ19" s="79">
        <v>2.1</v>
      </c>
      <c r="EA19" s="79">
        <v>7</v>
      </c>
      <c r="EB19" s="79">
        <v>10</v>
      </c>
      <c r="EC19" s="79">
        <v>7</v>
      </c>
      <c r="ED19" s="79">
        <v>0</v>
      </c>
      <c r="EE19" s="79">
        <v>7</v>
      </c>
      <c r="EF19" s="79">
        <v>8</v>
      </c>
      <c r="EG19" s="79">
        <v>2</v>
      </c>
      <c r="EH19" s="79">
        <v>90</v>
      </c>
      <c r="EI19" s="79">
        <v>19</v>
      </c>
      <c r="EJ19" s="79">
        <v>0</v>
      </c>
      <c r="EK19" s="79">
        <f t="shared" ref="EK19:EK21" si="37">EA19+EB19+EC19+ED19+EE19+EF19+EG19+EH19+EI19+EJ19</f>
        <v>150</v>
      </c>
      <c r="EL19" s="87">
        <v>10</v>
      </c>
      <c r="EM19" s="79">
        <v>35</v>
      </c>
      <c r="EN19" s="76">
        <v>7.24</v>
      </c>
      <c r="EO19" s="76">
        <v>2.4500000000000002</v>
      </c>
      <c r="EP19" s="77">
        <v>65.599999999999994</v>
      </c>
      <c r="EQ19" s="76">
        <v>26.5</v>
      </c>
      <c r="ER19" s="76">
        <v>2.17</v>
      </c>
      <c r="ES19" s="78" t="s">
        <v>117</v>
      </c>
      <c r="ET19" s="79">
        <v>5125</v>
      </c>
      <c r="EU19" s="79">
        <v>3071</v>
      </c>
      <c r="EV19" s="79">
        <v>0</v>
      </c>
      <c r="EW19" s="79">
        <f t="shared" si="8"/>
        <v>8196</v>
      </c>
      <c r="EX19" s="79">
        <v>54</v>
      </c>
      <c r="EY19" s="341">
        <f>EW19+EW20+EW21+EW22</f>
        <v>42889</v>
      </c>
    </row>
    <row r="20" spans="1:155" ht="17.100000000000001" customHeight="1">
      <c r="A20" s="174"/>
      <c r="B20" s="397" t="s">
        <v>248</v>
      </c>
      <c r="C20" s="202" t="s">
        <v>96</v>
      </c>
      <c r="D20" s="317">
        <f t="shared" si="0"/>
        <v>61.777777777777779</v>
      </c>
      <c r="E20" s="320">
        <f t="shared" si="1"/>
        <v>38.222222222222221</v>
      </c>
      <c r="F20" s="320">
        <f t="shared" si="2"/>
        <v>0</v>
      </c>
      <c r="G20" s="323">
        <f t="shared" si="3"/>
        <v>0</v>
      </c>
      <c r="H20" s="306">
        <v>13.9</v>
      </c>
      <c r="I20" s="309">
        <v>0</v>
      </c>
      <c r="J20" s="309">
        <v>8.6</v>
      </c>
      <c r="K20" s="309">
        <v>0</v>
      </c>
      <c r="L20" s="309">
        <v>0</v>
      </c>
      <c r="M20" s="309">
        <v>8</v>
      </c>
      <c r="N20" s="309">
        <v>1.7</v>
      </c>
      <c r="O20" s="309">
        <v>0.2</v>
      </c>
      <c r="P20" s="211"/>
      <c r="Q20" s="214"/>
      <c r="R20" s="306"/>
      <c r="S20" s="309"/>
      <c r="T20" s="309"/>
      <c r="U20" s="309"/>
      <c r="V20" s="309"/>
      <c r="W20" s="309"/>
      <c r="X20" s="336"/>
      <c r="Y20" s="306">
        <f t="shared" si="4"/>
        <v>0</v>
      </c>
      <c r="Z20" s="309">
        <f t="shared" si="4"/>
        <v>0</v>
      </c>
      <c r="AA20" s="309">
        <f t="shared" si="4"/>
        <v>0</v>
      </c>
      <c r="AB20" s="309">
        <f t="shared" si="4"/>
        <v>0</v>
      </c>
      <c r="AC20" s="309">
        <f t="shared" si="4"/>
        <v>0</v>
      </c>
      <c r="AD20" s="309">
        <f t="shared" si="4"/>
        <v>0</v>
      </c>
      <c r="AE20" s="336">
        <f>N20*X20*10</f>
        <v>0</v>
      </c>
      <c r="AF20" s="306"/>
      <c r="AG20" s="211"/>
      <c r="AH20" s="211"/>
      <c r="AI20" s="211"/>
      <c r="AJ20" s="211"/>
      <c r="AK20" s="211"/>
      <c r="AL20" s="214"/>
      <c r="AM20" s="333"/>
      <c r="AN20" s="211"/>
      <c r="AO20" s="211"/>
      <c r="AP20" s="211"/>
      <c r="AQ20" s="211"/>
      <c r="AR20" s="211"/>
      <c r="AS20" s="211"/>
      <c r="AT20" s="306"/>
      <c r="AU20" s="309"/>
      <c r="AV20" s="309"/>
      <c r="AW20" s="309"/>
      <c r="AX20" s="309"/>
      <c r="AY20" s="309"/>
      <c r="AZ20" s="336"/>
      <c r="BA20" s="333"/>
      <c r="BB20" s="333"/>
      <c r="BC20" s="333"/>
      <c r="BD20" s="333"/>
      <c r="BE20" s="333"/>
      <c r="BF20" s="333"/>
      <c r="BG20" s="333"/>
      <c r="BH20" s="333"/>
      <c r="BI20" s="211"/>
      <c r="BJ20" s="211"/>
      <c r="BK20" s="211"/>
      <c r="BL20" s="211"/>
      <c r="BM20" s="211"/>
      <c r="BN20" s="214"/>
      <c r="BO20" s="196">
        <v>74</v>
      </c>
      <c r="BP20" s="196">
        <v>0.46200000000000002</v>
      </c>
      <c r="BQ20" s="196">
        <v>5.34</v>
      </c>
      <c r="BR20" s="196">
        <v>73.2</v>
      </c>
      <c r="BS20" s="339">
        <v>0.36799999999999999</v>
      </c>
      <c r="BT20" s="196">
        <v>5.72</v>
      </c>
      <c r="BU20" s="193">
        <v>7.28</v>
      </c>
      <c r="BV20" s="193">
        <v>1.53</v>
      </c>
      <c r="BW20" s="193">
        <v>1520</v>
      </c>
      <c r="BX20" s="193">
        <v>6.64</v>
      </c>
      <c r="BY20" s="193">
        <v>4.67</v>
      </c>
      <c r="BZ20" s="193">
        <v>5100</v>
      </c>
      <c r="CA20" s="193">
        <v>7.23</v>
      </c>
      <c r="CB20" s="193">
        <v>1.5</v>
      </c>
      <c r="CC20" s="193">
        <v>1120</v>
      </c>
      <c r="CD20" s="193">
        <v>7.75</v>
      </c>
      <c r="CE20" s="193">
        <v>2.91</v>
      </c>
      <c r="CF20" s="193">
        <v>2900</v>
      </c>
      <c r="CG20" s="193">
        <v>7.21</v>
      </c>
      <c r="CH20" s="193">
        <v>1.41</v>
      </c>
      <c r="CI20" s="193">
        <v>1380</v>
      </c>
      <c r="CJ20" s="193">
        <v>7.53</v>
      </c>
      <c r="CK20" s="193">
        <v>3.27</v>
      </c>
      <c r="CL20" s="193">
        <v>3200</v>
      </c>
      <c r="CM20" s="205">
        <v>76</v>
      </c>
      <c r="CN20" s="205"/>
      <c r="CO20" s="13">
        <v>3</v>
      </c>
      <c r="CP20" s="10">
        <v>7.69</v>
      </c>
      <c r="CQ20" s="26">
        <v>1.89</v>
      </c>
      <c r="CR20" s="17">
        <v>75.400000000000006</v>
      </c>
      <c r="CS20" s="10">
        <v>18.399999999999999</v>
      </c>
      <c r="CT20" s="10">
        <v>1.53</v>
      </c>
      <c r="CU20" s="12" t="s">
        <v>114</v>
      </c>
      <c r="CV20" s="8">
        <v>2.65</v>
      </c>
      <c r="CW20" s="8">
        <v>7</v>
      </c>
      <c r="CX20" s="8">
        <v>49</v>
      </c>
      <c r="CY20" s="13">
        <v>6</v>
      </c>
      <c r="CZ20" s="10">
        <v>7.68</v>
      </c>
      <c r="DA20" s="26">
        <v>2.2200000000000002</v>
      </c>
      <c r="DB20" s="11">
        <v>74</v>
      </c>
      <c r="DC20" s="15"/>
      <c r="DD20" s="15"/>
      <c r="DE20" s="16"/>
      <c r="DF20" s="8">
        <v>2.2999999999999998</v>
      </c>
      <c r="DG20" s="8">
        <v>11</v>
      </c>
      <c r="DH20" s="8">
        <v>28</v>
      </c>
      <c r="DI20" s="13">
        <v>9</v>
      </c>
      <c r="DJ20" s="10">
        <v>7.66</v>
      </c>
      <c r="DK20" s="26">
        <v>2.3199999999999998</v>
      </c>
      <c r="DL20" s="17">
        <v>73.900000000000006</v>
      </c>
      <c r="DM20" s="10">
        <v>21</v>
      </c>
      <c r="DN20" s="10">
        <v>1.61</v>
      </c>
      <c r="DO20" s="12" t="s">
        <v>115</v>
      </c>
      <c r="DP20" s="8">
        <v>2.2000000000000002</v>
      </c>
      <c r="DQ20" s="8">
        <v>11</v>
      </c>
      <c r="DR20" s="8">
        <v>36</v>
      </c>
      <c r="DS20" s="19">
        <v>6</v>
      </c>
      <c r="DT20" s="10">
        <v>7.6</v>
      </c>
      <c r="DU20" s="10">
        <v>2.09</v>
      </c>
      <c r="DV20" s="11">
        <v>74.599999999999994</v>
      </c>
      <c r="DW20" s="10">
        <v>25.5</v>
      </c>
      <c r="DX20" s="10">
        <v>1.8</v>
      </c>
      <c r="DY20" s="20" t="s">
        <v>116</v>
      </c>
      <c r="DZ20" s="8">
        <v>2.2000000000000002</v>
      </c>
      <c r="EA20" s="8">
        <v>6</v>
      </c>
      <c r="EB20" s="8">
        <v>10</v>
      </c>
      <c r="EC20" s="8">
        <v>8</v>
      </c>
      <c r="ED20" s="8">
        <v>0</v>
      </c>
      <c r="EE20" s="8">
        <v>7</v>
      </c>
      <c r="EF20" s="8">
        <v>8</v>
      </c>
      <c r="EG20" s="8">
        <v>2</v>
      </c>
      <c r="EH20" s="8">
        <v>94</v>
      </c>
      <c r="EI20" s="8">
        <v>14</v>
      </c>
      <c r="EJ20" s="8">
        <v>21</v>
      </c>
      <c r="EK20" s="8">
        <f t="shared" si="37"/>
        <v>170</v>
      </c>
      <c r="EL20" s="9">
        <v>11</v>
      </c>
      <c r="EM20" s="8">
        <v>62</v>
      </c>
      <c r="EN20" s="10">
        <v>7.18</v>
      </c>
      <c r="EO20" s="10">
        <v>2.54</v>
      </c>
      <c r="EP20" s="11">
        <v>65.599999999999994</v>
      </c>
      <c r="EQ20" s="10">
        <v>26.6</v>
      </c>
      <c r="ER20" s="10">
        <v>2.13</v>
      </c>
      <c r="ES20" s="12" t="s">
        <v>118</v>
      </c>
      <c r="ET20" s="8">
        <v>5396</v>
      </c>
      <c r="EU20" s="8">
        <v>2924</v>
      </c>
      <c r="EV20" s="8">
        <v>1925</v>
      </c>
      <c r="EW20" s="8">
        <f t="shared" si="8"/>
        <v>10245</v>
      </c>
      <c r="EX20" s="8">
        <v>55</v>
      </c>
      <c r="EY20" s="342"/>
    </row>
    <row r="21" spans="1:155" ht="17.100000000000001" customHeight="1">
      <c r="A21" s="174"/>
      <c r="B21" s="397" t="s">
        <v>248</v>
      </c>
      <c r="C21" s="202" t="s">
        <v>96</v>
      </c>
      <c r="D21" s="317">
        <f t="shared" si="0"/>
        <v>50.672645739910315</v>
      </c>
      <c r="E21" s="320">
        <f t="shared" si="1"/>
        <v>40.358744394618832</v>
      </c>
      <c r="F21" s="320">
        <f t="shared" si="2"/>
        <v>8.9686098654708513</v>
      </c>
      <c r="G21" s="323">
        <f t="shared" si="3"/>
        <v>0</v>
      </c>
      <c r="H21" s="306">
        <v>11.3</v>
      </c>
      <c r="I21" s="309">
        <v>0</v>
      </c>
      <c r="J21" s="309">
        <v>9</v>
      </c>
      <c r="K21" s="309">
        <v>2</v>
      </c>
      <c r="L21" s="309">
        <v>0</v>
      </c>
      <c r="M21" s="309">
        <v>8</v>
      </c>
      <c r="N21" s="309">
        <v>1.7</v>
      </c>
      <c r="O21" s="309">
        <v>0.3</v>
      </c>
      <c r="P21" s="211"/>
      <c r="Q21" s="214"/>
      <c r="R21" s="306"/>
      <c r="S21" s="309"/>
      <c r="T21" s="309"/>
      <c r="U21" s="309"/>
      <c r="V21" s="309"/>
      <c r="W21" s="309"/>
      <c r="X21" s="336"/>
      <c r="Y21" s="306">
        <f t="shared" si="4"/>
        <v>0</v>
      </c>
      <c r="Z21" s="309">
        <f t="shared" si="4"/>
        <v>0</v>
      </c>
      <c r="AA21" s="309">
        <f t="shared" si="4"/>
        <v>0</v>
      </c>
      <c r="AB21" s="309">
        <f t="shared" si="4"/>
        <v>0</v>
      </c>
      <c r="AC21" s="309">
        <f t="shared" si="4"/>
        <v>0</v>
      </c>
      <c r="AD21" s="309">
        <f t="shared" si="4"/>
        <v>0</v>
      </c>
      <c r="AE21" s="336">
        <f>N21*X21*10</f>
        <v>0</v>
      </c>
      <c r="AF21" s="306"/>
      <c r="AG21" s="211"/>
      <c r="AH21" s="211"/>
      <c r="AI21" s="211"/>
      <c r="AJ21" s="211"/>
      <c r="AK21" s="211"/>
      <c r="AL21" s="214"/>
      <c r="AM21" s="333"/>
      <c r="AN21" s="211"/>
      <c r="AO21" s="211"/>
      <c r="AP21" s="211"/>
      <c r="AQ21" s="211"/>
      <c r="AR21" s="211"/>
      <c r="AS21" s="211"/>
      <c r="AT21" s="306"/>
      <c r="AU21" s="309"/>
      <c r="AV21" s="309"/>
      <c r="AW21" s="309"/>
      <c r="AX21" s="309"/>
      <c r="AY21" s="309"/>
      <c r="AZ21" s="336"/>
      <c r="BA21" s="333"/>
      <c r="BB21" s="333"/>
      <c r="BC21" s="333"/>
      <c r="BD21" s="333"/>
      <c r="BE21" s="333"/>
      <c r="BF21" s="333"/>
      <c r="BG21" s="333"/>
      <c r="BH21" s="333"/>
      <c r="BI21" s="211"/>
      <c r="BJ21" s="211"/>
      <c r="BK21" s="211"/>
      <c r="BL21" s="211"/>
      <c r="BM21" s="211"/>
      <c r="BN21" s="214"/>
      <c r="BO21" s="196">
        <v>73.8</v>
      </c>
      <c r="BP21" s="196">
        <v>0.53700000000000003</v>
      </c>
      <c r="BQ21" s="196">
        <v>5.68</v>
      </c>
      <c r="BR21" s="196">
        <v>71.900000000000006</v>
      </c>
      <c r="BS21" s="339">
        <v>0.41399999999999998</v>
      </c>
      <c r="BT21" s="196">
        <v>5.88</v>
      </c>
      <c r="BU21" s="193">
        <v>7.28</v>
      </c>
      <c r="BV21" s="193">
        <v>1.53</v>
      </c>
      <c r="BW21" s="193">
        <v>1520</v>
      </c>
      <c r="BX21" s="193">
        <v>6.64</v>
      </c>
      <c r="BY21" s="193">
        <v>4.67</v>
      </c>
      <c r="BZ21" s="193">
        <v>5100</v>
      </c>
      <c r="CA21" s="193">
        <v>7.23</v>
      </c>
      <c r="CB21" s="193">
        <v>1.5</v>
      </c>
      <c r="CC21" s="193">
        <v>1120</v>
      </c>
      <c r="CD21" s="193">
        <v>7.75</v>
      </c>
      <c r="CE21" s="193">
        <v>2.91</v>
      </c>
      <c r="CF21" s="193">
        <v>2900</v>
      </c>
      <c r="CG21" s="193">
        <v>7.21</v>
      </c>
      <c r="CH21" s="193">
        <v>1.41</v>
      </c>
      <c r="CI21" s="193">
        <v>1380</v>
      </c>
      <c r="CJ21" s="193">
        <v>7.53</v>
      </c>
      <c r="CK21" s="193">
        <v>3.27</v>
      </c>
      <c r="CL21" s="193">
        <v>3200</v>
      </c>
      <c r="CM21" s="205">
        <v>76.900000000000006</v>
      </c>
      <c r="CN21" s="205"/>
      <c r="CO21" s="13">
        <v>4</v>
      </c>
      <c r="CP21" s="10">
        <v>7.69</v>
      </c>
      <c r="CQ21" s="26">
        <v>1.89</v>
      </c>
      <c r="CR21" s="17">
        <v>75.400000000000006</v>
      </c>
      <c r="CS21" s="10">
        <v>18.399999999999999</v>
      </c>
      <c r="CT21" s="10">
        <v>1.53</v>
      </c>
      <c r="CU21" s="12" t="s">
        <v>114</v>
      </c>
      <c r="CV21" s="8">
        <v>2.65</v>
      </c>
      <c r="CW21" s="8">
        <v>6</v>
      </c>
      <c r="CX21" s="8">
        <v>46</v>
      </c>
      <c r="CY21" s="13">
        <v>7</v>
      </c>
      <c r="CZ21" s="10">
        <v>7.68</v>
      </c>
      <c r="DA21" s="26">
        <v>2.2200000000000002</v>
      </c>
      <c r="DB21" s="11">
        <v>74</v>
      </c>
      <c r="DC21" s="15"/>
      <c r="DD21" s="15"/>
      <c r="DE21" s="16"/>
      <c r="DF21" s="8">
        <v>2.2999999999999998</v>
      </c>
      <c r="DG21" s="8">
        <v>13</v>
      </c>
      <c r="DH21" s="8">
        <v>22</v>
      </c>
      <c r="DI21" s="13">
        <v>10</v>
      </c>
      <c r="DJ21" s="10">
        <v>7.66</v>
      </c>
      <c r="DK21" s="26">
        <v>2.3199999999999998</v>
      </c>
      <c r="DL21" s="17">
        <v>73.900000000000006</v>
      </c>
      <c r="DM21" s="10">
        <v>21</v>
      </c>
      <c r="DN21" s="10">
        <v>1.61</v>
      </c>
      <c r="DO21" s="12" t="s">
        <v>115</v>
      </c>
      <c r="DP21" s="8">
        <v>2.2000000000000002</v>
      </c>
      <c r="DQ21" s="8">
        <v>13</v>
      </c>
      <c r="DR21" s="8">
        <v>35</v>
      </c>
      <c r="DS21" s="19">
        <v>10</v>
      </c>
      <c r="DT21" s="10">
        <v>7.6</v>
      </c>
      <c r="DU21" s="10">
        <v>2.09</v>
      </c>
      <c r="DV21" s="11">
        <v>74.599999999999994</v>
      </c>
      <c r="DW21" s="10">
        <v>25.5</v>
      </c>
      <c r="DX21" s="10">
        <v>1.8</v>
      </c>
      <c r="DY21" s="20" t="s">
        <v>116</v>
      </c>
      <c r="DZ21" s="8">
        <v>1.6</v>
      </c>
      <c r="EA21" s="8">
        <v>23</v>
      </c>
      <c r="EB21" s="8">
        <v>0</v>
      </c>
      <c r="EC21" s="8">
        <v>22</v>
      </c>
      <c r="ED21" s="8">
        <v>7</v>
      </c>
      <c r="EE21" s="8">
        <v>9</v>
      </c>
      <c r="EF21" s="8">
        <v>5</v>
      </c>
      <c r="EG21" s="8">
        <v>3</v>
      </c>
      <c r="EH21" s="8">
        <v>92</v>
      </c>
      <c r="EI21" s="8">
        <v>11</v>
      </c>
      <c r="EJ21" s="8">
        <v>0</v>
      </c>
      <c r="EK21" s="8">
        <f t="shared" si="37"/>
        <v>172</v>
      </c>
      <c r="EL21" s="9">
        <v>12</v>
      </c>
      <c r="EM21" s="8">
        <v>31</v>
      </c>
      <c r="EN21" s="10">
        <v>7.26</v>
      </c>
      <c r="EO21" s="10">
        <v>2.4700000000000002</v>
      </c>
      <c r="EP21" s="11">
        <v>65.8</v>
      </c>
      <c r="EQ21" s="10">
        <v>27.3</v>
      </c>
      <c r="ER21" s="10">
        <v>2.17</v>
      </c>
      <c r="ES21" s="12" t="s">
        <v>119</v>
      </c>
      <c r="ET21" s="8">
        <v>4073</v>
      </c>
      <c r="EU21" s="8">
        <v>3942</v>
      </c>
      <c r="EV21" s="8">
        <v>8015</v>
      </c>
      <c r="EW21" s="8">
        <f t="shared" si="8"/>
        <v>16030</v>
      </c>
      <c r="EX21" s="8">
        <v>51</v>
      </c>
      <c r="EY21" s="342"/>
    </row>
    <row r="22" spans="1:155" s="401" customFormat="1" ht="17.100000000000001" customHeight="1" thickBot="1">
      <c r="A22" s="175"/>
      <c r="B22" s="400" t="s">
        <v>248</v>
      </c>
      <c r="C22" s="203" t="s">
        <v>96</v>
      </c>
      <c r="D22" s="318">
        <f t="shared" si="0"/>
        <v>49.549549549549546</v>
      </c>
      <c r="E22" s="321">
        <f t="shared" si="1"/>
        <v>40.54054054054054</v>
      </c>
      <c r="F22" s="321">
        <f t="shared" si="2"/>
        <v>9.9099099099099117</v>
      </c>
      <c r="G22" s="324">
        <f t="shared" si="3"/>
        <v>0</v>
      </c>
      <c r="H22" s="307">
        <v>11</v>
      </c>
      <c r="I22" s="310">
        <v>0</v>
      </c>
      <c r="J22" s="310">
        <v>9</v>
      </c>
      <c r="K22" s="310">
        <v>2.2000000000000002</v>
      </c>
      <c r="L22" s="310">
        <v>0</v>
      </c>
      <c r="M22" s="310">
        <v>8.5</v>
      </c>
      <c r="N22" s="310">
        <v>1.6</v>
      </c>
      <c r="O22" s="310">
        <v>0.3</v>
      </c>
      <c r="P22" s="302"/>
      <c r="Q22" s="304"/>
      <c r="R22" s="307"/>
      <c r="S22" s="310"/>
      <c r="T22" s="310"/>
      <c r="U22" s="310"/>
      <c r="V22" s="310"/>
      <c r="W22" s="310"/>
      <c r="X22" s="337"/>
      <c r="Y22" s="307">
        <f t="shared" si="4"/>
        <v>0</v>
      </c>
      <c r="Z22" s="310">
        <f t="shared" si="4"/>
        <v>0</v>
      </c>
      <c r="AA22" s="310">
        <f t="shared" si="4"/>
        <v>0</v>
      </c>
      <c r="AB22" s="310">
        <f t="shared" si="4"/>
        <v>0</v>
      </c>
      <c r="AC22" s="310">
        <f t="shared" si="4"/>
        <v>0</v>
      </c>
      <c r="AD22" s="310">
        <f t="shared" si="4"/>
        <v>0</v>
      </c>
      <c r="AE22" s="337">
        <f>N22*X22*10</f>
        <v>0</v>
      </c>
      <c r="AF22" s="307"/>
      <c r="AG22" s="302"/>
      <c r="AH22" s="302"/>
      <c r="AI22" s="302"/>
      <c r="AJ22" s="302"/>
      <c r="AK22" s="302"/>
      <c r="AL22" s="304"/>
      <c r="AM22" s="334"/>
      <c r="AN22" s="302"/>
      <c r="AO22" s="302"/>
      <c r="AP22" s="302"/>
      <c r="AQ22" s="302"/>
      <c r="AR22" s="302"/>
      <c r="AS22" s="302"/>
      <c r="AT22" s="307"/>
      <c r="AU22" s="310"/>
      <c r="AV22" s="310"/>
      <c r="AW22" s="310"/>
      <c r="AX22" s="310"/>
      <c r="AY22" s="310"/>
      <c r="AZ22" s="337"/>
      <c r="BA22" s="334"/>
      <c r="BB22" s="334"/>
      <c r="BC22" s="334"/>
      <c r="BD22" s="334"/>
      <c r="BE22" s="334"/>
      <c r="BF22" s="334"/>
      <c r="BG22" s="334"/>
      <c r="BH22" s="334"/>
      <c r="BI22" s="302"/>
      <c r="BJ22" s="302"/>
      <c r="BK22" s="302"/>
      <c r="BL22" s="302"/>
      <c r="BM22" s="302"/>
      <c r="BN22" s="304"/>
      <c r="BO22" s="217">
        <v>747.7</v>
      </c>
      <c r="BP22" s="217">
        <v>0.70399999999999996</v>
      </c>
      <c r="BQ22" s="217">
        <v>5.98</v>
      </c>
      <c r="BR22" s="217">
        <v>73.8</v>
      </c>
      <c r="BS22" s="340">
        <v>0.53200000000000003</v>
      </c>
      <c r="BT22" s="217">
        <v>5.74</v>
      </c>
      <c r="BU22" s="219">
        <v>7.28</v>
      </c>
      <c r="BV22" s="219">
        <v>1.53</v>
      </c>
      <c r="BW22" s="219">
        <v>1520</v>
      </c>
      <c r="BX22" s="219">
        <v>6.64</v>
      </c>
      <c r="BY22" s="219">
        <v>4.67</v>
      </c>
      <c r="BZ22" s="219">
        <v>5100</v>
      </c>
      <c r="CA22" s="219">
        <v>7.23</v>
      </c>
      <c r="CB22" s="219">
        <v>1.5</v>
      </c>
      <c r="CC22" s="219">
        <v>1120</v>
      </c>
      <c r="CD22" s="219">
        <v>7.75</v>
      </c>
      <c r="CE22" s="219">
        <v>2.91</v>
      </c>
      <c r="CF22" s="219">
        <v>2900</v>
      </c>
      <c r="CG22" s="219">
        <v>7.21</v>
      </c>
      <c r="CH22" s="219">
        <v>1.41</v>
      </c>
      <c r="CI22" s="219">
        <v>1380</v>
      </c>
      <c r="CJ22" s="219">
        <v>7.53</v>
      </c>
      <c r="CK22" s="219">
        <v>3.27</v>
      </c>
      <c r="CL22" s="219">
        <v>3200</v>
      </c>
      <c r="CM22" s="221">
        <v>75.8</v>
      </c>
      <c r="CN22" s="221"/>
      <c r="CO22" s="98"/>
      <c r="CP22" s="99"/>
      <c r="CQ22" s="99"/>
      <c r="CR22" s="100"/>
      <c r="CS22" s="99"/>
      <c r="CT22" s="99"/>
      <c r="CU22" s="101"/>
      <c r="CV22" s="102"/>
      <c r="CW22" s="102"/>
      <c r="CX22" s="102"/>
      <c r="CY22" s="103"/>
      <c r="CZ22" s="99"/>
      <c r="DA22" s="99"/>
      <c r="DB22" s="100"/>
      <c r="DC22" s="99"/>
      <c r="DD22" s="99"/>
      <c r="DE22" s="104"/>
      <c r="DF22" s="102"/>
      <c r="DG22" s="102"/>
      <c r="DH22" s="102"/>
      <c r="DI22" s="101"/>
      <c r="DJ22" s="99"/>
      <c r="DK22" s="99"/>
      <c r="DL22" s="100"/>
      <c r="DM22" s="99"/>
      <c r="DN22" s="99"/>
      <c r="DO22" s="101"/>
      <c r="DP22" s="102"/>
      <c r="DQ22" s="102"/>
      <c r="DR22" s="102"/>
      <c r="DS22" s="105"/>
      <c r="DT22" s="99"/>
      <c r="DU22" s="99"/>
      <c r="DV22" s="100"/>
      <c r="DW22" s="99"/>
      <c r="DX22" s="99"/>
      <c r="DY22" s="104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6" t="s">
        <v>120</v>
      </c>
      <c r="EM22" s="102">
        <v>25</v>
      </c>
      <c r="EN22" s="107">
        <v>7.29</v>
      </c>
      <c r="EO22" s="107">
        <v>2.37</v>
      </c>
      <c r="EP22" s="108">
        <v>68.7</v>
      </c>
      <c r="EQ22" s="107">
        <v>26.2</v>
      </c>
      <c r="ER22" s="107">
        <v>2.1</v>
      </c>
      <c r="ES22" s="109" t="s">
        <v>121</v>
      </c>
      <c r="ET22" s="102">
        <v>3649</v>
      </c>
      <c r="EU22" s="102">
        <v>2822</v>
      </c>
      <c r="EV22" s="102">
        <v>1947</v>
      </c>
      <c r="EW22" s="102">
        <f t="shared" si="8"/>
        <v>8418</v>
      </c>
      <c r="EX22" s="102">
        <v>61</v>
      </c>
      <c r="EY22" s="343"/>
    </row>
    <row r="23" spans="1:155" s="398" customFormat="1" ht="17.100000000000001" customHeight="1">
      <c r="A23" s="173">
        <v>5</v>
      </c>
      <c r="B23" s="397" t="s">
        <v>249</v>
      </c>
      <c r="C23" s="201" t="s">
        <v>96</v>
      </c>
      <c r="D23" s="316">
        <f t="shared" si="0"/>
        <v>61.777777777777779</v>
      </c>
      <c r="E23" s="319">
        <f t="shared" si="1"/>
        <v>38.222222222222221</v>
      </c>
      <c r="F23" s="319">
        <f t="shared" si="2"/>
        <v>0</v>
      </c>
      <c r="G23" s="322">
        <f t="shared" si="3"/>
        <v>0</v>
      </c>
      <c r="H23" s="305">
        <v>13.9</v>
      </c>
      <c r="I23" s="308">
        <v>0</v>
      </c>
      <c r="J23" s="308">
        <v>8.6</v>
      </c>
      <c r="K23" s="308">
        <v>0</v>
      </c>
      <c r="L23" s="308">
        <v>0</v>
      </c>
      <c r="M23" s="308">
        <v>8</v>
      </c>
      <c r="N23" s="308">
        <v>1.7</v>
      </c>
      <c r="O23" s="308">
        <v>0.2</v>
      </c>
      <c r="P23" s="301"/>
      <c r="Q23" s="303"/>
      <c r="R23" s="305">
        <v>0.84</v>
      </c>
      <c r="S23" s="308">
        <v>0</v>
      </c>
      <c r="T23" s="308">
        <v>0.42</v>
      </c>
      <c r="U23" s="308">
        <v>0</v>
      </c>
      <c r="V23" s="308">
        <v>0</v>
      </c>
      <c r="W23" s="308">
        <v>3.43</v>
      </c>
      <c r="X23" s="335">
        <v>20.5</v>
      </c>
      <c r="Y23" s="305">
        <f t="shared" si="4"/>
        <v>116.76</v>
      </c>
      <c r="Z23" s="308">
        <f t="shared" si="4"/>
        <v>0</v>
      </c>
      <c r="AA23" s="308">
        <f t="shared" si="4"/>
        <v>36.119999999999997</v>
      </c>
      <c r="AB23" s="308">
        <f t="shared" si="4"/>
        <v>0</v>
      </c>
      <c r="AC23" s="308">
        <f t="shared" si="4"/>
        <v>0</v>
      </c>
      <c r="AD23" s="308">
        <f t="shared" si="4"/>
        <v>274.40000000000003</v>
      </c>
      <c r="AE23" s="335">
        <f>O23*X23*10</f>
        <v>41.000000000000007</v>
      </c>
      <c r="AF23" s="305">
        <v>12.1</v>
      </c>
      <c r="AG23" s="301">
        <v>0</v>
      </c>
      <c r="AH23" s="301">
        <v>1.8</v>
      </c>
      <c r="AI23" s="301">
        <v>0</v>
      </c>
      <c r="AJ23" s="301">
        <v>0</v>
      </c>
      <c r="AK23" s="301">
        <v>29.3</v>
      </c>
      <c r="AL23" s="303">
        <v>84.4</v>
      </c>
      <c r="AM23" s="332">
        <f>H23*AF23*10</f>
        <v>1681.9</v>
      </c>
      <c r="AN23" s="301">
        <f t="shared" ref="AN23:AS23" si="38">I23*AG23*10</f>
        <v>0</v>
      </c>
      <c r="AO23" s="301">
        <f t="shared" si="38"/>
        <v>154.80000000000001</v>
      </c>
      <c r="AP23" s="301">
        <f t="shared" si="38"/>
        <v>0</v>
      </c>
      <c r="AQ23" s="301">
        <f t="shared" si="38"/>
        <v>0</v>
      </c>
      <c r="AR23" s="301">
        <f t="shared" si="38"/>
        <v>2344</v>
      </c>
      <c r="AS23" s="301">
        <f t="shared" si="38"/>
        <v>1434.8000000000002</v>
      </c>
      <c r="AT23" s="305">
        <v>12</v>
      </c>
      <c r="AU23" s="308">
        <v>0</v>
      </c>
      <c r="AV23" s="308">
        <v>53.6</v>
      </c>
      <c r="AW23" s="308">
        <v>0</v>
      </c>
      <c r="AX23" s="308">
        <v>0</v>
      </c>
      <c r="AY23" s="308">
        <v>18.399999999999999</v>
      </c>
      <c r="AZ23" s="335">
        <v>27</v>
      </c>
      <c r="BA23" s="332">
        <f t="shared" ref="BA23:BG23" si="39">(H23*3*1000)/(1-AT23/100)</f>
        <v>47386.36363636364</v>
      </c>
      <c r="BB23" s="332">
        <f t="shared" si="39"/>
        <v>0</v>
      </c>
      <c r="BC23" s="332">
        <f t="shared" si="39"/>
        <v>55603.448275862065</v>
      </c>
      <c r="BD23" s="332">
        <f t="shared" si="39"/>
        <v>0</v>
      </c>
      <c r="BE23" s="332">
        <f t="shared" si="39"/>
        <v>0</v>
      </c>
      <c r="BF23" s="332">
        <f t="shared" si="39"/>
        <v>29411.76470588235</v>
      </c>
      <c r="BG23" s="332">
        <f t="shared" si="39"/>
        <v>6986.3013698630139</v>
      </c>
      <c r="BH23" s="332">
        <f t="shared" ref="BH23" si="40">H23+I23+J23+K23+L23</f>
        <v>22.5</v>
      </c>
      <c r="BI23" s="301">
        <f t="shared" ref="BI23" si="41">M23+N23+O23</f>
        <v>9.8999999999999986</v>
      </c>
      <c r="BJ23" s="301">
        <f t="shared" ref="BJ23" si="42">BH23+BI23</f>
        <v>32.4</v>
      </c>
      <c r="BK23" s="301">
        <f t="shared" ref="BK23" si="43">Y23+Z23+AA23+AB23+AC23+AD23+AE23</f>
        <v>468.28000000000003</v>
      </c>
      <c r="BL23" s="301">
        <f t="shared" ref="BL23" si="44">AM23+AN23+AO23+AP23+AQ23+AR23+AS23</f>
        <v>5615.5</v>
      </c>
      <c r="BM23" s="301">
        <f t="shared" ref="BM23" si="45">BJ23*3*1000</f>
        <v>97199.999999999985</v>
      </c>
      <c r="BN23" s="303">
        <f t="shared" ref="BN23" si="46">BA23+BB23+BC23+BD23+BE23+BF23+BG23</f>
        <v>139387.87798797106</v>
      </c>
      <c r="BO23" s="216">
        <v>74</v>
      </c>
      <c r="BP23" s="216">
        <v>0.46200000000000002</v>
      </c>
      <c r="BQ23" s="216">
        <v>5.34</v>
      </c>
      <c r="BR23" s="216">
        <v>73.2</v>
      </c>
      <c r="BS23" s="338">
        <v>0.36799999999999999</v>
      </c>
      <c r="BT23" s="216">
        <v>5.72</v>
      </c>
      <c r="BU23" s="218">
        <v>7.11</v>
      </c>
      <c r="BV23" s="218">
        <v>1.21</v>
      </c>
      <c r="BW23" s="218">
        <v>1290</v>
      </c>
      <c r="BX23" s="218">
        <v>6.19</v>
      </c>
      <c r="BY23" s="218">
        <v>6.35</v>
      </c>
      <c r="BZ23" s="218">
        <v>4060</v>
      </c>
      <c r="CA23" s="218">
        <v>7.08</v>
      </c>
      <c r="CB23" s="218">
        <v>1.45</v>
      </c>
      <c r="CC23" s="218">
        <v>1170</v>
      </c>
      <c r="CD23" s="218">
        <v>7.65</v>
      </c>
      <c r="CE23" s="218">
        <v>2.8</v>
      </c>
      <c r="CF23" s="218">
        <v>2900</v>
      </c>
      <c r="CG23" s="218">
        <v>6.49</v>
      </c>
      <c r="CH23" s="218">
        <v>1.3</v>
      </c>
      <c r="CI23" s="218">
        <v>1130</v>
      </c>
      <c r="CJ23" s="218">
        <v>7.51</v>
      </c>
      <c r="CK23" s="218">
        <v>3.27</v>
      </c>
      <c r="CL23" s="218">
        <v>2800</v>
      </c>
      <c r="CM23" s="220">
        <v>76</v>
      </c>
      <c r="CN23" s="220">
        <v>75.3</v>
      </c>
      <c r="CO23" s="75">
        <v>2</v>
      </c>
      <c r="CP23" s="76">
        <v>7.74</v>
      </c>
      <c r="CQ23" s="76">
        <v>1.98</v>
      </c>
      <c r="CR23" s="83">
        <v>75.099999999999994</v>
      </c>
      <c r="CS23" s="76">
        <v>18.399999999999999</v>
      </c>
      <c r="CT23" s="76">
        <v>1.48</v>
      </c>
      <c r="CU23" s="78" t="s">
        <v>122</v>
      </c>
      <c r="CV23" s="79">
        <v>2.5</v>
      </c>
      <c r="CW23" s="79">
        <v>6</v>
      </c>
      <c r="CX23" s="79">
        <v>35</v>
      </c>
      <c r="CY23" s="75">
        <v>5</v>
      </c>
      <c r="CZ23" s="76">
        <v>7.63</v>
      </c>
      <c r="DA23" s="76">
        <v>2.13</v>
      </c>
      <c r="DB23" s="77">
        <v>74.8</v>
      </c>
      <c r="DC23" s="81"/>
      <c r="DD23" s="81"/>
      <c r="DE23" s="82"/>
      <c r="DF23" s="79">
        <v>2.5</v>
      </c>
      <c r="DG23" s="79">
        <v>22</v>
      </c>
      <c r="DH23" s="79">
        <v>25</v>
      </c>
      <c r="DI23" s="75">
        <v>8</v>
      </c>
      <c r="DJ23" s="76">
        <v>7.56</v>
      </c>
      <c r="DK23" s="76">
        <v>2.36</v>
      </c>
      <c r="DL23" s="77">
        <v>74.900000000000006</v>
      </c>
      <c r="DM23" s="76">
        <v>23.1</v>
      </c>
      <c r="DN23" s="76">
        <v>1.67</v>
      </c>
      <c r="DO23" s="78" t="s">
        <v>123</v>
      </c>
      <c r="DP23" s="79">
        <v>2.2000000000000002</v>
      </c>
      <c r="DQ23" s="79">
        <v>12</v>
      </c>
      <c r="DR23" s="79">
        <v>36</v>
      </c>
      <c r="DS23" s="85">
        <v>1</v>
      </c>
      <c r="DT23" s="76">
        <v>7.51</v>
      </c>
      <c r="DU23" s="76">
        <v>2.23</v>
      </c>
      <c r="DV23" s="77">
        <v>74.3</v>
      </c>
      <c r="DW23" s="76">
        <v>24.5</v>
      </c>
      <c r="DX23" s="76">
        <v>1.82</v>
      </c>
      <c r="DY23" s="86" t="s">
        <v>124</v>
      </c>
      <c r="DZ23" s="79">
        <v>2</v>
      </c>
      <c r="EA23" s="79">
        <v>11</v>
      </c>
      <c r="EB23" s="79">
        <v>7</v>
      </c>
      <c r="EC23" s="79">
        <v>9</v>
      </c>
      <c r="ED23" s="79">
        <v>0</v>
      </c>
      <c r="EE23" s="79">
        <v>9</v>
      </c>
      <c r="EF23" s="79">
        <v>8</v>
      </c>
      <c r="EG23" s="79">
        <v>4</v>
      </c>
      <c r="EH23" s="79">
        <v>95</v>
      </c>
      <c r="EI23" s="79">
        <v>10</v>
      </c>
      <c r="EJ23" s="79">
        <v>1</v>
      </c>
      <c r="EK23" s="79">
        <f t="shared" ref="EK23:EK25" si="47">EA23+EB23+EC23+ED23+EE23+EF23+EG23+EH23+EI23+EJ23</f>
        <v>154</v>
      </c>
      <c r="EL23" s="87">
        <v>13</v>
      </c>
      <c r="EM23" s="79">
        <v>22</v>
      </c>
      <c r="EN23" s="76">
        <v>7.17</v>
      </c>
      <c r="EO23" s="76">
        <v>2.56</v>
      </c>
      <c r="EP23" s="77">
        <v>67</v>
      </c>
      <c r="EQ23" s="76">
        <v>28.6</v>
      </c>
      <c r="ER23" s="76">
        <v>1.92</v>
      </c>
      <c r="ES23" s="78" t="s">
        <v>102</v>
      </c>
      <c r="ET23" s="79">
        <v>2627</v>
      </c>
      <c r="EU23" s="79">
        <v>1829</v>
      </c>
      <c r="EV23" s="79">
        <v>1882</v>
      </c>
      <c r="EW23" s="79">
        <f t="shared" si="8"/>
        <v>6338</v>
      </c>
      <c r="EX23" s="79">
        <v>57</v>
      </c>
      <c r="EY23" s="341">
        <f>EW23+EW24+EW25+EW26</f>
        <v>29826</v>
      </c>
    </row>
    <row r="24" spans="1:155" ht="17.100000000000001" customHeight="1">
      <c r="A24" s="174"/>
      <c r="B24" s="397" t="s">
        <v>249</v>
      </c>
      <c r="C24" s="202" t="s">
        <v>96</v>
      </c>
      <c r="D24" s="317">
        <f t="shared" si="0"/>
        <v>50.672645739910315</v>
      </c>
      <c r="E24" s="320">
        <f t="shared" si="1"/>
        <v>40.358744394618832</v>
      </c>
      <c r="F24" s="320">
        <f t="shared" si="2"/>
        <v>8.9686098654708513</v>
      </c>
      <c r="G24" s="323">
        <f t="shared" si="3"/>
        <v>0</v>
      </c>
      <c r="H24" s="306">
        <v>11.3</v>
      </c>
      <c r="I24" s="309">
        <v>0</v>
      </c>
      <c r="J24" s="309">
        <v>9</v>
      </c>
      <c r="K24" s="309">
        <v>2</v>
      </c>
      <c r="L24" s="309">
        <v>0</v>
      </c>
      <c r="M24" s="309">
        <v>8</v>
      </c>
      <c r="N24" s="309">
        <v>1.7</v>
      </c>
      <c r="O24" s="309">
        <v>0.3</v>
      </c>
      <c r="P24" s="211"/>
      <c r="Q24" s="214"/>
      <c r="R24" s="306"/>
      <c r="S24" s="309"/>
      <c r="T24" s="309"/>
      <c r="U24" s="309"/>
      <c r="V24" s="309"/>
      <c r="W24" s="309"/>
      <c r="X24" s="336"/>
      <c r="Y24" s="306">
        <f t="shared" si="4"/>
        <v>0</v>
      </c>
      <c r="Z24" s="309">
        <f t="shared" si="4"/>
        <v>0</v>
      </c>
      <c r="AA24" s="309">
        <f t="shared" si="4"/>
        <v>0</v>
      </c>
      <c r="AB24" s="309">
        <f t="shared" si="4"/>
        <v>0</v>
      </c>
      <c r="AC24" s="309">
        <f t="shared" si="4"/>
        <v>0</v>
      </c>
      <c r="AD24" s="309">
        <f t="shared" si="4"/>
        <v>0</v>
      </c>
      <c r="AE24" s="336">
        <f>N24*X24*10</f>
        <v>0</v>
      </c>
      <c r="AF24" s="306"/>
      <c r="AG24" s="211"/>
      <c r="AH24" s="211"/>
      <c r="AI24" s="211"/>
      <c r="AJ24" s="211"/>
      <c r="AK24" s="211"/>
      <c r="AL24" s="214"/>
      <c r="AM24" s="333"/>
      <c r="AN24" s="211"/>
      <c r="AO24" s="211"/>
      <c r="AP24" s="211"/>
      <c r="AQ24" s="211"/>
      <c r="AR24" s="211"/>
      <c r="AS24" s="211"/>
      <c r="AT24" s="306"/>
      <c r="AU24" s="309"/>
      <c r="AV24" s="309"/>
      <c r="AW24" s="309"/>
      <c r="AX24" s="309"/>
      <c r="AY24" s="309"/>
      <c r="AZ24" s="336"/>
      <c r="BA24" s="333"/>
      <c r="BB24" s="333"/>
      <c r="BC24" s="333"/>
      <c r="BD24" s="333"/>
      <c r="BE24" s="333"/>
      <c r="BF24" s="333"/>
      <c r="BG24" s="333"/>
      <c r="BH24" s="333"/>
      <c r="BI24" s="211"/>
      <c r="BJ24" s="211"/>
      <c r="BK24" s="211"/>
      <c r="BL24" s="211"/>
      <c r="BM24" s="211"/>
      <c r="BN24" s="214"/>
      <c r="BO24" s="196">
        <v>73.8</v>
      </c>
      <c r="BP24" s="196">
        <v>0.53700000000000003</v>
      </c>
      <c r="BQ24" s="196">
        <v>5.68</v>
      </c>
      <c r="BR24" s="196">
        <v>71.900000000000006</v>
      </c>
      <c r="BS24" s="339">
        <v>0.41399999999999998</v>
      </c>
      <c r="BT24" s="196">
        <v>5.88</v>
      </c>
      <c r="BU24" s="193">
        <v>7.11</v>
      </c>
      <c r="BV24" s="193">
        <v>1.21</v>
      </c>
      <c r="BW24" s="193">
        <v>1290</v>
      </c>
      <c r="BX24" s="193">
        <v>6.19</v>
      </c>
      <c r="BY24" s="193">
        <v>6.35</v>
      </c>
      <c r="BZ24" s="193">
        <v>4060</v>
      </c>
      <c r="CA24" s="193">
        <v>7.08</v>
      </c>
      <c r="CB24" s="193">
        <v>1.45</v>
      </c>
      <c r="CC24" s="193">
        <v>1170</v>
      </c>
      <c r="CD24" s="193">
        <v>7.65</v>
      </c>
      <c r="CE24" s="193">
        <v>2.8</v>
      </c>
      <c r="CF24" s="193">
        <v>2900</v>
      </c>
      <c r="CG24" s="193">
        <v>6.49</v>
      </c>
      <c r="CH24" s="193">
        <v>1.3</v>
      </c>
      <c r="CI24" s="193">
        <v>1130</v>
      </c>
      <c r="CJ24" s="193">
        <v>7.51</v>
      </c>
      <c r="CK24" s="193">
        <v>3.27</v>
      </c>
      <c r="CL24" s="193">
        <v>2800</v>
      </c>
      <c r="CM24" s="205">
        <v>76.900000000000006</v>
      </c>
      <c r="CN24" s="205"/>
      <c r="CO24" s="13">
        <v>3</v>
      </c>
      <c r="CP24" s="10">
        <v>7.74</v>
      </c>
      <c r="CQ24" s="10">
        <v>1.98</v>
      </c>
      <c r="CR24" s="17">
        <v>75.099999999999994</v>
      </c>
      <c r="CS24" s="10">
        <v>18.399999999999999</v>
      </c>
      <c r="CT24" s="10">
        <v>1.48</v>
      </c>
      <c r="CU24" s="12" t="s">
        <v>122</v>
      </c>
      <c r="CV24" s="8">
        <v>2.5</v>
      </c>
      <c r="CW24" s="8">
        <v>4</v>
      </c>
      <c r="CX24" s="8">
        <v>34</v>
      </c>
      <c r="CY24" s="13">
        <v>6</v>
      </c>
      <c r="CZ24" s="10">
        <v>7.63</v>
      </c>
      <c r="DA24" s="10">
        <v>2.13</v>
      </c>
      <c r="DB24" s="11">
        <v>74.8</v>
      </c>
      <c r="DC24" s="15"/>
      <c r="DD24" s="15"/>
      <c r="DE24" s="16"/>
      <c r="DF24" s="8">
        <v>2.5</v>
      </c>
      <c r="DG24" s="8">
        <v>16</v>
      </c>
      <c r="DH24" s="8">
        <v>27</v>
      </c>
      <c r="DI24" s="13">
        <v>9</v>
      </c>
      <c r="DJ24" s="10">
        <v>7.56</v>
      </c>
      <c r="DK24" s="10">
        <v>2.36</v>
      </c>
      <c r="DL24" s="11">
        <v>74.900000000000006</v>
      </c>
      <c r="DM24" s="10">
        <v>23.1</v>
      </c>
      <c r="DN24" s="10">
        <v>1.67</v>
      </c>
      <c r="DO24" s="12" t="s">
        <v>123</v>
      </c>
      <c r="DP24" s="8">
        <v>1.9</v>
      </c>
      <c r="DQ24" s="8">
        <v>15</v>
      </c>
      <c r="DR24" s="8">
        <v>31</v>
      </c>
      <c r="DS24" s="19">
        <v>11</v>
      </c>
      <c r="DT24" s="10">
        <v>7.51</v>
      </c>
      <c r="DU24" s="10">
        <v>2.23</v>
      </c>
      <c r="DV24" s="11">
        <v>74.3</v>
      </c>
      <c r="DW24" s="10">
        <v>24.5</v>
      </c>
      <c r="DX24" s="10">
        <v>1.82</v>
      </c>
      <c r="DY24" s="20" t="s">
        <v>124</v>
      </c>
      <c r="DZ24" s="8">
        <v>2</v>
      </c>
      <c r="EA24" s="8">
        <v>12</v>
      </c>
      <c r="EB24" s="8">
        <v>5</v>
      </c>
      <c r="EC24" s="8">
        <v>13</v>
      </c>
      <c r="ED24" s="8">
        <v>0</v>
      </c>
      <c r="EE24" s="8">
        <v>9</v>
      </c>
      <c r="EF24" s="8">
        <v>8</v>
      </c>
      <c r="EG24" s="8">
        <v>5</v>
      </c>
      <c r="EH24" s="8">
        <v>95</v>
      </c>
      <c r="EI24" s="8">
        <v>8</v>
      </c>
      <c r="EJ24" s="8">
        <v>0</v>
      </c>
      <c r="EK24" s="8">
        <f>EA24+EB24+EC24+ED24+EE24+EF24+EG24+EH24+EI24+EJ24</f>
        <v>155</v>
      </c>
      <c r="EL24" s="9">
        <v>14</v>
      </c>
      <c r="EM24" s="8">
        <v>69</v>
      </c>
      <c r="EN24" s="26">
        <v>7.14</v>
      </c>
      <c r="EO24" s="26">
        <v>2.62</v>
      </c>
      <c r="EP24" s="11">
        <v>67</v>
      </c>
      <c r="EQ24" s="10">
        <v>28.2</v>
      </c>
      <c r="ER24" s="10">
        <v>1.96</v>
      </c>
      <c r="ES24" s="12" t="s">
        <v>125</v>
      </c>
      <c r="ET24" s="8">
        <v>2635</v>
      </c>
      <c r="EU24" s="8">
        <v>2748</v>
      </c>
      <c r="EV24" s="8">
        <v>1473</v>
      </c>
      <c r="EW24" s="8">
        <f>SUM(ET24:EV24)</f>
        <v>6856</v>
      </c>
      <c r="EX24" s="8">
        <v>56</v>
      </c>
      <c r="EY24" s="342"/>
    </row>
    <row r="25" spans="1:155" ht="17.100000000000001" customHeight="1">
      <c r="A25" s="174"/>
      <c r="B25" s="397" t="s">
        <v>249</v>
      </c>
      <c r="C25" s="202" t="s">
        <v>96</v>
      </c>
      <c r="D25" s="317">
        <f t="shared" si="0"/>
        <v>49.549549549549546</v>
      </c>
      <c r="E25" s="320">
        <f t="shared" si="1"/>
        <v>40.54054054054054</v>
      </c>
      <c r="F25" s="320">
        <f t="shared" si="2"/>
        <v>9.9099099099099117</v>
      </c>
      <c r="G25" s="323">
        <f t="shared" si="3"/>
        <v>0</v>
      </c>
      <c r="H25" s="306">
        <v>11</v>
      </c>
      <c r="I25" s="309">
        <v>0</v>
      </c>
      <c r="J25" s="309">
        <v>9</v>
      </c>
      <c r="K25" s="309">
        <v>2.2000000000000002</v>
      </c>
      <c r="L25" s="309">
        <v>0</v>
      </c>
      <c r="M25" s="309">
        <v>8.5</v>
      </c>
      <c r="N25" s="309">
        <v>1.6</v>
      </c>
      <c r="O25" s="309">
        <v>0.3</v>
      </c>
      <c r="P25" s="211"/>
      <c r="Q25" s="214"/>
      <c r="R25" s="306"/>
      <c r="S25" s="309"/>
      <c r="T25" s="309"/>
      <c r="U25" s="309"/>
      <c r="V25" s="309"/>
      <c r="W25" s="309"/>
      <c r="X25" s="336"/>
      <c r="Y25" s="306">
        <f t="shared" si="4"/>
        <v>0</v>
      </c>
      <c r="Z25" s="309">
        <f t="shared" si="4"/>
        <v>0</v>
      </c>
      <c r="AA25" s="309">
        <f t="shared" si="4"/>
        <v>0</v>
      </c>
      <c r="AB25" s="309">
        <f t="shared" si="4"/>
        <v>0</v>
      </c>
      <c r="AC25" s="309">
        <f t="shared" si="4"/>
        <v>0</v>
      </c>
      <c r="AD25" s="309">
        <f t="shared" si="4"/>
        <v>0</v>
      </c>
      <c r="AE25" s="336">
        <f>N25*X25*10</f>
        <v>0</v>
      </c>
      <c r="AF25" s="306"/>
      <c r="AG25" s="211"/>
      <c r="AH25" s="211"/>
      <c r="AI25" s="211"/>
      <c r="AJ25" s="211"/>
      <c r="AK25" s="211"/>
      <c r="AL25" s="214"/>
      <c r="AM25" s="333"/>
      <c r="AN25" s="211"/>
      <c r="AO25" s="211"/>
      <c r="AP25" s="211"/>
      <c r="AQ25" s="211"/>
      <c r="AR25" s="211"/>
      <c r="AS25" s="211"/>
      <c r="AT25" s="306"/>
      <c r="AU25" s="309"/>
      <c r="AV25" s="309"/>
      <c r="AW25" s="309"/>
      <c r="AX25" s="309"/>
      <c r="AY25" s="309"/>
      <c r="AZ25" s="336"/>
      <c r="BA25" s="333"/>
      <c r="BB25" s="333"/>
      <c r="BC25" s="333"/>
      <c r="BD25" s="333"/>
      <c r="BE25" s="333"/>
      <c r="BF25" s="333"/>
      <c r="BG25" s="333"/>
      <c r="BH25" s="333"/>
      <c r="BI25" s="211"/>
      <c r="BJ25" s="211"/>
      <c r="BK25" s="211"/>
      <c r="BL25" s="211"/>
      <c r="BM25" s="211"/>
      <c r="BN25" s="214"/>
      <c r="BO25" s="196">
        <v>747.7</v>
      </c>
      <c r="BP25" s="196">
        <v>0.70399999999999996</v>
      </c>
      <c r="BQ25" s="196">
        <v>5.98</v>
      </c>
      <c r="BR25" s="196">
        <v>73.8</v>
      </c>
      <c r="BS25" s="339">
        <v>0.53200000000000003</v>
      </c>
      <c r="BT25" s="196">
        <v>5.74</v>
      </c>
      <c r="BU25" s="193">
        <v>7.11</v>
      </c>
      <c r="BV25" s="193">
        <v>1.21</v>
      </c>
      <c r="BW25" s="193">
        <v>1290</v>
      </c>
      <c r="BX25" s="193">
        <v>6.19</v>
      </c>
      <c r="BY25" s="193">
        <v>6.35</v>
      </c>
      <c r="BZ25" s="193">
        <v>4060</v>
      </c>
      <c r="CA25" s="193">
        <v>7.08</v>
      </c>
      <c r="CB25" s="193">
        <v>1.45</v>
      </c>
      <c r="CC25" s="193">
        <v>1170</v>
      </c>
      <c r="CD25" s="193">
        <v>7.65</v>
      </c>
      <c r="CE25" s="193">
        <v>2.8</v>
      </c>
      <c r="CF25" s="193">
        <v>2900</v>
      </c>
      <c r="CG25" s="193">
        <v>6.49</v>
      </c>
      <c r="CH25" s="193">
        <v>1.3</v>
      </c>
      <c r="CI25" s="193">
        <v>1130</v>
      </c>
      <c r="CJ25" s="193">
        <v>7.51</v>
      </c>
      <c r="CK25" s="193">
        <v>3.27</v>
      </c>
      <c r="CL25" s="193">
        <v>2800</v>
      </c>
      <c r="CM25" s="205">
        <v>75.8</v>
      </c>
      <c r="CN25" s="205"/>
      <c r="CO25" s="13">
        <v>4</v>
      </c>
      <c r="CP25" s="10">
        <v>7.74</v>
      </c>
      <c r="CQ25" s="10">
        <v>1.98</v>
      </c>
      <c r="CR25" s="17">
        <v>75.099999999999994</v>
      </c>
      <c r="CS25" s="10">
        <v>18.399999999999999</v>
      </c>
      <c r="CT25" s="10">
        <v>1.48</v>
      </c>
      <c r="CU25" s="12" t="s">
        <v>122</v>
      </c>
      <c r="CV25" s="8">
        <v>2.5</v>
      </c>
      <c r="CW25" s="8">
        <v>7</v>
      </c>
      <c r="CX25" s="8">
        <v>25</v>
      </c>
      <c r="CY25" s="13">
        <v>7</v>
      </c>
      <c r="CZ25" s="10">
        <v>7.63</v>
      </c>
      <c r="DA25" s="10">
        <v>2.13</v>
      </c>
      <c r="DB25" s="11">
        <v>74.8</v>
      </c>
      <c r="DC25" s="15"/>
      <c r="DD25" s="15"/>
      <c r="DE25" s="16"/>
      <c r="DF25" s="8">
        <v>2.5</v>
      </c>
      <c r="DG25" s="8">
        <v>17</v>
      </c>
      <c r="DH25" s="8">
        <v>25</v>
      </c>
      <c r="DI25" s="13">
        <v>10</v>
      </c>
      <c r="DJ25" s="10">
        <v>7.56</v>
      </c>
      <c r="DK25" s="10">
        <v>2.36</v>
      </c>
      <c r="DL25" s="11">
        <v>74.900000000000006</v>
      </c>
      <c r="DM25" s="10">
        <v>23.1</v>
      </c>
      <c r="DN25" s="10">
        <v>1.67</v>
      </c>
      <c r="DO25" s="12" t="s">
        <v>123</v>
      </c>
      <c r="DP25" s="8">
        <v>2.2000000000000002</v>
      </c>
      <c r="DQ25" s="8">
        <v>15</v>
      </c>
      <c r="DR25" s="8">
        <v>31</v>
      </c>
      <c r="DS25" s="19">
        <v>3</v>
      </c>
      <c r="DT25" s="10">
        <v>7.51</v>
      </c>
      <c r="DU25" s="10">
        <v>2.23</v>
      </c>
      <c r="DV25" s="11">
        <v>74.3</v>
      </c>
      <c r="DW25" s="10">
        <v>24.5</v>
      </c>
      <c r="DX25" s="10">
        <v>1.82</v>
      </c>
      <c r="DY25" s="20" t="s">
        <v>124</v>
      </c>
      <c r="DZ25" s="8">
        <v>2.2999999999999998</v>
      </c>
      <c r="EA25" s="8">
        <v>4</v>
      </c>
      <c r="EB25" s="8">
        <v>12</v>
      </c>
      <c r="EC25" s="8">
        <v>9</v>
      </c>
      <c r="ED25" s="8">
        <v>0</v>
      </c>
      <c r="EE25" s="8">
        <v>9</v>
      </c>
      <c r="EF25" s="8">
        <v>10</v>
      </c>
      <c r="EG25" s="8">
        <v>3</v>
      </c>
      <c r="EH25" s="8">
        <v>96</v>
      </c>
      <c r="EI25" s="8">
        <v>12</v>
      </c>
      <c r="EJ25" s="8">
        <v>10</v>
      </c>
      <c r="EK25" s="8">
        <f t="shared" si="47"/>
        <v>165</v>
      </c>
      <c r="EL25" s="9">
        <v>15</v>
      </c>
      <c r="EM25" s="8">
        <v>9</v>
      </c>
      <c r="EN25" s="10">
        <v>7.19</v>
      </c>
      <c r="EO25" s="10">
        <v>2.57</v>
      </c>
      <c r="EP25" s="11">
        <v>66.8</v>
      </c>
      <c r="EQ25" s="10">
        <v>28.8</v>
      </c>
      <c r="ER25" s="10">
        <v>2.0099999999999998</v>
      </c>
      <c r="ES25" s="12" t="s">
        <v>113</v>
      </c>
      <c r="ET25" s="8">
        <v>5042</v>
      </c>
      <c r="EU25" s="8">
        <v>3614</v>
      </c>
      <c r="EV25" s="8">
        <v>974</v>
      </c>
      <c r="EW25" s="8">
        <f>SUM(ET25:EV25)</f>
        <v>9630</v>
      </c>
      <c r="EX25" s="8">
        <v>55</v>
      </c>
      <c r="EY25" s="342"/>
    </row>
    <row r="26" spans="1:155" s="401" customFormat="1" ht="17.100000000000001" customHeight="1" thickBot="1">
      <c r="A26" s="175"/>
      <c r="B26" s="400" t="s">
        <v>249</v>
      </c>
      <c r="C26" s="203" t="s">
        <v>96</v>
      </c>
      <c r="D26" s="318">
        <f t="shared" si="0"/>
        <v>61.777777777777779</v>
      </c>
      <c r="E26" s="321">
        <f t="shared" si="1"/>
        <v>38.222222222222221</v>
      </c>
      <c r="F26" s="321">
        <f t="shared" si="2"/>
        <v>0</v>
      </c>
      <c r="G26" s="324">
        <f t="shared" si="3"/>
        <v>0</v>
      </c>
      <c r="H26" s="307">
        <v>13.9</v>
      </c>
      <c r="I26" s="310">
        <v>0</v>
      </c>
      <c r="J26" s="310">
        <v>8.6</v>
      </c>
      <c r="K26" s="310">
        <v>0</v>
      </c>
      <c r="L26" s="310">
        <v>0</v>
      </c>
      <c r="M26" s="310">
        <v>8</v>
      </c>
      <c r="N26" s="310">
        <v>1.7</v>
      </c>
      <c r="O26" s="310">
        <v>0.2</v>
      </c>
      <c r="P26" s="302"/>
      <c r="Q26" s="304"/>
      <c r="R26" s="307"/>
      <c r="S26" s="310"/>
      <c r="T26" s="310"/>
      <c r="U26" s="310"/>
      <c r="V26" s="310"/>
      <c r="W26" s="310"/>
      <c r="X26" s="337"/>
      <c r="Y26" s="307">
        <f t="shared" si="4"/>
        <v>0</v>
      </c>
      <c r="Z26" s="310">
        <f t="shared" si="4"/>
        <v>0</v>
      </c>
      <c r="AA26" s="310">
        <f t="shared" si="4"/>
        <v>0</v>
      </c>
      <c r="AB26" s="310">
        <f t="shared" si="4"/>
        <v>0</v>
      </c>
      <c r="AC26" s="310">
        <f t="shared" si="4"/>
        <v>0</v>
      </c>
      <c r="AD26" s="310">
        <f t="shared" si="4"/>
        <v>0</v>
      </c>
      <c r="AE26" s="337">
        <f>N26*X26*10</f>
        <v>0</v>
      </c>
      <c r="AF26" s="307"/>
      <c r="AG26" s="302"/>
      <c r="AH26" s="302"/>
      <c r="AI26" s="302"/>
      <c r="AJ26" s="302"/>
      <c r="AK26" s="302"/>
      <c r="AL26" s="304"/>
      <c r="AM26" s="334"/>
      <c r="AN26" s="302"/>
      <c r="AO26" s="302"/>
      <c r="AP26" s="302"/>
      <c r="AQ26" s="302"/>
      <c r="AR26" s="302"/>
      <c r="AS26" s="302"/>
      <c r="AT26" s="307"/>
      <c r="AU26" s="310"/>
      <c r="AV26" s="310"/>
      <c r="AW26" s="310"/>
      <c r="AX26" s="310"/>
      <c r="AY26" s="310"/>
      <c r="AZ26" s="337"/>
      <c r="BA26" s="334"/>
      <c r="BB26" s="334"/>
      <c r="BC26" s="334"/>
      <c r="BD26" s="334"/>
      <c r="BE26" s="334"/>
      <c r="BF26" s="334"/>
      <c r="BG26" s="334"/>
      <c r="BH26" s="334"/>
      <c r="BI26" s="302"/>
      <c r="BJ26" s="302"/>
      <c r="BK26" s="302"/>
      <c r="BL26" s="302"/>
      <c r="BM26" s="302"/>
      <c r="BN26" s="304"/>
      <c r="BO26" s="217">
        <v>74</v>
      </c>
      <c r="BP26" s="217">
        <v>0.46200000000000002</v>
      </c>
      <c r="BQ26" s="217">
        <v>5.34</v>
      </c>
      <c r="BR26" s="217">
        <v>73.2</v>
      </c>
      <c r="BS26" s="340">
        <v>0.36799999999999999</v>
      </c>
      <c r="BT26" s="217">
        <v>5.72</v>
      </c>
      <c r="BU26" s="219">
        <v>7.11</v>
      </c>
      <c r="BV26" s="219">
        <v>1.21</v>
      </c>
      <c r="BW26" s="219">
        <v>1290</v>
      </c>
      <c r="BX26" s="219">
        <v>6.19</v>
      </c>
      <c r="BY26" s="219">
        <v>6.35</v>
      </c>
      <c r="BZ26" s="219">
        <v>4060</v>
      </c>
      <c r="CA26" s="219">
        <v>7.08</v>
      </c>
      <c r="CB26" s="219">
        <v>1.45</v>
      </c>
      <c r="CC26" s="219">
        <v>1170</v>
      </c>
      <c r="CD26" s="219">
        <v>7.65</v>
      </c>
      <c r="CE26" s="219">
        <v>2.8</v>
      </c>
      <c r="CF26" s="219">
        <v>2900</v>
      </c>
      <c r="CG26" s="219">
        <v>6.49</v>
      </c>
      <c r="CH26" s="219">
        <v>1.3</v>
      </c>
      <c r="CI26" s="219">
        <v>1130</v>
      </c>
      <c r="CJ26" s="219">
        <v>7.51</v>
      </c>
      <c r="CK26" s="219">
        <v>3.27</v>
      </c>
      <c r="CL26" s="219">
        <v>2800</v>
      </c>
      <c r="CM26" s="221">
        <v>76</v>
      </c>
      <c r="CN26" s="221"/>
      <c r="CO26" s="103"/>
      <c r="CP26" s="99"/>
      <c r="CQ26" s="99"/>
      <c r="CR26" s="100"/>
      <c r="CS26" s="99"/>
      <c r="CT26" s="99"/>
      <c r="CU26" s="101"/>
      <c r="CV26" s="102"/>
      <c r="CW26" s="102"/>
      <c r="CX26" s="102"/>
      <c r="CY26" s="103"/>
      <c r="CZ26" s="99"/>
      <c r="DA26" s="99"/>
      <c r="DB26" s="100"/>
      <c r="DC26" s="99"/>
      <c r="DD26" s="99"/>
      <c r="DE26" s="104"/>
      <c r="DF26" s="102"/>
      <c r="DG26" s="102"/>
      <c r="DH26" s="102"/>
      <c r="DI26" s="101"/>
      <c r="DJ26" s="99"/>
      <c r="DK26" s="99"/>
      <c r="DL26" s="100"/>
      <c r="DM26" s="99"/>
      <c r="DN26" s="99"/>
      <c r="DO26" s="101"/>
      <c r="DP26" s="116"/>
      <c r="DQ26" s="116"/>
      <c r="DR26" s="116"/>
      <c r="DS26" s="105"/>
      <c r="DT26" s="99"/>
      <c r="DU26" s="99"/>
      <c r="DV26" s="100"/>
      <c r="DW26" s="99"/>
      <c r="DX26" s="99"/>
      <c r="DY26" s="104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6" t="s">
        <v>126</v>
      </c>
      <c r="EM26" s="102">
        <v>68</v>
      </c>
      <c r="EN26" s="107">
        <v>7.21</v>
      </c>
      <c r="EO26" s="107">
        <v>2.5</v>
      </c>
      <c r="EP26" s="108">
        <v>67.599999999999994</v>
      </c>
      <c r="EQ26" s="107">
        <v>27.9</v>
      </c>
      <c r="ER26" s="107">
        <v>1.96</v>
      </c>
      <c r="ES26" s="109" t="s">
        <v>125</v>
      </c>
      <c r="ET26" s="102">
        <v>2388</v>
      </c>
      <c r="EU26" s="102">
        <v>2770</v>
      </c>
      <c r="EV26" s="102">
        <v>1844</v>
      </c>
      <c r="EW26" s="102">
        <f t="shared" si="8"/>
        <v>7002</v>
      </c>
      <c r="EX26" s="102">
        <v>55</v>
      </c>
      <c r="EY26" s="343"/>
    </row>
    <row r="27" spans="1:155" s="398" customFormat="1" ht="17.100000000000001" customHeight="1">
      <c r="A27" s="173">
        <v>6</v>
      </c>
      <c r="B27" s="397" t="s">
        <v>250</v>
      </c>
      <c r="C27" s="201" t="s">
        <v>96</v>
      </c>
      <c r="D27" s="316">
        <f t="shared" si="0"/>
        <v>61.777777777777779</v>
      </c>
      <c r="E27" s="319">
        <f t="shared" si="1"/>
        <v>38.222222222222221</v>
      </c>
      <c r="F27" s="319">
        <f t="shared" si="2"/>
        <v>0</v>
      </c>
      <c r="G27" s="322">
        <f>L27/(H27+I27+J27+K27+L27)*100</f>
        <v>0</v>
      </c>
      <c r="H27" s="305">
        <v>13.9</v>
      </c>
      <c r="I27" s="308">
        <v>0</v>
      </c>
      <c r="J27" s="308">
        <v>8.6</v>
      </c>
      <c r="K27" s="308">
        <v>0</v>
      </c>
      <c r="L27" s="308">
        <v>0</v>
      </c>
      <c r="M27" s="308">
        <v>8</v>
      </c>
      <c r="N27" s="308">
        <v>1.7</v>
      </c>
      <c r="O27" s="308">
        <v>0.2</v>
      </c>
      <c r="P27" s="301"/>
      <c r="Q27" s="303"/>
      <c r="R27" s="305">
        <v>0.84</v>
      </c>
      <c r="S27" s="308">
        <v>0</v>
      </c>
      <c r="T27" s="308">
        <v>0.49</v>
      </c>
      <c r="U27" s="308">
        <v>0</v>
      </c>
      <c r="V27" s="308">
        <v>0</v>
      </c>
      <c r="W27" s="308">
        <v>3.43</v>
      </c>
      <c r="X27" s="335">
        <v>20.5</v>
      </c>
      <c r="Y27" s="305">
        <f t="shared" si="4"/>
        <v>116.76</v>
      </c>
      <c r="Z27" s="308">
        <f t="shared" si="4"/>
        <v>0</v>
      </c>
      <c r="AA27" s="308">
        <f t="shared" si="4"/>
        <v>42.139999999999993</v>
      </c>
      <c r="AB27" s="308">
        <f t="shared" si="4"/>
        <v>0</v>
      </c>
      <c r="AC27" s="308">
        <f t="shared" si="4"/>
        <v>0</v>
      </c>
      <c r="AD27" s="308">
        <f t="shared" si="4"/>
        <v>274.40000000000003</v>
      </c>
      <c r="AE27" s="335">
        <f>O27*X27*10</f>
        <v>41.000000000000007</v>
      </c>
      <c r="AF27" s="305">
        <v>12.1</v>
      </c>
      <c r="AG27" s="301">
        <v>0</v>
      </c>
      <c r="AH27" s="301">
        <v>1.8</v>
      </c>
      <c r="AI27" s="301">
        <v>0</v>
      </c>
      <c r="AJ27" s="301">
        <v>0</v>
      </c>
      <c r="AK27" s="301">
        <v>29.8</v>
      </c>
      <c r="AL27" s="303">
        <v>85.2</v>
      </c>
      <c r="AM27" s="332">
        <f>H27*AF27*10</f>
        <v>1681.9</v>
      </c>
      <c r="AN27" s="301">
        <f t="shared" ref="AN27:AS27" si="48">I27*AG27*10</f>
        <v>0</v>
      </c>
      <c r="AO27" s="301">
        <f t="shared" si="48"/>
        <v>154.80000000000001</v>
      </c>
      <c r="AP27" s="301">
        <f t="shared" si="48"/>
        <v>0</v>
      </c>
      <c r="AQ27" s="301">
        <f t="shared" si="48"/>
        <v>0</v>
      </c>
      <c r="AR27" s="301">
        <f t="shared" si="48"/>
        <v>2384</v>
      </c>
      <c r="AS27" s="301">
        <f t="shared" si="48"/>
        <v>1448.4</v>
      </c>
      <c r="AT27" s="305">
        <v>12</v>
      </c>
      <c r="AU27" s="308">
        <v>0</v>
      </c>
      <c r="AV27" s="308">
        <v>53.2</v>
      </c>
      <c r="AW27" s="308">
        <v>0</v>
      </c>
      <c r="AX27" s="308">
        <v>0</v>
      </c>
      <c r="AY27" s="308">
        <v>17.8</v>
      </c>
      <c r="AZ27" s="335">
        <v>26.9</v>
      </c>
      <c r="BA27" s="332">
        <f t="shared" ref="BA27:BG27" si="49">(H27*3*1000)/(1-AT27/100)</f>
        <v>47386.36363636364</v>
      </c>
      <c r="BB27" s="332">
        <f t="shared" si="49"/>
        <v>0</v>
      </c>
      <c r="BC27" s="332">
        <f t="shared" si="49"/>
        <v>55128.205128205125</v>
      </c>
      <c r="BD27" s="332">
        <f t="shared" si="49"/>
        <v>0</v>
      </c>
      <c r="BE27" s="332">
        <f t="shared" si="49"/>
        <v>0</v>
      </c>
      <c r="BF27" s="332">
        <f t="shared" si="49"/>
        <v>29197.080291970804</v>
      </c>
      <c r="BG27" s="332">
        <f t="shared" si="49"/>
        <v>6976.7441860465105</v>
      </c>
      <c r="BH27" s="332">
        <f t="shared" ref="BH27" si="50">H27+I27+J27+K27+L27</f>
        <v>22.5</v>
      </c>
      <c r="BI27" s="301">
        <f t="shared" ref="BI27" si="51">M27+N27+O27</f>
        <v>9.8999999999999986</v>
      </c>
      <c r="BJ27" s="301">
        <f t="shared" ref="BJ27" si="52">BH27+BI27</f>
        <v>32.4</v>
      </c>
      <c r="BK27" s="301">
        <f t="shared" ref="BK27" si="53">Y27+Z27+AA27+AB27+AC27+AD27+AE27</f>
        <v>474.30000000000007</v>
      </c>
      <c r="BL27" s="301">
        <f t="shared" ref="BL27" si="54">AM27+AN27+AO27+AP27+AQ27+AR27+AS27</f>
        <v>5669.1</v>
      </c>
      <c r="BM27" s="301">
        <f t="shared" ref="BM27" si="55">BJ27*3*1000</f>
        <v>97199.999999999985</v>
      </c>
      <c r="BN27" s="303">
        <f t="shared" ref="BN27" si="56">BA27+BB27+BC27+BD27+BE27+BF27+BG27</f>
        <v>138688.39324258608</v>
      </c>
      <c r="BO27" s="216">
        <v>73.8</v>
      </c>
      <c r="BP27" s="216">
        <v>0.53700000000000003</v>
      </c>
      <c r="BQ27" s="216">
        <v>5.68</v>
      </c>
      <c r="BR27" s="216">
        <v>71.900000000000006</v>
      </c>
      <c r="BS27" s="338">
        <v>0.41399999999999998</v>
      </c>
      <c r="BT27" s="216">
        <v>5.88</v>
      </c>
      <c r="BU27" s="218">
        <v>6.95</v>
      </c>
      <c r="BV27" s="218">
        <v>1.1299999999999999</v>
      </c>
      <c r="BW27" s="218">
        <v>1040</v>
      </c>
      <c r="BX27" s="218">
        <v>6.23</v>
      </c>
      <c r="BY27" s="218">
        <v>6.1</v>
      </c>
      <c r="BZ27" s="218">
        <v>5400</v>
      </c>
      <c r="CA27" s="218">
        <v>6.89</v>
      </c>
      <c r="CB27" s="218">
        <v>1.2</v>
      </c>
      <c r="CC27" s="218">
        <v>1150</v>
      </c>
      <c r="CD27" s="218">
        <v>6.82</v>
      </c>
      <c r="CE27" s="218">
        <v>4.2</v>
      </c>
      <c r="CF27" s="218">
        <v>3700</v>
      </c>
      <c r="CG27" s="218">
        <v>6.74</v>
      </c>
      <c r="CH27" s="218">
        <v>1.26</v>
      </c>
      <c r="CI27" s="218">
        <v>1350</v>
      </c>
      <c r="CJ27" s="218">
        <v>6.39</v>
      </c>
      <c r="CK27" s="218">
        <v>3.61</v>
      </c>
      <c r="CL27" s="218">
        <v>3100</v>
      </c>
      <c r="CM27" s="220">
        <v>76.900000000000006</v>
      </c>
      <c r="CN27" s="220">
        <v>76.2</v>
      </c>
      <c r="CO27" s="75">
        <v>2</v>
      </c>
      <c r="CP27" s="76">
        <v>7.78</v>
      </c>
      <c r="CQ27" s="76">
        <v>2.02</v>
      </c>
      <c r="CR27" s="77">
        <v>75.3</v>
      </c>
      <c r="CS27" s="76">
        <v>19.899999999999999</v>
      </c>
      <c r="CT27" s="76">
        <v>1.57</v>
      </c>
      <c r="CU27" s="78" t="s">
        <v>127</v>
      </c>
      <c r="CV27" s="79">
        <v>2.65</v>
      </c>
      <c r="CW27" s="79">
        <v>6</v>
      </c>
      <c r="CX27" s="79">
        <v>36</v>
      </c>
      <c r="CY27" s="75">
        <v>5</v>
      </c>
      <c r="CZ27" s="76">
        <v>7.58</v>
      </c>
      <c r="DA27" s="76">
        <v>2.2000000000000002</v>
      </c>
      <c r="DB27" s="77">
        <v>74</v>
      </c>
      <c r="DC27" s="81"/>
      <c r="DD27" s="81"/>
      <c r="DE27" s="82"/>
      <c r="DF27" s="79">
        <v>2.5</v>
      </c>
      <c r="DG27" s="79">
        <v>2</v>
      </c>
      <c r="DH27" s="117">
        <v>44</v>
      </c>
      <c r="DI27" s="75">
        <v>6</v>
      </c>
      <c r="DJ27" s="76">
        <v>7.58</v>
      </c>
      <c r="DK27" s="111">
        <v>2.39</v>
      </c>
      <c r="DL27" s="83">
        <v>74</v>
      </c>
      <c r="DM27" s="76">
        <v>23.6</v>
      </c>
      <c r="DN27" s="76">
        <v>1.72</v>
      </c>
      <c r="DO27" s="78" t="s">
        <v>128</v>
      </c>
      <c r="DP27" s="79">
        <v>2</v>
      </c>
      <c r="DQ27" s="118"/>
      <c r="DR27" s="118"/>
      <c r="DS27" s="85">
        <v>2</v>
      </c>
      <c r="DT27" s="76">
        <v>7.57</v>
      </c>
      <c r="DU27" s="76">
        <v>2.35</v>
      </c>
      <c r="DV27" s="83">
        <v>74.3</v>
      </c>
      <c r="DW27" s="76">
        <v>25.3</v>
      </c>
      <c r="DX27" s="76">
        <v>1.86</v>
      </c>
      <c r="DY27" s="86" t="s">
        <v>129</v>
      </c>
      <c r="DZ27" s="79">
        <v>2.1</v>
      </c>
      <c r="EA27" s="79">
        <v>4</v>
      </c>
      <c r="EB27" s="79">
        <v>15</v>
      </c>
      <c r="EC27" s="79">
        <v>14</v>
      </c>
      <c r="ED27" s="79">
        <v>0</v>
      </c>
      <c r="EE27" s="79">
        <v>11</v>
      </c>
      <c r="EF27" s="79">
        <v>10</v>
      </c>
      <c r="EG27" s="79">
        <v>3</v>
      </c>
      <c r="EH27" s="79">
        <v>89</v>
      </c>
      <c r="EI27" s="79">
        <v>6</v>
      </c>
      <c r="EJ27" s="79">
        <v>13</v>
      </c>
      <c r="EK27" s="79">
        <f t="shared" ref="EK27:EK29" si="57">EA27+EB27+EC27+ED27+EE27+EF27+EG27+EH27+EI27+EJ27</f>
        <v>165</v>
      </c>
      <c r="EL27" s="87">
        <v>17</v>
      </c>
      <c r="EM27" s="79">
        <v>27</v>
      </c>
      <c r="EN27" s="111">
        <v>7.16</v>
      </c>
      <c r="EO27" s="111">
        <v>2.6</v>
      </c>
      <c r="EP27" s="83">
        <v>68.2</v>
      </c>
      <c r="EQ27" s="111">
        <v>28.9</v>
      </c>
      <c r="ER27" s="111">
        <v>2.12</v>
      </c>
      <c r="ES27" s="84" t="s">
        <v>119</v>
      </c>
      <c r="ET27" s="79">
        <v>3343</v>
      </c>
      <c r="EU27" s="79">
        <v>2610</v>
      </c>
      <c r="EV27" s="79">
        <v>918</v>
      </c>
      <c r="EW27" s="79">
        <f t="shared" si="8"/>
        <v>6871</v>
      </c>
      <c r="EX27" s="79">
        <v>54</v>
      </c>
      <c r="EY27" s="341">
        <f>EW27+EW28+EW29+EW30</f>
        <v>30112</v>
      </c>
    </row>
    <row r="28" spans="1:155" ht="17.100000000000001" customHeight="1">
      <c r="A28" s="174"/>
      <c r="B28" s="397" t="s">
        <v>250</v>
      </c>
      <c r="C28" s="202" t="s">
        <v>96</v>
      </c>
      <c r="D28" s="317">
        <f t="shared" si="0"/>
        <v>61.777777777777779</v>
      </c>
      <c r="E28" s="320">
        <f t="shared" si="1"/>
        <v>38.222222222222221</v>
      </c>
      <c r="F28" s="320">
        <f t="shared" si="2"/>
        <v>0</v>
      </c>
      <c r="G28" s="323">
        <f t="shared" si="3"/>
        <v>0</v>
      </c>
      <c r="H28" s="306">
        <v>13.9</v>
      </c>
      <c r="I28" s="309">
        <v>0</v>
      </c>
      <c r="J28" s="309">
        <v>8.6</v>
      </c>
      <c r="K28" s="309">
        <v>0</v>
      </c>
      <c r="L28" s="309">
        <v>0</v>
      </c>
      <c r="M28" s="309">
        <v>8</v>
      </c>
      <c r="N28" s="309">
        <v>1.75</v>
      </c>
      <c r="O28" s="309">
        <v>0.2</v>
      </c>
      <c r="P28" s="211"/>
      <c r="Q28" s="214"/>
      <c r="R28" s="306"/>
      <c r="S28" s="309"/>
      <c r="T28" s="309"/>
      <c r="U28" s="309"/>
      <c r="V28" s="309"/>
      <c r="W28" s="309"/>
      <c r="X28" s="336"/>
      <c r="Y28" s="306">
        <f t="shared" si="4"/>
        <v>0</v>
      </c>
      <c r="Z28" s="309">
        <f t="shared" si="4"/>
        <v>0</v>
      </c>
      <c r="AA28" s="309">
        <f t="shared" si="4"/>
        <v>0</v>
      </c>
      <c r="AB28" s="309">
        <f t="shared" si="4"/>
        <v>0</v>
      </c>
      <c r="AC28" s="309">
        <f t="shared" si="4"/>
        <v>0</v>
      </c>
      <c r="AD28" s="309">
        <f t="shared" si="4"/>
        <v>0</v>
      </c>
      <c r="AE28" s="336">
        <f>N28*X28*10</f>
        <v>0</v>
      </c>
      <c r="AF28" s="306"/>
      <c r="AG28" s="211"/>
      <c r="AH28" s="211"/>
      <c r="AI28" s="211"/>
      <c r="AJ28" s="211"/>
      <c r="AK28" s="211"/>
      <c r="AL28" s="214"/>
      <c r="AM28" s="333"/>
      <c r="AN28" s="211"/>
      <c r="AO28" s="211"/>
      <c r="AP28" s="211"/>
      <c r="AQ28" s="211"/>
      <c r="AR28" s="211"/>
      <c r="AS28" s="211"/>
      <c r="AT28" s="306"/>
      <c r="AU28" s="309"/>
      <c r="AV28" s="309"/>
      <c r="AW28" s="309"/>
      <c r="AX28" s="309"/>
      <c r="AY28" s="309"/>
      <c r="AZ28" s="336"/>
      <c r="BA28" s="333"/>
      <c r="BB28" s="333"/>
      <c r="BC28" s="333"/>
      <c r="BD28" s="333"/>
      <c r="BE28" s="333"/>
      <c r="BF28" s="333"/>
      <c r="BG28" s="333"/>
      <c r="BH28" s="333"/>
      <c r="BI28" s="211"/>
      <c r="BJ28" s="211"/>
      <c r="BK28" s="211"/>
      <c r="BL28" s="211"/>
      <c r="BM28" s="211"/>
      <c r="BN28" s="214"/>
      <c r="BO28" s="196">
        <v>747.7</v>
      </c>
      <c r="BP28" s="196">
        <v>0.70399999999999996</v>
      </c>
      <c r="BQ28" s="196">
        <v>5.98</v>
      </c>
      <c r="BR28" s="196">
        <v>73.8</v>
      </c>
      <c r="BS28" s="339">
        <v>0.53200000000000003</v>
      </c>
      <c r="BT28" s="196">
        <v>5.74</v>
      </c>
      <c r="BU28" s="193">
        <v>6.95</v>
      </c>
      <c r="BV28" s="193">
        <v>1.1299999999999999</v>
      </c>
      <c r="BW28" s="193">
        <v>1040</v>
      </c>
      <c r="BX28" s="193">
        <v>6.23</v>
      </c>
      <c r="BY28" s="193">
        <v>6.1</v>
      </c>
      <c r="BZ28" s="193">
        <v>5400</v>
      </c>
      <c r="CA28" s="193">
        <v>6.89</v>
      </c>
      <c r="CB28" s="193">
        <v>1.2</v>
      </c>
      <c r="CC28" s="193">
        <v>1150</v>
      </c>
      <c r="CD28" s="193">
        <v>6.82</v>
      </c>
      <c r="CE28" s="193">
        <v>4.2</v>
      </c>
      <c r="CF28" s="193">
        <v>3700</v>
      </c>
      <c r="CG28" s="193">
        <v>6.74</v>
      </c>
      <c r="CH28" s="193">
        <v>1.26</v>
      </c>
      <c r="CI28" s="193">
        <v>1350</v>
      </c>
      <c r="CJ28" s="193">
        <v>6.39</v>
      </c>
      <c r="CK28" s="193">
        <v>3.61</v>
      </c>
      <c r="CL28" s="193">
        <v>3100</v>
      </c>
      <c r="CM28" s="205">
        <v>75.8</v>
      </c>
      <c r="CN28" s="205"/>
      <c r="CO28" s="13">
        <v>3</v>
      </c>
      <c r="CP28" s="10">
        <v>7.78</v>
      </c>
      <c r="CQ28" s="10">
        <v>2.02</v>
      </c>
      <c r="CR28" s="11">
        <v>75.3</v>
      </c>
      <c r="CS28" s="10">
        <v>19.899999999999999</v>
      </c>
      <c r="CT28" s="10">
        <v>1.57</v>
      </c>
      <c r="CU28" s="12" t="s">
        <v>127</v>
      </c>
      <c r="CV28" s="8">
        <v>2.65</v>
      </c>
      <c r="CW28" s="8">
        <v>7</v>
      </c>
      <c r="CX28" s="8">
        <v>30</v>
      </c>
      <c r="CY28" s="13">
        <v>6</v>
      </c>
      <c r="CZ28" s="10">
        <v>7.58</v>
      </c>
      <c r="DA28" s="10">
        <v>2.2000000000000002</v>
      </c>
      <c r="DB28" s="11">
        <v>74</v>
      </c>
      <c r="DC28" s="15"/>
      <c r="DD28" s="15"/>
      <c r="DE28" s="16"/>
      <c r="DF28" s="8">
        <v>2.5</v>
      </c>
      <c r="DG28" s="8">
        <v>16</v>
      </c>
      <c r="DH28" s="29">
        <v>42</v>
      </c>
      <c r="DI28" s="13">
        <v>7</v>
      </c>
      <c r="DJ28" s="10">
        <v>7.58</v>
      </c>
      <c r="DK28" s="26">
        <v>2.39</v>
      </c>
      <c r="DL28" s="17">
        <v>74</v>
      </c>
      <c r="DM28" s="10">
        <v>23.6</v>
      </c>
      <c r="DN28" s="10">
        <v>1.72</v>
      </c>
      <c r="DO28" s="12" t="s">
        <v>128</v>
      </c>
      <c r="DP28" s="8">
        <v>2</v>
      </c>
      <c r="DQ28" s="8">
        <v>9</v>
      </c>
      <c r="DR28" s="8">
        <v>32</v>
      </c>
      <c r="DS28" s="19">
        <v>7</v>
      </c>
      <c r="DT28" s="10">
        <v>7.57</v>
      </c>
      <c r="DU28" s="10">
        <v>2.35</v>
      </c>
      <c r="DV28" s="17">
        <v>74.3</v>
      </c>
      <c r="DW28" s="10">
        <v>25.3</v>
      </c>
      <c r="DX28" s="10">
        <v>1.86</v>
      </c>
      <c r="DY28" s="20" t="s">
        <v>129</v>
      </c>
      <c r="DZ28" s="8">
        <v>2</v>
      </c>
      <c r="EA28" s="8">
        <v>6</v>
      </c>
      <c r="EB28" s="8">
        <v>13</v>
      </c>
      <c r="EC28" s="8">
        <v>13</v>
      </c>
      <c r="ED28" s="8">
        <v>0</v>
      </c>
      <c r="EE28" s="8">
        <v>7</v>
      </c>
      <c r="EF28" s="8">
        <v>12</v>
      </c>
      <c r="EG28" s="8">
        <v>1</v>
      </c>
      <c r="EH28" s="8">
        <v>91</v>
      </c>
      <c r="EI28" s="8">
        <v>7</v>
      </c>
      <c r="EJ28" s="8">
        <v>5</v>
      </c>
      <c r="EK28" s="8">
        <f t="shared" si="57"/>
        <v>155</v>
      </c>
      <c r="EL28" s="9">
        <v>16</v>
      </c>
      <c r="EM28" s="27">
        <v>26</v>
      </c>
      <c r="EN28" s="26">
        <v>7.09</v>
      </c>
      <c r="EO28" s="26">
        <v>2.65</v>
      </c>
      <c r="EP28" s="17">
        <v>66.7</v>
      </c>
      <c r="EQ28" s="26">
        <v>27.9</v>
      </c>
      <c r="ER28" s="26">
        <v>2.17</v>
      </c>
      <c r="ES28" s="18" t="s">
        <v>130</v>
      </c>
      <c r="ET28" s="8">
        <v>2428</v>
      </c>
      <c r="EU28" s="8">
        <v>2819</v>
      </c>
      <c r="EV28" s="8">
        <v>1384</v>
      </c>
      <c r="EW28" s="8">
        <f t="shared" si="8"/>
        <v>6631</v>
      </c>
      <c r="EX28" s="8">
        <v>56</v>
      </c>
      <c r="EY28" s="342"/>
    </row>
    <row r="29" spans="1:155" ht="17.100000000000001" customHeight="1">
      <c r="A29" s="174"/>
      <c r="B29" s="397" t="s">
        <v>250</v>
      </c>
      <c r="C29" s="202" t="s">
        <v>96</v>
      </c>
      <c r="D29" s="317">
        <f t="shared" si="0"/>
        <v>61.777777777777779</v>
      </c>
      <c r="E29" s="320">
        <f t="shared" si="1"/>
        <v>38.222222222222221</v>
      </c>
      <c r="F29" s="320">
        <f t="shared" si="2"/>
        <v>0</v>
      </c>
      <c r="G29" s="323">
        <f t="shared" si="3"/>
        <v>0</v>
      </c>
      <c r="H29" s="306">
        <v>13.9</v>
      </c>
      <c r="I29" s="309">
        <v>0</v>
      </c>
      <c r="J29" s="309">
        <v>8.6</v>
      </c>
      <c r="K29" s="309">
        <v>0</v>
      </c>
      <c r="L29" s="309">
        <v>0</v>
      </c>
      <c r="M29" s="309">
        <v>8</v>
      </c>
      <c r="N29" s="309">
        <v>1.7</v>
      </c>
      <c r="O29" s="309">
        <v>0.25</v>
      </c>
      <c r="P29" s="211"/>
      <c r="Q29" s="214"/>
      <c r="R29" s="306"/>
      <c r="S29" s="309"/>
      <c r="T29" s="309"/>
      <c r="U29" s="309"/>
      <c r="V29" s="309"/>
      <c r="W29" s="309"/>
      <c r="X29" s="336"/>
      <c r="Y29" s="306">
        <f t="shared" si="4"/>
        <v>0</v>
      </c>
      <c r="Z29" s="309">
        <f t="shared" si="4"/>
        <v>0</v>
      </c>
      <c r="AA29" s="309">
        <f t="shared" si="4"/>
        <v>0</v>
      </c>
      <c r="AB29" s="309">
        <f t="shared" si="4"/>
        <v>0</v>
      </c>
      <c r="AC29" s="309">
        <f t="shared" si="4"/>
        <v>0</v>
      </c>
      <c r="AD29" s="309">
        <f t="shared" si="4"/>
        <v>0</v>
      </c>
      <c r="AE29" s="336">
        <f>N29*X29*10</f>
        <v>0</v>
      </c>
      <c r="AF29" s="306"/>
      <c r="AG29" s="211"/>
      <c r="AH29" s="211"/>
      <c r="AI29" s="211"/>
      <c r="AJ29" s="211"/>
      <c r="AK29" s="211"/>
      <c r="AL29" s="214"/>
      <c r="AM29" s="333"/>
      <c r="AN29" s="211"/>
      <c r="AO29" s="211"/>
      <c r="AP29" s="211"/>
      <c r="AQ29" s="211"/>
      <c r="AR29" s="211"/>
      <c r="AS29" s="211"/>
      <c r="AT29" s="306"/>
      <c r="AU29" s="309"/>
      <c r="AV29" s="309"/>
      <c r="AW29" s="309"/>
      <c r="AX29" s="309"/>
      <c r="AY29" s="309"/>
      <c r="AZ29" s="336"/>
      <c r="BA29" s="333"/>
      <c r="BB29" s="333"/>
      <c r="BC29" s="333"/>
      <c r="BD29" s="333"/>
      <c r="BE29" s="333"/>
      <c r="BF29" s="333"/>
      <c r="BG29" s="333"/>
      <c r="BH29" s="333"/>
      <c r="BI29" s="211"/>
      <c r="BJ29" s="211"/>
      <c r="BK29" s="211"/>
      <c r="BL29" s="211"/>
      <c r="BM29" s="211"/>
      <c r="BN29" s="214"/>
      <c r="BO29" s="196">
        <v>74</v>
      </c>
      <c r="BP29" s="196">
        <v>0.46200000000000002</v>
      </c>
      <c r="BQ29" s="196">
        <v>5.34</v>
      </c>
      <c r="BR29" s="196">
        <v>73.2</v>
      </c>
      <c r="BS29" s="339">
        <v>0.36799999999999999</v>
      </c>
      <c r="BT29" s="196">
        <v>5.72</v>
      </c>
      <c r="BU29" s="193">
        <v>6.95</v>
      </c>
      <c r="BV29" s="193">
        <v>1.1299999999999999</v>
      </c>
      <c r="BW29" s="193">
        <v>1040</v>
      </c>
      <c r="BX29" s="193">
        <v>6.23</v>
      </c>
      <c r="BY29" s="193">
        <v>6.1</v>
      </c>
      <c r="BZ29" s="193">
        <v>5400</v>
      </c>
      <c r="CA29" s="193">
        <v>6.89</v>
      </c>
      <c r="CB29" s="193">
        <v>1.2</v>
      </c>
      <c r="CC29" s="193">
        <v>1150</v>
      </c>
      <c r="CD29" s="193">
        <v>6.82</v>
      </c>
      <c r="CE29" s="193">
        <v>4.2</v>
      </c>
      <c r="CF29" s="193">
        <v>3700</v>
      </c>
      <c r="CG29" s="193">
        <v>6.74</v>
      </c>
      <c r="CH29" s="193">
        <v>1.26</v>
      </c>
      <c r="CI29" s="193">
        <v>1350</v>
      </c>
      <c r="CJ29" s="193">
        <v>6.39</v>
      </c>
      <c r="CK29" s="193">
        <v>3.61</v>
      </c>
      <c r="CL29" s="193">
        <v>3100</v>
      </c>
      <c r="CM29" s="205">
        <v>76</v>
      </c>
      <c r="CN29" s="205"/>
      <c r="CO29" s="13">
        <v>4</v>
      </c>
      <c r="CP29" s="10">
        <v>7.78</v>
      </c>
      <c r="CQ29" s="10">
        <v>2.02</v>
      </c>
      <c r="CR29" s="11">
        <v>75.3</v>
      </c>
      <c r="CS29" s="10">
        <v>19.899999999999999</v>
      </c>
      <c r="CT29" s="10">
        <v>1.57</v>
      </c>
      <c r="CU29" s="12" t="s">
        <v>127</v>
      </c>
      <c r="CV29" s="8">
        <v>2.65</v>
      </c>
      <c r="CW29" s="8">
        <v>4</v>
      </c>
      <c r="CX29" s="8">
        <v>33</v>
      </c>
      <c r="CY29" s="13">
        <v>7</v>
      </c>
      <c r="CZ29" s="10">
        <v>7.58</v>
      </c>
      <c r="DA29" s="10">
        <v>2.2000000000000002</v>
      </c>
      <c r="DB29" s="11">
        <v>74</v>
      </c>
      <c r="DC29" s="15"/>
      <c r="DD29" s="15"/>
      <c r="DE29" s="16"/>
      <c r="DF29" s="8">
        <v>2.5</v>
      </c>
      <c r="DG29" s="8">
        <v>14</v>
      </c>
      <c r="DH29" s="29">
        <v>40</v>
      </c>
      <c r="DI29" s="13">
        <v>5</v>
      </c>
      <c r="DJ29" s="10">
        <v>7.58</v>
      </c>
      <c r="DK29" s="26">
        <v>2.39</v>
      </c>
      <c r="DL29" s="17">
        <v>74</v>
      </c>
      <c r="DM29" s="10">
        <v>23.6</v>
      </c>
      <c r="DN29" s="10">
        <v>1.72</v>
      </c>
      <c r="DO29" s="12" t="s">
        <v>128</v>
      </c>
      <c r="DP29" s="8">
        <v>2</v>
      </c>
      <c r="DQ29" s="8">
        <v>15</v>
      </c>
      <c r="DR29" s="8">
        <v>23</v>
      </c>
      <c r="DS29" s="19">
        <v>8</v>
      </c>
      <c r="DT29" s="10">
        <v>7.57</v>
      </c>
      <c r="DU29" s="10">
        <v>2.35</v>
      </c>
      <c r="DV29" s="17">
        <v>74.3</v>
      </c>
      <c r="DW29" s="10">
        <v>25.3</v>
      </c>
      <c r="DX29" s="10">
        <v>1.86</v>
      </c>
      <c r="DY29" s="20" t="s">
        <v>129</v>
      </c>
      <c r="DZ29" s="8">
        <v>1.9</v>
      </c>
      <c r="EA29" s="8">
        <v>9</v>
      </c>
      <c r="EB29" s="8">
        <v>7</v>
      </c>
      <c r="EC29" s="8">
        <v>15</v>
      </c>
      <c r="ED29" s="8">
        <v>0</v>
      </c>
      <c r="EE29" s="8">
        <v>9</v>
      </c>
      <c r="EF29" s="8">
        <v>9</v>
      </c>
      <c r="EG29" s="8">
        <v>4</v>
      </c>
      <c r="EH29" s="8">
        <v>101</v>
      </c>
      <c r="EI29" s="8">
        <v>14</v>
      </c>
      <c r="EJ29" s="8">
        <v>5</v>
      </c>
      <c r="EK29" s="8">
        <f t="shared" si="57"/>
        <v>173</v>
      </c>
      <c r="EL29" s="9">
        <v>18</v>
      </c>
      <c r="EM29" s="8">
        <v>64</v>
      </c>
      <c r="EN29" s="10">
        <v>7.16</v>
      </c>
      <c r="EO29" s="10">
        <v>2.66</v>
      </c>
      <c r="EP29" s="11">
        <v>66.400000000000006</v>
      </c>
      <c r="EQ29" s="10">
        <v>29.1</v>
      </c>
      <c r="ER29" s="10">
        <v>2.17</v>
      </c>
      <c r="ES29" s="12" t="s">
        <v>131</v>
      </c>
      <c r="ET29" s="8">
        <v>4793</v>
      </c>
      <c r="EU29" s="8">
        <v>4159</v>
      </c>
      <c r="EV29" s="8">
        <v>1467</v>
      </c>
      <c r="EW29" s="8">
        <f t="shared" si="8"/>
        <v>10419</v>
      </c>
      <c r="EX29" s="8">
        <v>53</v>
      </c>
      <c r="EY29" s="342"/>
    </row>
    <row r="30" spans="1:155" s="401" customFormat="1" ht="17.100000000000001" customHeight="1" thickBot="1">
      <c r="A30" s="175"/>
      <c r="B30" s="400" t="s">
        <v>250</v>
      </c>
      <c r="C30" s="203" t="s">
        <v>96</v>
      </c>
      <c r="D30" s="318">
        <f t="shared" si="0"/>
        <v>61.777777777777779</v>
      </c>
      <c r="E30" s="321">
        <f t="shared" si="1"/>
        <v>38.222222222222221</v>
      </c>
      <c r="F30" s="321">
        <f t="shared" si="2"/>
        <v>0</v>
      </c>
      <c r="G30" s="324">
        <f t="shared" si="3"/>
        <v>0</v>
      </c>
      <c r="H30" s="307">
        <v>13.9</v>
      </c>
      <c r="I30" s="310">
        <v>0</v>
      </c>
      <c r="J30" s="310">
        <v>8.6</v>
      </c>
      <c r="K30" s="310">
        <v>0</v>
      </c>
      <c r="L30" s="310">
        <v>0</v>
      </c>
      <c r="M30" s="310">
        <v>8</v>
      </c>
      <c r="N30" s="310">
        <v>1.7</v>
      </c>
      <c r="O30" s="310">
        <v>0.2</v>
      </c>
      <c r="P30" s="302"/>
      <c r="Q30" s="304"/>
      <c r="R30" s="307"/>
      <c r="S30" s="310"/>
      <c r="T30" s="310"/>
      <c r="U30" s="310"/>
      <c r="V30" s="310"/>
      <c r="W30" s="310"/>
      <c r="X30" s="337"/>
      <c r="Y30" s="307">
        <f t="shared" si="4"/>
        <v>0</v>
      </c>
      <c r="Z30" s="310">
        <f t="shared" si="4"/>
        <v>0</v>
      </c>
      <c r="AA30" s="310">
        <f t="shared" si="4"/>
        <v>0</v>
      </c>
      <c r="AB30" s="310">
        <f t="shared" si="4"/>
        <v>0</v>
      </c>
      <c r="AC30" s="310">
        <f t="shared" si="4"/>
        <v>0</v>
      </c>
      <c r="AD30" s="310">
        <f t="shared" si="4"/>
        <v>0</v>
      </c>
      <c r="AE30" s="337">
        <f>N30*X30*10</f>
        <v>0</v>
      </c>
      <c r="AF30" s="307"/>
      <c r="AG30" s="302"/>
      <c r="AH30" s="302"/>
      <c r="AI30" s="302"/>
      <c r="AJ30" s="302"/>
      <c r="AK30" s="302"/>
      <c r="AL30" s="304"/>
      <c r="AM30" s="334"/>
      <c r="AN30" s="302"/>
      <c r="AO30" s="302"/>
      <c r="AP30" s="302"/>
      <c r="AQ30" s="302"/>
      <c r="AR30" s="302"/>
      <c r="AS30" s="302"/>
      <c r="AT30" s="307"/>
      <c r="AU30" s="310"/>
      <c r="AV30" s="310"/>
      <c r="AW30" s="310"/>
      <c r="AX30" s="310"/>
      <c r="AY30" s="310"/>
      <c r="AZ30" s="337"/>
      <c r="BA30" s="334"/>
      <c r="BB30" s="334"/>
      <c r="BC30" s="334"/>
      <c r="BD30" s="334"/>
      <c r="BE30" s="334"/>
      <c r="BF30" s="334"/>
      <c r="BG30" s="334"/>
      <c r="BH30" s="334"/>
      <c r="BI30" s="302"/>
      <c r="BJ30" s="302"/>
      <c r="BK30" s="302"/>
      <c r="BL30" s="302"/>
      <c r="BM30" s="302"/>
      <c r="BN30" s="304"/>
      <c r="BO30" s="217">
        <v>73.8</v>
      </c>
      <c r="BP30" s="217">
        <v>0.53700000000000003</v>
      </c>
      <c r="BQ30" s="217">
        <v>5.68</v>
      </c>
      <c r="BR30" s="217">
        <v>71.900000000000006</v>
      </c>
      <c r="BS30" s="340">
        <v>0.41399999999999998</v>
      </c>
      <c r="BT30" s="217">
        <v>5.88</v>
      </c>
      <c r="BU30" s="219">
        <v>6.95</v>
      </c>
      <c r="BV30" s="219">
        <v>1.1299999999999999</v>
      </c>
      <c r="BW30" s="219">
        <v>1040</v>
      </c>
      <c r="BX30" s="219">
        <v>6.23</v>
      </c>
      <c r="BY30" s="219">
        <v>6.1</v>
      </c>
      <c r="BZ30" s="219">
        <v>5400</v>
      </c>
      <c r="CA30" s="219">
        <v>6.89</v>
      </c>
      <c r="CB30" s="219">
        <v>1.2</v>
      </c>
      <c r="CC30" s="219">
        <v>1150</v>
      </c>
      <c r="CD30" s="219">
        <v>6.82</v>
      </c>
      <c r="CE30" s="219">
        <v>4.2</v>
      </c>
      <c r="CF30" s="219">
        <v>3700</v>
      </c>
      <c r="CG30" s="219">
        <v>6.74</v>
      </c>
      <c r="CH30" s="219">
        <v>1.26</v>
      </c>
      <c r="CI30" s="219">
        <v>1350</v>
      </c>
      <c r="CJ30" s="219">
        <v>6.39</v>
      </c>
      <c r="CK30" s="219">
        <v>3.61</v>
      </c>
      <c r="CL30" s="219">
        <v>3100</v>
      </c>
      <c r="CM30" s="221">
        <v>76.900000000000006</v>
      </c>
      <c r="CN30" s="221"/>
      <c r="CO30" s="98"/>
      <c r="CP30" s="99"/>
      <c r="CQ30" s="99"/>
      <c r="CR30" s="100"/>
      <c r="CS30" s="99"/>
      <c r="CT30" s="99"/>
      <c r="CU30" s="101"/>
      <c r="CV30" s="102"/>
      <c r="CW30" s="102"/>
      <c r="CX30" s="102"/>
      <c r="CY30" s="103"/>
      <c r="CZ30" s="99"/>
      <c r="DA30" s="99"/>
      <c r="DB30" s="100"/>
      <c r="DC30" s="99"/>
      <c r="DD30" s="99"/>
      <c r="DE30" s="104"/>
      <c r="DF30" s="102"/>
      <c r="DG30" s="102"/>
      <c r="DH30" s="119"/>
      <c r="DI30" s="101"/>
      <c r="DJ30" s="99"/>
      <c r="DK30" s="99"/>
      <c r="DL30" s="100"/>
      <c r="DM30" s="99"/>
      <c r="DN30" s="99"/>
      <c r="DO30" s="101"/>
      <c r="DP30" s="102"/>
      <c r="DQ30" s="102"/>
      <c r="DR30" s="102"/>
      <c r="DS30" s="105"/>
      <c r="DT30" s="99"/>
      <c r="DU30" s="99"/>
      <c r="DV30" s="100"/>
      <c r="DW30" s="99"/>
      <c r="DX30" s="99"/>
      <c r="DY30" s="104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6" t="s">
        <v>132</v>
      </c>
      <c r="EM30" s="102">
        <v>63</v>
      </c>
      <c r="EN30" s="107">
        <v>7.22</v>
      </c>
      <c r="EO30" s="107">
        <v>2.57</v>
      </c>
      <c r="EP30" s="108">
        <v>67.7</v>
      </c>
      <c r="EQ30" s="107">
        <v>28.7</v>
      </c>
      <c r="ER30" s="107">
        <v>2.1</v>
      </c>
      <c r="ES30" s="109" t="s">
        <v>117</v>
      </c>
      <c r="ET30" s="102">
        <v>2909</v>
      </c>
      <c r="EU30" s="102">
        <v>3282</v>
      </c>
      <c r="EV30" s="102">
        <v>0</v>
      </c>
      <c r="EW30" s="102">
        <f t="shared" si="8"/>
        <v>6191</v>
      </c>
      <c r="EX30" s="102">
        <v>55</v>
      </c>
      <c r="EY30" s="343"/>
    </row>
    <row r="31" spans="1:155" s="398" customFormat="1" ht="17.100000000000001" customHeight="1">
      <c r="A31" s="173">
        <v>7</v>
      </c>
      <c r="B31" s="397" t="s">
        <v>251</v>
      </c>
      <c r="C31" s="201" t="s">
        <v>96</v>
      </c>
      <c r="D31" s="316">
        <f t="shared" si="0"/>
        <v>61.777777777777779</v>
      </c>
      <c r="E31" s="319">
        <f t="shared" si="1"/>
        <v>38.222222222222221</v>
      </c>
      <c r="F31" s="319">
        <f t="shared" si="2"/>
        <v>0</v>
      </c>
      <c r="G31" s="322">
        <f t="shared" si="3"/>
        <v>0</v>
      </c>
      <c r="H31" s="305">
        <v>13.9</v>
      </c>
      <c r="I31" s="308">
        <v>0</v>
      </c>
      <c r="J31" s="308">
        <v>8.6</v>
      </c>
      <c r="K31" s="308">
        <v>0</v>
      </c>
      <c r="L31" s="308">
        <v>0</v>
      </c>
      <c r="M31" s="308">
        <v>8</v>
      </c>
      <c r="N31" s="308">
        <v>1.75</v>
      </c>
      <c r="O31" s="308">
        <v>0.2</v>
      </c>
      <c r="P31" s="301"/>
      <c r="Q31" s="303"/>
      <c r="R31" s="305">
        <v>0.84</v>
      </c>
      <c r="S31" s="308">
        <v>0</v>
      </c>
      <c r="T31" s="308">
        <v>0.42</v>
      </c>
      <c r="U31" s="308">
        <v>0</v>
      </c>
      <c r="V31" s="308">
        <v>0</v>
      </c>
      <c r="W31" s="308">
        <v>3.5</v>
      </c>
      <c r="X31" s="335">
        <v>20.5</v>
      </c>
      <c r="Y31" s="305">
        <f t="shared" si="4"/>
        <v>116.76</v>
      </c>
      <c r="Z31" s="308">
        <f t="shared" si="4"/>
        <v>0</v>
      </c>
      <c r="AA31" s="308">
        <f t="shared" si="4"/>
        <v>36.119999999999997</v>
      </c>
      <c r="AB31" s="308">
        <f t="shared" si="4"/>
        <v>0</v>
      </c>
      <c r="AC31" s="308">
        <f t="shared" si="4"/>
        <v>0</v>
      </c>
      <c r="AD31" s="308">
        <f t="shared" si="4"/>
        <v>280</v>
      </c>
      <c r="AE31" s="335">
        <f>O31*X31*10</f>
        <v>41.000000000000007</v>
      </c>
      <c r="AF31" s="305">
        <v>12.1</v>
      </c>
      <c r="AG31" s="301">
        <v>0</v>
      </c>
      <c r="AH31" s="301">
        <v>1.8</v>
      </c>
      <c r="AI31" s="301">
        <v>0</v>
      </c>
      <c r="AJ31" s="301">
        <v>0</v>
      </c>
      <c r="AK31" s="301">
        <v>28.3</v>
      </c>
      <c r="AL31" s="303">
        <v>85.3</v>
      </c>
      <c r="AM31" s="332">
        <f>H31*AF31*10</f>
        <v>1681.9</v>
      </c>
      <c r="AN31" s="301">
        <f t="shared" ref="AN31:AS31" si="58">I31*AG31*10</f>
        <v>0</v>
      </c>
      <c r="AO31" s="301">
        <f t="shared" si="58"/>
        <v>154.80000000000001</v>
      </c>
      <c r="AP31" s="301">
        <f t="shared" si="58"/>
        <v>0</v>
      </c>
      <c r="AQ31" s="301">
        <f t="shared" si="58"/>
        <v>0</v>
      </c>
      <c r="AR31" s="301">
        <f t="shared" si="58"/>
        <v>2264</v>
      </c>
      <c r="AS31" s="301">
        <f t="shared" si="58"/>
        <v>1492.75</v>
      </c>
      <c r="AT31" s="305">
        <v>12.1</v>
      </c>
      <c r="AU31" s="308">
        <v>0</v>
      </c>
      <c r="AV31" s="308">
        <v>53.2</v>
      </c>
      <c r="AW31" s="308">
        <v>0</v>
      </c>
      <c r="AX31" s="308">
        <v>0</v>
      </c>
      <c r="AY31" s="308">
        <v>17.399999999999999</v>
      </c>
      <c r="AZ31" s="335">
        <v>26.4</v>
      </c>
      <c r="BA31" s="332">
        <f t="shared" ref="BA31:BG31" si="59">(H31*3*1000)/(1-AT31/100)</f>
        <v>47440.273037542662</v>
      </c>
      <c r="BB31" s="332">
        <f t="shared" si="59"/>
        <v>0</v>
      </c>
      <c r="BC31" s="332">
        <f t="shared" si="59"/>
        <v>55128.205128205125</v>
      </c>
      <c r="BD31" s="332">
        <f t="shared" si="59"/>
        <v>0</v>
      </c>
      <c r="BE31" s="332">
        <f t="shared" si="59"/>
        <v>0</v>
      </c>
      <c r="BF31" s="332">
        <f t="shared" si="59"/>
        <v>29055.690072639223</v>
      </c>
      <c r="BG31" s="332">
        <f t="shared" si="59"/>
        <v>7133.152173913044</v>
      </c>
      <c r="BH31" s="332">
        <f t="shared" ref="BH31" si="60">H31+I31+J31+K31+L31</f>
        <v>22.5</v>
      </c>
      <c r="BI31" s="301">
        <f t="shared" ref="BI31" si="61">M31+N31+O31</f>
        <v>9.9499999999999993</v>
      </c>
      <c r="BJ31" s="301">
        <f t="shared" ref="BJ31" si="62">BH31+BI31</f>
        <v>32.450000000000003</v>
      </c>
      <c r="BK31" s="301">
        <f t="shared" ref="BK31" si="63">Y31+Z31+AA31+AB31+AC31+AD31+AE31</f>
        <v>473.88</v>
      </c>
      <c r="BL31" s="301">
        <f t="shared" ref="BL31" si="64">AM31+AN31+AO31+AP31+AQ31+AR31+AS31</f>
        <v>5593.45</v>
      </c>
      <c r="BM31" s="301">
        <f t="shared" ref="BM31" si="65">BJ31*3*1000</f>
        <v>97350.000000000015</v>
      </c>
      <c r="BN31" s="303">
        <f t="shared" ref="BN31" si="66">BA31+BB31+BC31+BD31+BE31+BF31+BG31</f>
        <v>138757.32041230006</v>
      </c>
      <c r="BO31" s="216">
        <v>74</v>
      </c>
      <c r="BP31" s="216">
        <v>0.48299999999999998</v>
      </c>
      <c r="BQ31" s="216">
        <v>5.48</v>
      </c>
      <c r="BR31" s="216">
        <v>72.5</v>
      </c>
      <c r="BS31" s="338">
        <v>0.32100000000000001</v>
      </c>
      <c r="BT31" s="216">
        <v>4.6500000000000004</v>
      </c>
      <c r="BU31" s="218">
        <v>6.47</v>
      </c>
      <c r="BV31" s="218">
        <v>1.3</v>
      </c>
      <c r="BW31" s="218">
        <v>1420</v>
      </c>
      <c r="BX31" s="218">
        <v>5.65</v>
      </c>
      <c r="BY31" s="218">
        <v>7.73</v>
      </c>
      <c r="BZ31" s="218">
        <v>6600</v>
      </c>
      <c r="CA31" s="218">
        <v>6.5</v>
      </c>
      <c r="CB31" s="218">
        <v>1.4</v>
      </c>
      <c r="CC31" s="218">
        <v>1830</v>
      </c>
      <c r="CD31" s="218">
        <v>5.86</v>
      </c>
      <c r="CE31" s="218">
        <v>3.54</v>
      </c>
      <c r="CF31" s="218">
        <v>2700</v>
      </c>
      <c r="CG31" s="218">
        <v>6.47</v>
      </c>
      <c r="CH31" s="218">
        <v>1.5</v>
      </c>
      <c r="CI31" s="218">
        <v>1390</v>
      </c>
      <c r="CJ31" s="218">
        <v>6.43</v>
      </c>
      <c r="CK31" s="218">
        <v>3.29</v>
      </c>
      <c r="CL31" s="218">
        <v>2700</v>
      </c>
      <c r="CM31" s="220">
        <v>75</v>
      </c>
      <c r="CN31" s="220">
        <v>76.099999999999994</v>
      </c>
      <c r="CO31" s="75">
        <v>8</v>
      </c>
      <c r="CP31" s="76">
        <v>7.78</v>
      </c>
      <c r="CQ31" s="76">
        <v>2.2000000000000002</v>
      </c>
      <c r="CR31" s="77">
        <v>76.099999999999994</v>
      </c>
      <c r="CS31" s="76">
        <v>18.7</v>
      </c>
      <c r="CT31" s="76">
        <v>1.56</v>
      </c>
      <c r="CU31" s="78" t="s">
        <v>91</v>
      </c>
      <c r="CV31" s="79">
        <v>2.9</v>
      </c>
      <c r="CW31" s="79">
        <v>9</v>
      </c>
      <c r="CX31" s="79">
        <v>38</v>
      </c>
      <c r="CY31" s="75">
        <v>3</v>
      </c>
      <c r="CZ31" s="76">
        <v>7.66</v>
      </c>
      <c r="DA31" s="111">
        <v>2.34</v>
      </c>
      <c r="DB31" s="77">
        <v>74.5</v>
      </c>
      <c r="DC31" s="81"/>
      <c r="DD31" s="81"/>
      <c r="DE31" s="82"/>
      <c r="DF31" s="79">
        <v>2.4</v>
      </c>
      <c r="DG31" s="79">
        <v>10</v>
      </c>
      <c r="DH31" s="79">
        <v>36</v>
      </c>
      <c r="DI31" s="75">
        <v>9</v>
      </c>
      <c r="DJ31" s="76">
        <v>7.6</v>
      </c>
      <c r="DK31" s="111">
        <v>2.38</v>
      </c>
      <c r="DL31" s="77">
        <v>74.400000000000006</v>
      </c>
      <c r="DM31" s="76">
        <v>21.7</v>
      </c>
      <c r="DN31" s="76">
        <v>1.74</v>
      </c>
      <c r="DO31" s="78" t="s">
        <v>133</v>
      </c>
      <c r="DP31" s="79">
        <v>2.35</v>
      </c>
      <c r="DQ31" s="79">
        <v>10</v>
      </c>
      <c r="DR31" s="79">
        <v>34</v>
      </c>
      <c r="DS31" s="85">
        <v>9</v>
      </c>
      <c r="DT31" s="76">
        <v>7.48</v>
      </c>
      <c r="DU31" s="76">
        <v>2.27</v>
      </c>
      <c r="DV31" s="77">
        <v>74.400000000000006</v>
      </c>
      <c r="DW31" s="76">
        <v>24</v>
      </c>
      <c r="DX31" s="76">
        <v>1.82</v>
      </c>
      <c r="DY31" s="86" t="s">
        <v>93</v>
      </c>
      <c r="DZ31" s="79">
        <v>2.2999999999999998</v>
      </c>
      <c r="EA31" s="79">
        <v>9</v>
      </c>
      <c r="EB31" s="79">
        <v>7</v>
      </c>
      <c r="EC31" s="79">
        <v>9</v>
      </c>
      <c r="ED31" s="79">
        <v>0</v>
      </c>
      <c r="EE31" s="79">
        <v>9</v>
      </c>
      <c r="EF31" s="79">
        <v>7</v>
      </c>
      <c r="EG31" s="79">
        <v>2</v>
      </c>
      <c r="EH31" s="79">
        <v>94</v>
      </c>
      <c r="EI31" s="79">
        <v>14</v>
      </c>
      <c r="EJ31" s="79">
        <v>0</v>
      </c>
      <c r="EK31" s="79">
        <f t="shared" ref="EK31:EK33" si="67">EA31+EB31+EC31+ED31+EE31+EF31+EG31+EH31+EI31+EJ31</f>
        <v>151</v>
      </c>
      <c r="EL31" s="87">
        <v>20</v>
      </c>
      <c r="EM31" s="79">
        <v>16</v>
      </c>
      <c r="EN31" s="111">
        <v>7.09</v>
      </c>
      <c r="EO31" s="111">
        <v>2.71</v>
      </c>
      <c r="EP31" s="83">
        <v>67.599999999999994</v>
      </c>
      <c r="EQ31" s="111">
        <v>28.1</v>
      </c>
      <c r="ER31" s="111">
        <v>2.08</v>
      </c>
      <c r="ES31" s="84">
        <v>17.2</v>
      </c>
      <c r="ET31" s="79">
        <v>4246</v>
      </c>
      <c r="EU31" s="79">
        <v>2831</v>
      </c>
      <c r="EV31" s="79">
        <v>699</v>
      </c>
      <c r="EW31" s="79">
        <f t="shared" si="8"/>
        <v>7776</v>
      </c>
      <c r="EX31" s="79">
        <v>56</v>
      </c>
      <c r="EY31" s="341">
        <f>EW31+EW32+EW33+EW34</f>
        <v>28475</v>
      </c>
    </row>
    <row r="32" spans="1:155" ht="17.100000000000001" customHeight="1">
      <c r="A32" s="174"/>
      <c r="B32" s="397" t="s">
        <v>251</v>
      </c>
      <c r="C32" s="202" t="s">
        <v>96</v>
      </c>
      <c r="D32" s="317">
        <f t="shared" si="0"/>
        <v>61.777777777777779</v>
      </c>
      <c r="E32" s="320">
        <f t="shared" si="1"/>
        <v>38.222222222222221</v>
      </c>
      <c r="F32" s="320">
        <f t="shared" si="2"/>
        <v>0</v>
      </c>
      <c r="G32" s="323">
        <f t="shared" si="3"/>
        <v>0</v>
      </c>
      <c r="H32" s="306">
        <v>13.9</v>
      </c>
      <c r="I32" s="309">
        <v>0</v>
      </c>
      <c r="J32" s="309">
        <v>8.6</v>
      </c>
      <c r="K32" s="309">
        <v>0</v>
      </c>
      <c r="L32" s="309">
        <v>0</v>
      </c>
      <c r="M32" s="309">
        <v>8</v>
      </c>
      <c r="N32" s="309">
        <v>1.75</v>
      </c>
      <c r="O32" s="309">
        <v>0.2</v>
      </c>
      <c r="P32" s="211"/>
      <c r="Q32" s="214"/>
      <c r="R32" s="306"/>
      <c r="S32" s="309"/>
      <c r="T32" s="309"/>
      <c r="U32" s="309"/>
      <c r="V32" s="309"/>
      <c r="W32" s="309"/>
      <c r="X32" s="336"/>
      <c r="Y32" s="306">
        <f t="shared" si="4"/>
        <v>0</v>
      </c>
      <c r="Z32" s="309">
        <f t="shared" si="4"/>
        <v>0</v>
      </c>
      <c r="AA32" s="309">
        <f t="shared" si="4"/>
        <v>0</v>
      </c>
      <c r="AB32" s="309">
        <f t="shared" si="4"/>
        <v>0</v>
      </c>
      <c r="AC32" s="309">
        <f t="shared" si="4"/>
        <v>0</v>
      </c>
      <c r="AD32" s="309">
        <f t="shared" si="4"/>
        <v>0</v>
      </c>
      <c r="AE32" s="336">
        <f>N32*X32*10</f>
        <v>0</v>
      </c>
      <c r="AF32" s="306"/>
      <c r="AG32" s="211"/>
      <c r="AH32" s="211"/>
      <c r="AI32" s="211"/>
      <c r="AJ32" s="211"/>
      <c r="AK32" s="211"/>
      <c r="AL32" s="214"/>
      <c r="AM32" s="333"/>
      <c r="AN32" s="211"/>
      <c r="AO32" s="211"/>
      <c r="AP32" s="211"/>
      <c r="AQ32" s="211"/>
      <c r="AR32" s="211"/>
      <c r="AS32" s="211"/>
      <c r="AT32" s="306"/>
      <c r="AU32" s="309"/>
      <c r="AV32" s="309"/>
      <c r="AW32" s="309"/>
      <c r="AX32" s="309"/>
      <c r="AY32" s="309"/>
      <c r="AZ32" s="336"/>
      <c r="BA32" s="333"/>
      <c r="BB32" s="333"/>
      <c r="BC32" s="333"/>
      <c r="BD32" s="333"/>
      <c r="BE32" s="333"/>
      <c r="BF32" s="333"/>
      <c r="BG32" s="333"/>
      <c r="BH32" s="333"/>
      <c r="BI32" s="211"/>
      <c r="BJ32" s="211"/>
      <c r="BK32" s="211"/>
      <c r="BL32" s="211"/>
      <c r="BM32" s="211"/>
      <c r="BN32" s="214"/>
      <c r="BO32" s="196">
        <v>74.599999999999994</v>
      </c>
      <c r="BP32" s="196">
        <v>0.48199999999999998</v>
      </c>
      <c r="BQ32" s="196">
        <v>4.96</v>
      </c>
      <c r="BR32" s="196">
        <v>73.099999999999994</v>
      </c>
      <c r="BS32" s="339">
        <v>0.34399999999999997</v>
      </c>
      <c r="BT32" s="196">
        <v>5.22</v>
      </c>
      <c r="BU32" s="193">
        <v>6.47</v>
      </c>
      <c r="BV32" s="193">
        <v>1.3</v>
      </c>
      <c r="BW32" s="193">
        <v>1420</v>
      </c>
      <c r="BX32" s="193">
        <v>5.65</v>
      </c>
      <c r="BY32" s="193">
        <v>7.73</v>
      </c>
      <c r="BZ32" s="193">
        <v>6600</v>
      </c>
      <c r="CA32" s="193">
        <v>6.5</v>
      </c>
      <c r="CB32" s="193">
        <v>1.4</v>
      </c>
      <c r="CC32" s="193">
        <v>1830</v>
      </c>
      <c r="CD32" s="193">
        <v>5.86</v>
      </c>
      <c r="CE32" s="193">
        <v>3.54</v>
      </c>
      <c r="CF32" s="193">
        <v>2700</v>
      </c>
      <c r="CG32" s="193">
        <v>6.47</v>
      </c>
      <c r="CH32" s="193">
        <v>1.5</v>
      </c>
      <c r="CI32" s="193">
        <v>1390</v>
      </c>
      <c r="CJ32" s="193">
        <v>6.43</v>
      </c>
      <c r="CK32" s="193">
        <v>3.29</v>
      </c>
      <c r="CL32" s="193">
        <v>2700</v>
      </c>
      <c r="CM32" s="205">
        <v>75.7</v>
      </c>
      <c r="CN32" s="205"/>
      <c r="CO32" s="13">
        <v>9</v>
      </c>
      <c r="CP32" s="10">
        <v>7.78</v>
      </c>
      <c r="CQ32" s="10">
        <v>2.2000000000000002</v>
      </c>
      <c r="CR32" s="11">
        <v>76.099999999999994</v>
      </c>
      <c r="CS32" s="10">
        <v>18.7</v>
      </c>
      <c r="CT32" s="10">
        <v>1.56</v>
      </c>
      <c r="CU32" s="12" t="s">
        <v>91</v>
      </c>
      <c r="CV32" s="8">
        <v>2.9</v>
      </c>
      <c r="CW32" s="8">
        <v>7</v>
      </c>
      <c r="CX32" s="8">
        <v>37</v>
      </c>
      <c r="CY32" s="13">
        <v>4</v>
      </c>
      <c r="CZ32" s="10">
        <v>7.66</v>
      </c>
      <c r="DA32" s="26">
        <v>2.34</v>
      </c>
      <c r="DB32" s="11">
        <v>74.5</v>
      </c>
      <c r="DC32" s="15"/>
      <c r="DD32" s="15"/>
      <c r="DE32" s="16"/>
      <c r="DF32" s="8">
        <v>2.4</v>
      </c>
      <c r="DG32" s="8">
        <v>9</v>
      </c>
      <c r="DH32" s="8">
        <v>35</v>
      </c>
      <c r="DI32" s="13">
        <v>10</v>
      </c>
      <c r="DJ32" s="10">
        <v>7.6</v>
      </c>
      <c r="DK32" s="26">
        <v>2.38</v>
      </c>
      <c r="DL32" s="11">
        <v>74.400000000000006</v>
      </c>
      <c r="DM32" s="10">
        <v>21.7</v>
      </c>
      <c r="DN32" s="10">
        <v>1.74</v>
      </c>
      <c r="DO32" s="12" t="s">
        <v>133</v>
      </c>
      <c r="DP32" s="8">
        <v>2.35</v>
      </c>
      <c r="DQ32" s="8">
        <v>10</v>
      </c>
      <c r="DR32" s="8">
        <v>32</v>
      </c>
      <c r="DS32" s="19">
        <v>6</v>
      </c>
      <c r="DT32" s="10">
        <v>7.48</v>
      </c>
      <c r="DU32" s="10">
        <v>2.27</v>
      </c>
      <c r="DV32" s="11">
        <v>74.400000000000006</v>
      </c>
      <c r="DW32" s="10">
        <v>24</v>
      </c>
      <c r="DX32" s="10">
        <v>1.82</v>
      </c>
      <c r="DY32" s="20" t="s">
        <v>93</v>
      </c>
      <c r="DZ32" s="8">
        <v>2.1</v>
      </c>
      <c r="EA32" s="8">
        <v>13</v>
      </c>
      <c r="EB32" s="8">
        <v>5</v>
      </c>
      <c r="EC32" s="8">
        <v>8</v>
      </c>
      <c r="ED32" s="8">
        <v>0</v>
      </c>
      <c r="EE32" s="8">
        <v>9</v>
      </c>
      <c r="EF32" s="8">
        <v>13</v>
      </c>
      <c r="EG32" s="8">
        <v>0</v>
      </c>
      <c r="EH32" s="8">
        <v>93</v>
      </c>
      <c r="EI32" s="8">
        <v>24</v>
      </c>
      <c r="EJ32" s="8">
        <v>1</v>
      </c>
      <c r="EK32" s="8">
        <f t="shared" si="67"/>
        <v>166</v>
      </c>
      <c r="EL32" s="9">
        <v>19</v>
      </c>
      <c r="EM32" s="8">
        <v>18</v>
      </c>
      <c r="EN32" s="26">
        <v>7.14</v>
      </c>
      <c r="EO32" s="26">
        <v>2.69</v>
      </c>
      <c r="EP32" s="17">
        <v>68.400000000000006</v>
      </c>
      <c r="EQ32" s="26">
        <v>28.7</v>
      </c>
      <c r="ER32" s="26">
        <v>2.0299999999999998</v>
      </c>
      <c r="ES32" s="18" t="s">
        <v>121</v>
      </c>
      <c r="ET32" s="8">
        <v>3982</v>
      </c>
      <c r="EU32" s="8">
        <v>3158</v>
      </c>
      <c r="EV32" s="8">
        <v>959</v>
      </c>
      <c r="EW32" s="8">
        <f t="shared" si="8"/>
        <v>8099</v>
      </c>
      <c r="EX32" s="8">
        <v>55</v>
      </c>
      <c r="EY32" s="342"/>
    </row>
    <row r="33" spans="1:155" ht="17.100000000000001" customHeight="1">
      <c r="A33" s="174"/>
      <c r="B33" s="397" t="s">
        <v>251</v>
      </c>
      <c r="C33" s="202" t="s">
        <v>96</v>
      </c>
      <c r="D33" s="317">
        <f t="shared" si="0"/>
        <v>61.777777777777779</v>
      </c>
      <c r="E33" s="320">
        <f t="shared" si="1"/>
        <v>38.222222222222221</v>
      </c>
      <c r="F33" s="320">
        <f t="shared" si="2"/>
        <v>0</v>
      </c>
      <c r="G33" s="323">
        <f t="shared" si="3"/>
        <v>0</v>
      </c>
      <c r="H33" s="306">
        <v>13.9</v>
      </c>
      <c r="I33" s="309">
        <v>0</v>
      </c>
      <c r="J33" s="309">
        <v>8.6</v>
      </c>
      <c r="K33" s="309">
        <v>0</v>
      </c>
      <c r="L33" s="309">
        <v>0</v>
      </c>
      <c r="M33" s="309">
        <v>8</v>
      </c>
      <c r="N33" s="309">
        <v>1.7</v>
      </c>
      <c r="O33" s="309">
        <v>0.25</v>
      </c>
      <c r="P33" s="211"/>
      <c r="Q33" s="214"/>
      <c r="R33" s="306"/>
      <c r="S33" s="309"/>
      <c r="T33" s="309"/>
      <c r="U33" s="309"/>
      <c r="V33" s="309"/>
      <c r="W33" s="309"/>
      <c r="X33" s="336"/>
      <c r="Y33" s="306">
        <f t="shared" si="4"/>
        <v>0</v>
      </c>
      <c r="Z33" s="309">
        <f t="shared" si="4"/>
        <v>0</v>
      </c>
      <c r="AA33" s="309">
        <f t="shared" si="4"/>
        <v>0</v>
      </c>
      <c r="AB33" s="309">
        <f t="shared" si="4"/>
        <v>0</v>
      </c>
      <c r="AC33" s="309">
        <f t="shared" si="4"/>
        <v>0</v>
      </c>
      <c r="AD33" s="309">
        <f t="shared" si="4"/>
        <v>0</v>
      </c>
      <c r="AE33" s="336">
        <f>N33*X33*10</f>
        <v>0</v>
      </c>
      <c r="AF33" s="306"/>
      <c r="AG33" s="211"/>
      <c r="AH33" s="211"/>
      <c r="AI33" s="211"/>
      <c r="AJ33" s="211"/>
      <c r="AK33" s="211"/>
      <c r="AL33" s="214"/>
      <c r="AM33" s="333"/>
      <c r="AN33" s="211"/>
      <c r="AO33" s="211"/>
      <c r="AP33" s="211"/>
      <c r="AQ33" s="211"/>
      <c r="AR33" s="211"/>
      <c r="AS33" s="211"/>
      <c r="AT33" s="306"/>
      <c r="AU33" s="309"/>
      <c r="AV33" s="309"/>
      <c r="AW33" s="309"/>
      <c r="AX33" s="309"/>
      <c r="AY33" s="309"/>
      <c r="AZ33" s="336"/>
      <c r="BA33" s="333"/>
      <c r="BB33" s="333"/>
      <c r="BC33" s="333"/>
      <c r="BD33" s="333"/>
      <c r="BE33" s="333"/>
      <c r="BF33" s="333"/>
      <c r="BG33" s="333"/>
      <c r="BH33" s="333"/>
      <c r="BI33" s="211"/>
      <c r="BJ33" s="211"/>
      <c r="BK33" s="211"/>
      <c r="BL33" s="211"/>
      <c r="BM33" s="211"/>
      <c r="BN33" s="214"/>
      <c r="BO33" s="196">
        <v>73.599999999999994</v>
      </c>
      <c r="BP33" s="196">
        <v>0.54100000000000004</v>
      </c>
      <c r="BQ33" s="196">
        <v>4.01</v>
      </c>
      <c r="BR33" s="196">
        <v>72.900000000000006</v>
      </c>
      <c r="BS33" s="339">
        <v>0.45100000000000001</v>
      </c>
      <c r="BT33" s="196">
        <v>4.1900000000000004</v>
      </c>
      <c r="BU33" s="193">
        <v>6.47</v>
      </c>
      <c r="BV33" s="193">
        <v>1.3</v>
      </c>
      <c r="BW33" s="193">
        <v>1420</v>
      </c>
      <c r="BX33" s="193">
        <v>5.65</v>
      </c>
      <c r="BY33" s="193">
        <v>7.73</v>
      </c>
      <c r="BZ33" s="193">
        <v>6600</v>
      </c>
      <c r="CA33" s="193">
        <v>6.5</v>
      </c>
      <c r="CB33" s="193">
        <v>1.4</v>
      </c>
      <c r="CC33" s="193">
        <v>1830</v>
      </c>
      <c r="CD33" s="193">
        <v>5.86</v>
      </c>
      <c r="CE33" s="193">
        <v>3.54</v>
      </c>
      <c r="CF33" s="193">
        <v>2700</v>
      </c>
      <c r="CG33" s="193">
        <v>6.47</v>
      </c>
      <c r="CH33" s="193">
        <v>1.5</v>
      </c>
      <c r="CI33" s="193">
        <v>1390</v>
      </c>
      <c r="CJ33" s="193">
        <v>6.43</v>
      </c>
      <c r="CK33" s="193">
        <v>3.29</v>
      </c>
      <c r="CL33" s="193">
        <v>2700</v>
      </c>
      <c r="CM33" s="205">
        <v>76.099999999999994</v>
      </c>
      <c r="CN33" s="205"/>
      <c r="CO33" s="13">
        <v>10</v>
      </c>
      <c r="CP33" s="10">
        <v>7.78</v>
      </c>
      <c r="CQ33" s="10">
        <v>2.2000000000000002</v>
      </c>
      <c r="CR33" s="11">
        <v>76.099999999999994</v>
      </c>
      <c r="CS33" s="10">
        <v>18.7</v>
      </c>
      <c r="CT33" s="10">
        <v>1.56</v>
      </c>
      <c r="CU33" s="12" t="s">
        <v>91</v>
      </c>
      <c r="CV33" s="8">
        <v>2.9</v>
      </c>
      <c r="CW33" s="8">
        <v>8</v>
      </c>
      <c r="CX33" s="8">
        <v>30</v>
      </c>
      <c r="CY33" s="13">
        <v>8</v>
      </c>
      <c r="CZ33" s="10">
        <v>7.66</v>
      </c>
      <c r="DA33" s="26">
        <v>2.34</v>
      </c>
      <c r="DB33" s="11">
        <v>74.5</v>
      </c>
      <c r="DC33" s="15"/>
      <c r="DD33" s="15"/>
      <c r="DE33" s="16"/>
      <c r="DF33" s="8">
        <v>2.4</v>
      </c>
      <c r="DG33" s="8">
        <v>9</v>
      </c>
      <c r="DH33" s="8">
        <v>33</v>
      </c>
      <c r="DI33" s="13">
        <v>8</v>
      </c>
      <c r="DJ33" s="10">
        <v>7.6</v>
      </c>
      <c r="DK33" s="26">
        <v>2.38</v>
      </c>
      <c r="DL33" s="11">
        <v>74.400000000000006</v>
      </c>
      <c r="DM33" s="10">
        <v>21.7</v>
      </c>
      <c r="DN33" s="10">
        <v>1.74</v>
      </c>
      <c r="DO33" s="12" t="s">
        <v>133</v>
      </c>
      <c r="DP33" s="8">
        <v>2.35</v>
      </c>
      <c r="DQ33" s="8">
        <v>12</v>
      </c>
      <c r="DR33" s="8">
        <v>25</v>
      </c>
      <c r="DS33" s="19">
        <v>5</v>
      </c>
      <c r="DT33" s="10">
        <v>7.48</v>
      </c>
      <c r="DU33" s="10">
        <v>2.27</v>
      </c>
      <c r="DV33" s="11">
        <v>74.400000000000006</v>
      </c>
      <c r="DW33" s="10">
        <v>24</v>
      </c>
      <c r="DX33" s="10">
        <v>1.82</v>
      </c>
      <c r="DY33" s="20" t="s">
        <v>93</v>
      </c>
      <c r="DZ33" s="8">
        <v>1.9</v>
      </c>
      <c r="EA33" s="8">
        <v>10</v>
      </c>
      <c r="EB33" s="8">
        <v>4</v>
      </c>
      <c r="EC33" s="8">
        <v>9</v>
      </c>
      <c r="ED33" s="8">
        <v>0</v>
      </c>
      <c r="EE33" s="8">
        <v>9</v>
      </c>
      <c r="EF33" s="8">
        <v>6</v>
      </c>
      <c r="EG33" s="8">
        <v>7</v>
      </c>
      <c r="EH33" s="8">
        <v>108</v>
      </c>
      <c r="EI33" s="8">
        <v>18</v>
      </c>
      <c r="EJ33" s="8">
        <v>12</v>
      </c>
      <c r="EK33" s="8">
        <f t="shared" si="67"/>
        <v>183</v>
      </c>
      <c r="EL33" s="9">
        <v>21</v>
      </c>
      <c r="EM33" s="8">
        <v>42</v>
      </c>
      <c r="EN33" s="26">
        <v>7.07</v>
      </c>
      <c r="EO33" s="26">
        <v>2.74</v>
      </c>
      <c r="EP33" s="17">
        <v>67</v>
      </c>
      <c r="EQ33" s="26">
        <v>27.8</v>
      </c>
      <c r="ER33" s="26">
        <v>2.0699999999999998</v>
      </c>
      <c r="ES33" s="18">
        <v>16.600000000000001</v>
      </c>
      <c r="ET33" s="8">
        <v>2091</v>
      </c>
      <c r="EU33" s="8">
        <v>2588</v>
      </c>
      <c r="EV33" s="8">
        <v>2250</v>
      </c>
      <c r="EW33" s="8">
        <f t="shared" si="8"/>
        <v>6929</v>
      </c>
      <c r="EX33" s="8">
        <v>55</v>
      </c>
      <c r="EY33" s="342"/>
    </row>
    <row r="34" spans="1:155" s="401" customFormat="1" ht="17.100000000000001" customHeight="1" thickBot="1">
      <c r="A34" s="175"/>
      <c r="B34" s="400" t="s">
        <v>251</v>
      </c>
      <c r="C34" s="203" t="s">
        <v>96</v>
      </c>
      <c r="D34" s="318">
        <f t="shared" si="0"/>
        <v>61.777777777777779</v>
      </c>
      <c r="E34" s="321">
        <f t="shared" si="1"/>
        <v>38.222222222222221</v>
      </c>
      <c r="F34" s="321">
        <f t="shared" si="2"/>
        <v>0</v>
      </c>
      <c r="G34" s="324">
        <f t="shared" si="3"/>
        <v>0</v>
      </c>
      <c r="H34" s="307">
        <v>13.9</v>
      </c>
      <c r="I34" s="310">
        <v>0</v>
      </c>
      <c r="J34" s="310">
        <v>8.6</v>
      </c>
      <c r="K34" s="310">
        <v>0</v>
      </c>
      <c r="L34" s="310">
        <v>0</v>
      </c>
      <c r="M34" s="310">
        <v>8</v>
      </c>
      <c r="N34" s="310">
        <v>1.7</v>
      </c>
      <c r="O34" s="310">
        <v>0.2</v>
      </c>
      <c r="P34" s="302"/>
      <c r="Q34" s="304"/>
      <c r="R34" s="307"/>
      <c r="S34" s="310"/>
      <c r="T34" s="310"/>
      <c r="U34" s="310"/>
      <c r="V34" s="310"/>
      <c r="W34" s="310"/>
      <c r="X34" s="337"/>
      <c r="Y34" s="307">
        <f t="shared" si="4"/>
        <v>0</v>
      </c>
      <c r="Z34" s="310">
        <f t="shared" si="4"/>
        <v>0</v>
      </c>
      <c r="AA34" s="310">
        <f t="shared" si="4"/>
        <v>0</v>
      </c>
      <c r="AB34" s="310">
        <f t="shared" si="4"/>
        <v>0</v>
      </c>
      <c r="AC34" s="310">
        <f t="shared" si="4"/>
        <v>0</v>
      </c>
      <c r="AD34" s="310">
        <f t="shared" si="4"/>
        <v>0</v>
      </c>
      <c r="AE34" s="337">
        <f>N34*X34*10</f>
        <v>0</v>
      </c>
      <c r="AF34" s="307"/>
      <c r="AG34" s="302"/>
      <c r="AH34" s="302"/>
      <c r="AI34" s="302"/>
      <c r="AJ34" s="302"/>
      <c r="AK34" s="302"/>
      <c r="AL34" s="304"/>
      <c r="AM34" s="334"/>
      <c r="AN34" s="302"/>
      <c r="AO34" s="302"/>
      <c r="AP34" s="302"/>
      <c r="AQ34" s="302"/>
      <c r="AR34" s="302"/>
      <c r="AS34" s="302"/>
      <c r="AT34" s="307"/>
      <c r="AU34" s="310"/>
      <c r="AV34" s="310"/>
      <c r="AW34" s="310"/>
      <c r="AX34" s="310"/>
      <c r="AY34" s="310"/>
      <c r="AZ34" s="337"/>
      <c r="BA34" s="334"/>
      <c r="BB34" s="334"/>
      <c r="BC34" s="334"/>
      <c r="BD34" s="334"/>
      <c r="BE34" s="334"/>
      <c r="BF34" s="334"/>
      <c r="BG34" s="334"/>
      <c r="BH34" s="334"/>
      <c r="BI34" s="302"/>
      <c r="BJ34" s="302"/>
      <c r="BK34" s="302"/>
      <c r="BL34" s="302"/>
      <c r="BM34" s="302"/>
      <c r="BN34" s="304"/>
      <c r="BO34" s="217">
        <v>74</v>
      </c>
      <c r="BP34" s="217">
        <v>0.48299999999999998</v>
      </c>
      <c r="BQ34" s="217">
        <v>5.48</v>
      </c>
      <c r="BR34" s="217">
        <v>72.5</v>
      </c>
      <c r="BS34" s="340">
        <v>0.32100000000000001</v>
      </c>
      <c r="BT34" s="217">
        <v>4.6500000000000004</v>
      </c>
      <c r="BU34" s="219">
        <v>6.47</v>
      </c>
      <c r="BV34" s="219">
        <v>1.3</v>
      </c>
      <c r="BW34" s="219">
        <v>1420</v>
      </c>
      <c r="BX34" s="219">
        <v>5.65</v>
      </c>
      <c r="BY34" s="219">
        <v>7.73</v>
      </c>
      <c r="BZ34" s="219">
        <v>6600</v>
      </c>
      <c r="CA34" s="219">
        <v>6.5</v>
      </c>
      <c r="CB34" s="219">
        <v>1.4</v>
      </c>
      <c r="CC34" s="219">
        <v>1830</v>
      </c>
      <c r="CD34" s="219">
        <v>5.86</v>
      </c>
      <c r="CE34" s="219">
        <v>3.54</v>
      </c>
      <c r="CF34" s="219">
        <v>2700</v>
      </c>
      <c r="CG34" s="219">
        <v>6.47</v>
      </c>
      <c r="CH34" s="219">
        <v>1.5</v>
      </c>
      <c r="CI34" s="219">
        <v>1390</v>
      </c>
      <c r="CJ34" s="219">
        <v>6.43</v>
      </c>
      <c r="CK34" s="219">
        <v>3.29</v>
      </c>
      <c r="CL34" s="219">
        <v>2700</v>
      </c>
      <c r="CM34" s="221">
        <v>75</v>
      </c>
      <c r="CN34" s="221"/>
      <c r="CO34" s="98"/>
      <c r="CP34" s="99"/>
      <c r="CQ34" s="99"/>
      <c r="CR34" s="100"/>
      <c r="CS34" s="99"/>
      <c r="CT34" s="99"/>
      <c r="CU34" s="101"/>
      <c r="CV34" s="102"/>
      <c r="CW34" s="102"/>
      <c r="CX34" s="102"/>
      <c r="CY34" s="103"/>
      <c r="CZ34" s="99"/>
      <c r="DA34" s="99"/>
      <c r="DB34" s="100"/>
      <c r="DC34" s="99"/>
      <c r="DD34" s="99"/>
      <c r="DE34" s="104"/>
      <c r="DF34" s="102"/>
      <c r="DG34" s="102"/>
      <c r="DH34" s="102"/>
      <c r="DI34" s="101"/>
      <c r="DJ34" s="99"/>
      <c r="DK34" s="99"/>
      <c r="DL34" s="100"/>
      <c r="DM34" s="99"/>
      <c r="DN34" s="99"/>
      <c r="DO34" s="101"/>
      <c r="DP34" s="102"/>
      <c r="DQ34" s="102"/>
      <c r="DR34" s="102"/>
      <c r="DS34" s="105"/>
      <c r="DT34" s="99"/>
      <c r="DU34" s="99"/>
      <c r="DV34" s="100"/>
      <c r="DW34" s="99"/>
      <c r="DX34" s="99"/>
      <c r="DY34" s="104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6" t="s">
        <v>134</v>
      </c>
      <c r="EM34" s="102">
        <v>40</v>
      </c>
      <c r="EN34" s="107">
        <v>7.11</v>
      </c>
      <c r="EO34" s="107">
        <v>2.7</v>
      </c>
      <c r="EP34" s="108">
        <v>67.400000000000006</v>
      </c>
      <c r="EQ34" s="107">
        <v>28.7</v>
      </c>
      <c r="ER34" s="107">
        <v>2.17</v>
      </c>
      <c r="ES34" s="102" t="s">
        <v>135</v>
      </c>
      <c r="ET34" s="101">
        <v>5671</v>
      </c>
      <c r="EU34" s="101">
        <v>0</v>
      </c>
      <c r="EV34" s="101">
        <v>0</v>
      </c>
      <c r="EW34" s="102">
        <f t="shared" si="8"/>
        <v>5671</v>
      </c>
      <c r="EX34" s="101">
        <v>59</v>
      </c>
      <c r="EY34" s="343"/>
    </row>
    <row r="35" spans="1:155" s="398" customFormat="1" ht="17.100000000000001" customHeight="1">
      <c r="A35" s="173">
        <v>8</v>
      </c>
      <c r="B35" s="397" t="s">
        <v>252</v>
      </c>
      <c r="C35" s="201" t="s">
        <v>96</v>
      </c>
      <c r="D35" s="316">
        <f t="shared" si="0"/>
        <v>61.777777777777779</v>
      </c>
      <c r="E35" s="319">
        <f t="shared" si="1"/>
        <v>38.222222222222221</v>
      </c>
      <c r="F35" s="319">
        <f t="shared" si="2"/>
        <v>0</v>
      </c>
      <c r="G35" s="322">
        <f t="shared" si="3"/>
        <v>0</v>
      </c>
      <c r="H35" s="305">
        <v>13.9</v>
      </c>
      <c r="I35" s="308">
        <v>0</v>
      </c>
      <c r="J35" s="308">
        <v>8.6</v>
      </c>
      <c r="K35" s="308">
        <v>0</v>
      </c>
      <c r="L35" s="308">
        <v>0</v>
      </c>
      <c r="M35" s="308">
        <v>8</v>
      </c>
      <c r="N35" s="308">
        <v>1.7</v>
      </c>
      <c r="O35" s="308">
        <v>0.25</v>
      </c>
      <c r="P35" s="301"/>
      <c r="Q35" s="303"/>
      <c r="R35" s="305">
        <v>0.84</v>
      </c>
      <c r="S35" s="308">
        <v>0</v>
      </c>
      <c r="T35" s="308">
        <v>0.42</v>
      </c>
      <c r="U35" s="308">
        <v>0</v>
      </c>
      <c r="V35" s="308">
        <v>0</v>
      </c>
      <c r="W35" s="308">
        <v>3.36</v>
      </c>
      <c r="X35" s="335">
        <v>20.5</v>
      </c>
      <c r="Y35" s="305">
        <f t="shared" si="4"/>
        <v>116.76</v>
      </c>
      <c r="Z35" s="308">
        <f t="shared" si="4"/>
        <v>0</v>
      </c>
      <c r="AA35" s="308">
        <f t="shared" si="4"/>
        <v>36.119999999999997</v>
      </c>
      <c r="AB35" s="308">
        <f t="shared" si="4"/>
        <v>0</v>
      </c>
      <c r="AC35" s="308">
        <f t="shared" si="4"/>
        <v>0</v>
      </c>
      <c r="AD35" s="308">
        <f t="shared" si="4"/>
        <v>268.8</v>
      </c>
      <c r="AE35" s="335">
        <f>O35*X35*10</f>
        <v>51.25</v>
      </c>
      <c r="AF35" s="305">
        <v>12.1</v>
      </c>
      <c r="AG35" s="301">
        <v>0</v>
      </c>
      <c r="AH35" s="301">
        <v>1.8</v>
      </c>
      <c r="AI35" s="301">
        <v>0</v>
      </c>
      <c r="AJ35" s="301">
        <v>0</v>
      </c>
      <c r="AK35" s="301">
        <v>29.3</v>
      </c>
      <c r="AL35" s="303">
        <v>84.7</v>
      </c>
      <c r="AM35" s="332">
        <f>H35*AF35*10</f>
        <v>1681.9</v>
      </c>
      <c r="AN35" s="301">
        <f t="shared" ref="AN35:AS35" si="68">I35*AG35*10</f>
        <v>0</v>
      </c>
      <c r="AO35" s="301">
        <f t="shared" si="68"/>
        <v>154.80000000000001</v>
      </c>
      <c r="AP35" s="301">
        <f t="shared" si="68"/>
        <v>0</v>
      </c>
      <c r="AQ35" s="301">
        <f t="shared" si="68"/>
        <v>0</v>
      </c>
      <c r="AR35" s="301">
        <f t="shared" si="68"/>
        <v>2344</v>
      </c>
      <c r="AS35" s="301">
        <f t="shared" si="68"/>
        <v>1439.9</v>
      </c>
      <c r="AT35" s="305">
        <v>12.7</v>
      </c>
      <c r="AU35" s="308">
        <v>0</v>
      </c>
      <c r="AV35" s="308">
        <v>53.5</v>
      </c>
      <c r="AW35" s="308">
        <v>0</v>
      </c>
      <c r="AX35" s="308">
        <v>0</v>
      </c>
      <c r="AY35" s="308">
        <v>17.100000000000001</v>
      </c>
      <c r="AZ35" s="335">
        <v>27.6</v>
      </c>
      <c r="BA35" s="332">
        <f t="shared" ref="BA35:BG35" si="69">(H35*3*1000)/(1-AT35/100)</f>
        <v>47766.323024054982</v>
      </c>
      <c r="BB35" s="332">
        <f t="shared" si="69"/>
        <v>0</v>
      </c>
      <c r="BC35" s="332">
        <f t="shared" si="69"/>
        <v>55483.870967741932</v>
      </c>
      <c r="BD35" s="332">
        <f t="shared" si="69"/>
        <v>0</v>
      </c>
      <c r="BE35" s="332">
        <f t="shared" si="69"/>
        <v>0</v>
      </c>
      <c r="BF35" s="332">
        <f t="shared" si="69"/>
        <v>28950.542822677926</v>
      </c>
      <c r="BG35" s="332">
        <f t="shared" si="69"/>
        <v>7044.1988950276245</v>
      </c>
      <c r="BH35" s="332">
        <f t="shared" ref="BH35" si="70">H35+I35+J35+K35+L35</f>
        <v>22.5</v>
      </c>
      <c r="BI35" s="301">
        <f t="shared" ref="BI35" si="71">M35+N35+O35</f>
        <v>9.9499999999999993</v>
      </c>
      <c r="BJ35" s="301">
        <f t="shared" ref="BJ35" si="72">BH35+BI35</f>
        <v>32.450000000000003</v>
      </c>
      <c r="BK35" s="301">
        <f t="shared" ref="BK35" si="73">Y35+Z35+AA35+AB35+AC35+AD35+AE35</f>
        <v>472.93</v>
      </c>
      <c r="BL35" s="301">
        <f t="shared" ref="BL35" si="74">AM35+AN35+AO35+AP35+AQ35+AR35+AS35</f>
        <v>5620.6</v>
      </c>
      <c r="BM35" s="301">
        <f t="shared" ref="BM35" si="75">BJ35*3*1000</f>
        <v>97350.000000000015</v>
      </c>
      <c r="BN35" s="303">
        <f t="shared" ref="BN35" si="76">BA35+BB35+BC35+BD35+BE35+BF35+BG35</f>
        <v>139244.93570950246</v>
      </c>
      <c r="BO35" s="216">
        <v>74.599999999999994</v>
      </c>
      <c r="BP35" s="216">
        <v>0.48199999999999998</v>
      </c>
      <c r="BQ35" s="216">
        <v>4.96</v>
      </c>
      <c r="BR35" s="216">
        <v>73.099999999999994</v>
      </c>
      <c r="BS35" s="338">
        <v>0.34399999999999997</v>
      </c>
      <c r="BT35" s="216">
        <v>5.22</v>
      </c>
      <c r="BU35" s="218">
        <v>6.93</v>
      </c>
      <c r="BV35" s="218">
        <v>1.27</v>
      </c>
      <c r="BW35" s="218">
        <v>1150</v>
      </c>
      <c r="BX35" s="218">
        <v>6</v>
      </c>
      <c r="BY35" s="218">
        <v>8.4</v>
      </c>
      <c r="BZ35" s="218">
        <v>6600</v>
      </c>
      <c r="CA35" s="218">
        <v>6.76</v>
      </c>
      <c r="CB35" s="218">
        <v>1.51</v>
      </c>
      <c r="CC35" s="218">
        <v>1650</v>
      </c>
      <c r="CD35" s="218">
        <v>7.04</v>
      </c>
      <c r="CE35" s="218">
        <v>3.74</v>
      </c>
      <c r="CF35" s="218">
        <v>3200</v>
      </c>
      <c r="CG35" s="218">
        <v>6.78</v>
      </c>
      <c r="CH35" s="218">
        <v>1.04</v>
      </c>
      <c r="CI35" s="218">
        <v>1220</v>
      </c>
      <c r="CJ35" s="218">
        <v>7.54</v>
      </c>
      <c r="CK35" s="218">
        <v>2.7</v>
      </c>
      <c r="CL35" s="218">
        <v>2300</v>
      </c>
      <c r="CM35" s="220">
        <v>75.7</v>
      </c>
      <c r="CN35" s="220">
        <v>75.3</v>
      </c>
      <c r="CO35" s="75">
        <v>5</v>
      </c>
      <c r="CP35" s="76">
        <v>7.73</v>
      </c>
      <c r="CQ35" s="76">
        <v>2.2599999999999998</v>
      </c>
      <c r="CR35" s="77">
        <v>76.7</v>
      </c>
      <c r="CS35" s="76">
        <v>19.399999999999999</v>
      </c>
      <c r="CT35" s="76">
        <v>1.6</v>
      </c>
      <c r="CU35" s="78">
        <v>25.1</v>
      </c>
      <c r="CV35" s="79">
        <v>2.75</v>
      </c>
      <c r="CW35" s="79">
        <v>24</v>
      </c>
      <c r="CX35" s="79">
        <v>42</v>
      </c>
      <c r="CY35" s="75">
        <v>3</v>
      </c>
      <c r="CZ35" s="76">
        <v>7.65</v>
      </c>
      <c r="DA35" s="76">
        <v>2.33</v>
      </c>
      <c r="DB35" s="77">
        <v>75.3</v>
      </c>
      <c r="DC35" s="81"/>
      <c r="DD35" s="81"/>
      <c r="DE35" s="82"/>
      <c r="DF35" s="79">
        <v>2.2999999999999998</v>
      </c>
      <c r="DG35" s="79">
        <v>14</v>
      </c>
      <c r="DH35" s="117">
        <v>73</v>
      </c>
      <c r="DI35" s="121"/>
      <c r="DJ35" s="122"/>
      <c r="DK35" s="122"/>
      <c r="DL35" s="123"/>
      <c r="DM35" s="122"/>
      <c r="DN35" s="122"/>
      <c r="DO35" s="121"/>
      <c r="DP35" s="121"/>
      <c r="DQ35" s="121"/>
      <c r="DR35" s="121"/>
      <c r="DS35" s="85">
        <v>1</v>
      </c>
      <c r="DT35" s="76">
        <v>7.5</v>
      </c>
      <c r="DU35" s="76">
        <v>2.2999999999999998</v>
      </c>
      <c r="DV35" s="77">
        <v>74.599999999999994</v>
      </c>
      <c r="DW35" s="76">
        <v>23.7</v>
      </c>
      <c r="DX35" s="76">
        <v>1.89</v>
      </c>
      <c r="DY35" s="86">
        <v>15.9</v>
      </c>
      <c r="DZ35" s="79">
        <v>1.9</v>
      </c>
      <c r="EA35" s="79">
        <v>10</v>
      </c>
      <c r="EB35" s="79">
        <v>7</v>
      </c>
      <c r="EC35" s="79">
        <v>8</v>
      </c>
      <c r="ED35" s="79">
        <v>0</v>
      </c>
      <c r="EE35" s="79">
        <v>9</v>
      </c>
      <c r="EF35" s="79">
        <v>9</v>
      </c>
      <c r="EG35" s="79">
        <v>4</v>
      </c>
      <c r="EH35" s="79">
        <v>83</v>
      </c>
      <c r="EI35" s="79">
        <v>10</v>
      </c>
      <c r="EJ35" s="79">
        <v>0</v>
      </c>
      <c r="EK35" s="79">
        <f t="shared" ref="EK35:EK37" si="77">EA35+EB35+EC35+ED35+EE35+EF35+EG35+EH35+EI35+EJ35</f>
        <v>140</v>
      </c>
      <c r="EL35" s="87">
        <v>22</v>
      </c>
      <c r="EM35" s="79">
        <v>65</v>
      </c>
      <c r="EN35" s="76">
        <v>7.23</v>
      </c>
      <c r="EO35" s="111">
        <v>3.12</v>
      </c>
      <c r="EP35" s="77">
        <v>69.3</v>
      </c>
      <c r="EQ35" s="76">
        <v>29.3</v>
      </c>
      <c r="ER35" s="76">
        <v>2.21</v>
      </c>
      <c r="ES35" s="78">
        <v>15.9</v>
      </c>
      <c r="ET35" s="121">
        <v>4131</v>
      </c>
      <c r="EU35" s="121">
        <v>3973</v>
      </c>
      <c r="EV35" s="121">
        <v>0</v>
      </c>
      <c r="EW35" s="79">
        <f t="shared" si="8"/>
        <v>8104</v>
      </c>
      <c r="EX35" s="121">
        <v>55</v>
      </c>
      <c r="EY35" s="341">
        <f>EW35+EW36+EW37+EW38</f>
        <v>25837</v>
      </c>
    </row>
    <row r="36" spans="1:155" ht="17.100000000000001" customHeight="1">
      <c r="A36" s="174"/>
      <c r="B36" s="397" t="s">
        <v>252</v>
      </c>
      <c r="C36" s="202" t="s">
        <v>96</v>
      </c>
      <c r="D36" s="317">
        <f t="shared" si="0"/>
        <v>61.777777777777779</v>
      </c>
      <c r="E36" s="320">
        <f t="shared" si="1"/>
        <v>38.222222222222221</v>
      </c>
      <c r="F36" s="320">
        <f t="shared" si="2"/>
        <v>0</v>
      </c>
      <c r="G36" s="323">
        <f t="shared" si="3"/>
        <v>0</v>
      </c>
      <c r="H36" s="306">
        <v>13.9</v>
      </c>
      <c r="I36" s="309">
        <v>0</v>
      </c>
      <c r="J36" s="309">
        <v>8.6</v>
      </c>
      <c r="K36" s="309">
        <v>0</v>
      </c>
      <c r="L36" s="309">
        <v>0</v>
      </c>
      <c r="M36" s="309">
        <v>8</v>
      </c>
      <c r="N36" s="309">
        <v>1.75</v>
      </c>
      <c r="O36" s="309">
        <v>0.2</v>
      </c>
      <c r="P36" s="211"/>
      <c r="Q36" s="214"/>
      <c r="R36" s="306"/>
      <c r="S36" s="309"/>
      <c r="T36" s="309"/>
      <c r="U36" s="309"/>
      <c r="V36" s="309"/>
      <c r="W36" s="309"/>
      <c r="X36" s="336"/>
      <c r="Y36" s="306">
        <f t="shared" si="4"/>
        <v>0</v>
      </c>
      <c r="Z36" s="309">
        <f t="shared" si="4"/>
        <v>0</v>
      </c>
      <c r="AA36" s="309">
        <f t="shared" si="4"/>
        <v>0</v>
      </c>
      <c r="AB36" s="309">
        <f t="shared" si="4"/>
        <v>0</v>
      </c>
      <c r="AC36" s="309">
        <f t="shared" si="4"/>
        <v>0</v>
      </c>
      <c r="AD36" s="309">
        <f t="shared" si="4"/>
        <v>0</v>
      </c>
      <c r="AE36" s="336">
        <f>N36*X36*10</f>
        <v>0</v>
      </c>
      <c r="AF36" s="306"/>
      <c r="AG36" s="211"/>
      <c r="AH36" s="211"/>
      <c r="AI36" s="211"/>
      <c r="AJ36" s="211"/>
      <c r="AK36" s="211"/>
      <c r="AL36" s="214"/>
      <c r="AM36" s="333"/>
      <c r="AN36" s="211"/>
      <c r="AO36" s="211"/>
      <c r="AP36" s="211"/>
      <c r="AQ36" s="211"/>
      <c r="AR36" s="211"/>
      <c r="AS36" s="211"/>
      <c r="AT36" s="306"/>
      <c r="AU36" s="309"/>
      <c r="AV36" s="309"/>
      <c r="AW36" s="309"/>
      <c r="AX36" s="309"/>
      <c r="AY36" s="309"/>
      <c r="AZ36" s="336"/>
      <c r="BA36" s="333"/>
      <c r="BB36" s="333"/>
      <c r="BC36" s="333"/>
      <c r="BD36" s="333"/>
      <c r="BE36" s="333"/>
      <c r="BF36" s="333"/>
      <c r="BG36" s="333"/>
      <c r="BH36" s="333"/>
      <c r="BI36" s="211"/>
      <c r="BJ36" s="211"/>
      <c r="BK36" s="211"/>
      <c r="BL36" s="211"/>
      <c r="BM36" s="211"/>
      <c r="BN36" s="214"/>
      <c r="BO36" s="196">
        <v>73.599999999999994</v>
      </c>
      <c r="BP36" s="196">
        <v>0.54100000000000004</v>
      </c>
      <c r="BQ36" s="196">
        <v>4.01</v>
      </c>
      <c r="BR36" s="196">
        <v>72.900000000000006</v>
      </c>
      <c r="BS36" s="339">
        <v>0.45100000000000001</v>
      </c>
      <c r="BT36" s="196">
        <v>4.1900000000000004</v>
      </c>
      <c r="BU36" s="193">
        <v>6.93</v>
      </c>
      <c r="BV36" s="193">
        <v>1.27</v>
      </c>
      <c r="BW36" s="193">
        <v>1150</v>
      </c>
      <c r="BX36" s="193">
        <v>6</v>
      </c>
      <c r="BY36" s="193">
        <v>8.4</v>
      </c>
      <c r="BZ36" s="193">
        <v>6600</v>
      </c>
      <c r="CA36" s="193">
        <v>6.76</v>
      </c>
      <c r="CB36" s="193">
        <v>1.51</v>
      </c>
      <c r="CC36" s="193">
        <v>1650</v>
      </c>
      <c r="CD36" s="193">
        <v>7.04</v>
      </c>
      <c r="CE36" s="193">
        <v>3.74</v>
      </c>
      <c r="CF36" s="193">
        <v>3200</v>
      </c>
      <c r="CG36" s="193">
        <v>6.78</v>
      </c>
      <c r="CH36" s="193">
        <v>1.04</v>
      </c>
      <c r="CI36" s="193">
        <v>1220</v>
      </c>
      <c r="CJ36" s="193">
        <v>7.54</v>
      </c>
      <c r="CK36" s="193">
        <v>2.7</v>
      </c>
      <c r="CL36" s="193">
        <v>2300</v>
      </c>
      <c r="CM36" s="205">
        <v>76.099999999999994</v>
      </c>
      <c r="CN36" s="205"/>
      <c r="CO36" s="13">
        <v>6</v>
      </c>
      <c r="CP36" s="10">
        <v>7.73</v>
      </c>
      <c r="CQ36" s="10">
        <v>2.2599999999999998</v>
      </c>
      <c r="CR36" s="11">
        <v>76.7</v>
      </c>
      <c r="CS36" s="10">
        <v>19.399999999999999</v>
      </c>
      <c r="CT36" s="10">
        <v>1.6</v>
      </c>
      <c r="CU36" s="12">
        <v>25.1</v>
      </c>
      <c r="CV36" s="8">
        <v>2.75</v>
      </c>
      <c r="CW36" s="8">
        <v>20</v>
      </c>
      <c r="CX36" s="8">
        <v>42</v>
      </c>
      <c r="CY36" s="13">
        <v>4</v>
      </c>
      <c r="CZ36" s="10">
        <v>7.65</v>
      </c>
      <c r="DA36" s="10">
        <v>2.33</v>
      </c>
      <c r="DB36" s="11">
        <v>75.3</v>
      </c>
      <c r="DC36" s="15"/>
      <c r="DD36" s="15"/>
      <c r="DE36" s="16"/>
      <c r="DF36" s="8">
        <v>2.2999999999999998</v>
      </c>
      <c r="DG36" s="8">
        <v>12</v>
      </c>
      <c r="DH36" s="29">
        <v>72</v>
      </c>
      <c r="DI36" s="23"/>
      <c r="DJ36" s="21"/>
      <c r="DK36" s="21"/>
      <c r="DL36" s="22"/>
      <c r="DM36" s="21"/>
      <c r="DN36" s="21"/>
      <c r="DO36" s="23"/>
      <c r="DP36" s="23"/>
      <c r="DQ36" s="23"/>
      <c r="DR36" s="23"/>
      <c r="DS36" s="19">
        <v>11</v>
      </c>
      <c r="DT36" s="10">
        <v>7.5</v>
      </c>
      <c r="DU36" s="10">
        <v>2.2999999999999998</v>
      </c>
      <c r="DV36" s="11">
        <v>74.599999999999994</v>
      </c>
      <c r="DW36" s="10">
        <v>23.7</v>
      </c>
      <c r="DX36" s="10">
        <v>1.89</v>
      </c>
      <c r="DY36" s="20">
        <v>15.9</v>
      </c>
      <c r="DZ36" s="8">
        <v>1.9</v>
      </c>
      <c r="EA36" s="8">
        <v>7</v>
      </c>
      <c r="EB36" s="8">
        <v>12</v>
      </c>
      <c r="EC36" s="8">
        <v>11</v>
      </c>
      <c r="ED36" s="8">
        <v>0</v>
      </c>
      <c r="EE36" s="8">
        <v>8</v>
      </c>
      <c r="EF36" s="8">
        <v>11</v>
      </c>
      <c r="EG36" s="8">
        <v>4</v>
      </c>
      <c r="EH36" s="8">
        <v>87</v>
      </c>
      <c r="EI36" s="8">
        <v>16</v>
      </c>
      <c r="EJ36" s="8">
        <v>0</v>
      </c>
      <c r="EK36" s="8">
        <f t="shared" si="77"/>
        <v>156</v>
      </c>
      <c r="EL36" s="9">
        <v>23</v>
      </c>
      <c r="EM36" s="8">
        <v>70</v>
      </c>
      <c r="EN36" s="10">
        <v>7.18</v>
      </c>
      <c r="EO36" s="26" t="s">
        <v>136</v>
      </c>
      <c r="EP36" s="11">
        <v>68.599999999999994</v>
      </c>
      <c r="EQ36" s="10">
        <v>28.4</v>
      </c>
      <c r="ER36" s="10">
        <v>2.14</v>
      </c>
      <c r="ES36" s="12">
        <v>16.7</v>
      </c>
      <c r="ET36" s="8">
        <v>5819</v>
      </c>
      <c r="EU36" s="8">
        <v>4740</v>
      </c>
      <c r="EV36" s="8">
        <v>0</v>
      </c>
      <c r="EW36" s="8">
        <f t="shared" si="8"/>
        <v>10559</v>
      </c>
      <c r="EX36" s="23">
        <v>54</v>
      </c>
      <c r="EY36" s="342"/>
    </row>
    <row r="37" spans="1:155" ht="17.100000000000001" customHeight="1">
      <c r="A37" s="174"/>
      <c r="B37" s="397" t="s">
        <v>252</v>
      </c>
      <c r="C37" s="202" t="s">
        <v>96</v>
      </c>
      <c r="D37" s="317">
        <f t="shared" si="0"/>
        <v>61.777777777777779</v>
      </c>
      <c r="E37" s="320">
        <f t="shared" si="1"/>
        <v>38.222222222222221</v>
      </c>
      <c r="F37" s="320">
        <f t="shared" si="2"/>
        <v>0</v>
      </c>
      <c r="G37" s="323">
        <f t="shared" si="3"/>
        <v>0</v>
      </c>
      <c r="H37" s="306">
        <v>13.9</v>
      </c>
      <c r="I37" s="309">
        <v>0</v>
      </c>
      <c r="J37" s="309">
        <v>8.6</v>
      </c>
      <c r="K37" s="309">
        <v>0</v>
      </c>
      <c r="L37" s="309">
        <v>0</v>
      </c>
      <c r="M37" s="309">
        <v>8</v>
      </c>
      <c r="N37" s="309">
        <v>1.7</v>
      </c>
      <c r="O37" s="309">
        <v>0.25</v>
      </c>
      <c r="P37" s="211"/>
      <c r="Q37" s="214"/>
      <c r="R37" s="306"/>
      <c r="S37" s="309"/>
      <c r="T37" s="309"/>
      <c r="U37" s="309"/>
      <c r="V37" s="309"/>
      <c r="W37" s="309"/>
      <c r="X37" s="336"/>
      <c r="Y37" s="306">
        <f t="shared" si="4"/>
        <v>0</v>
      </c>
      <c r="Z37" s="309">
        <f t="shared" si="4"/>
        <v>0</v>
      </c>
      <c r="AA37" s="309">
        <f t="shared" si="4"/>
        <v>0</v>
      </c>
      <c r="AB37" s="309">
        <f t="shared" si="4"/>
        <v>0</v>
      </c>
      <c r="AC37" s="309">
        <f t="shared" si="4"/>
        <v>0</v>
      </c>
      <c r="AD37" s="309">
        <f t="shared" si="4"/>
        <v>0</v>
      </c>
      <c r="AE37" s="336">
        <f>N37*X37*10</f>
        <v>0</v>
      </c>
      <c r="AF37" s="306"/>
      <c r="AG37" s="211"/>
      <c r="AH37" s="211"/>
      <c r="AI37" s="211"/>
      <c r="AJ37" s="211"/>
      <c r="AK37" s="211"/>
      <c r="AL37" s="214"/>
      <c r="AM37" s="333"/>
      <c r="AN37" s="211"/>
      <c r="AO37" s="211"/>
      <c r="AP37" s="211"/>
      <c r="AQ37" s="211"/>
      <c r="AR37" s="211"/>
      <c r="AS37" s="211"/>
      <c r="AT37" s="306"/>
      <c r="AU37" s="309"/>
      <c r="AV37" s="309"/>
      <c r="AW37" s="309"/>
      <c r="AX37" s="309"/>
      <c r="AY37" s="309"/>
      <c r="AZ37" s="336"/>
      <c r="BA37" s="333"/>
      <c r="BB37" s="333"/>
      <c r="BC37" s="333"/>
      <c r="BD37" s="333"/>
      <c r="BE37" s="333"/>
      <c r="BF37" s="333"/>
      <c r="BG37" s="333"/>
      <c r="BH37" s="333"/>
      <c r="BI37" s="211"/>
      <c r="BJ37" s="211"/>
      <c r="BK37" s="211"/>
      <c r="BL37" s="211"/>
      <c r="BM37" s="211"/>
      <c r="BN37" s="214"/>
      <c r="BO37" s="196">
        <v>74</v>
      </c>
      <c r="BP37" s="196">
        <v>0.48299999999999998</v>
      </c>
      <c r="BQ37" s="196">
        <v>5.48</v>
      </c>
      <c r="BR37" s="196">
        <v>72.5</v>
      </c>
      <c r="BS37" s="339">
        <v>0.32100000000000001</v>
      </c>
      <c r="BT37" s="196">
        <v>4.6500000000000004</v>
      </c>
      <c r="BU37" s="193">
        <v>6.93</v>
      </c>
      <c r="BV37" s="193">
        <v>1.27</v>
      </c>
      <c r="BW37" s="193">
        <v>1150</v>
      </c>
      <c r="BX37" s="193">
        <v>6</v>
      </c>
      <c r="BY37" s="193">
        <v>8.4</v>
      </c>
      <c r="BZ37" s="193">
        <v>6600</v>
      </c>
      <c r="CA37" s="193">
        <v>6.76</v>
      </c>
      <c r="CB37" s="193">
        <v>1.51</v>
      </c>
      <c r="CC37" s="193">
        <v>1650</v>
      </c>
      <c r="CD37" s="193">
        <v>7.04</v>
      </c>
      <c r="CE37" s="193">
        <v>3.74</v>
      </c>
      <c r="CF37" s="193">
        <v>3200</v>
      </c>
      <c r="CG37" s="193">
        <v>6.78</v>
      </c>
      <c r="CH37" s="193">
        <v>1.04</v>
      </c>
      <c r="CI37" s="193">
        <v>1220</v>
      </c>
      <c r="CJ37" s="193">
        <v>7.54</v>
      </c>
      <c r="CK37" s="193">
        <v>2.7</v>
      </c>
      <c r="CL37" s="193">
        <v>2300</v>
      </c>
      <c r="CM37" s="205">
        <v>75</v>
      </c>
      <c r="CN37" s="205"/>
      <c r="CO37" s="13">
        <v>7</v>
      </c>
      <c r="CP37" s="10">
        <v>7.73</v>
      </c>
      <c r="CQ37" s="10">
        <v>2.2599999999999998</v>
      </c>
      <c r="CR37" s="11">
        <v>76.7</v>
      </c>
      <c r="CS37" s="10">
        <v>19.399999999999999</v>
      </c>
      <c r="CT37" s="10">
        <v>1.6</v>
      </c>
      <c r="CU37" s="12">
        <v>25.1</v>
      </c>
      <c r="CV37" s="8">
        <v>2.75</v>
      </c>
      <c r="CW37" s="8">
        <v>15</v>
      </c>
      <c r="CX37" s="8">
        <v>42</v>
      </c>
      <c r="CY37" s="13">
        <v>5</v>
      </c>
      <c r="CZ37" s="10">
        <v>7.65</v>
      </c>
      <c r="DA37" s="10">
        <v>2.33</v>
      </c>
      <c r="DB37" s="11">
        <v>75.3</v>
      </c>
      <c r="DC37" s="15"/>
      <c r="DD37" s="15"/>
      <c r="DE37" s="16"/>
      <c r="DF37" s="8">
        <v>2.2999999999999998</v>
      </c>
      <c r="DG37" s="353">
        <v>80</v>
      </c>
      <c r="DH37" s="353"/>
      <c r="DI37" s="23"/>
      <c r="DJ37" s="21"/>
      <c r="DK37" s="21"/>
      <c r="DL37" s="22"/>
      <c r="DM37" s="21"/>
      <c r="DN37" s="21"/>
      <c r="DO37" s="23"/>
      <c r="DP37" s="23"/>
      <c r="DQ37" s="23"/>
      <c r="DR37" s="23"/>
      <c r="DS37" s="19">
        <v>12</v>
      </c>
      <c r="DT37" s="10">
        <v>7.5</v>
      </c>
      <c r="DU37" s="10">
        <v>2.2999999999999998</v>
      </c>
      <c r="DV37" s="11">
        <v>74.599999999999994</v>
      </c>
      <c r="DW37" s="10">
        <v>23.7</v>
      </c>
      <c r="DX37" s="10">
        <v>1.89</v>
      </c>
      <c r="DY37" s="20">
        <v>15.9</v>
      </c>
      <c r="DZ37" s="8">
        <v>1.9</v>
      </c>
      <c r="EA37" s="8">
        <v>8</v>
      </c>
      <c r="EB37" s="8">
        <v>10</v>
      </c>
      <c r="EC37" s="8">
        <v>8</v>
      </c>
      <c r="ED37" s="8">
        <v>0</v>
      </c>
      <c r="EE37" s="8">
        <v>8</v>
      </c>
      <c r="EF37" s="8">
        <v>7</v>
      </c>
      <c r="EG37" s="8">
        <v>6</v>
      </c>
      <c r="EH37" s="8">
        <v>105</v>
      </c>
      <c r="EI37" s="8">
        <v>19</v>
      </c>
      <c r="EJ37" s="8">
        <v>0</v>
      </c>
      <c r="EK37" s="8">
        <f t="shared" si="77"/>
        <v>171</v>
      </c>
      <c r="EL37" s="9">
        <v>24</v>
      </c>
      <c r="EM37" s="8">
        <v>71</v>
      </c>
      <c r="EN37" s="10">
        <v>7.24</v>
      </c>
      <c r="EO37" s="26">
        <v>2.84</v>
      </c>
      <c r="EP37" s="11">
        <v>69</v>
      </c>
      <c r="EQ37" s="10">
        <v>28.8</v>
      </c>
      <c r="ER37" s="10">
        <v>2.2000000000000002</v>
      </c>
      <c r="ES37" s="12">
        <v>16.2</v>
      </c>
      <c r="ET37" s="8">
        <v>3774</v>
      </c>
      <c r="EU37" s="8">
        <v>3400</v>
      </c>
      <c r="EV37" s="8">
        <v>0</v>
      </c>
      <c r="EW37" s="8">
        <f t="shared" si="8"/>
        <v>7174</v>
      </c>
      <c r="EX37" s="23">
        <v>55</v>
      </c>
      <c r="EY37" s="342"/>
    </row>
    <row r="38" spans="1:155" s="401" customFormat="1" ht="17.100000000000001" customHeight="1" thickBot="1">
      <c r="A38" s="175"/>
      <c r="B38" s="400" t="s">
        <v>252</v>
      </c>
      <c r="C38" s="203" t="s">
        <v>96</v>
      </c>
      <c r="D38" s="318">
        <f t="shared" si="0"/>
        <v>61.777777777777779</v>
      </c>
      <c r="E38" s="321">
        <f t="shared" si="1"/>
        <v>38.222222222222221</v>
      </c>
      <c r="F38" s="321">
        <f t="shared" si="2"/>
        <v>0</v>
      </c>
      <c r="G38" s="324">
        <f t="shared" si="3"/>
        <v>0</v>
      </c>
      <c r="H38" s="307">
        <v>13.9</v>
      </c>
      <c r="I38" s="310">
        <v>0</v>
      </c>
      <c r="J38" s="310">
        <v>8.6</v>
      </c>
      <c r="K38" s="310">
        <v>0</v>
      </c>
      <c r="L38" s="310">
        <v>0</v>
      </c>
      <c r="M38" s="310">
        <v>8</v>
      </c>
      <c r="N38" s="310">
        <v>1.7</v>
      </c>
      <c r="O38" s="310">
        <v>0.2</v>
      </c>
      <c r="P38" s="302"/>
      <c r="Q38" s="304"/>
      <c r="R38" s="307"/>
      <c r="S38" s="310"/>
      <c r="T38" s="310"/>
      <c r="U38" s="310"/>
      <c r="V38" s="310"/>
      <c r="W38" s="310"/>
      <c r="X38" s="337"/>
      <c r="Y38" s="307">
        <f t="shared" si="4"/>
        <v>0</v>
      </c>
      <c r="Z38" s="310">
        <f t="shared" si="4"/>
        <v>0</v>
      </c>
      <c r="AA38" s="310">
        <f t="shared" si="4"/>
        <v>0</v>
      </c>
      <c r="AB38" s="310">
        <f t="shared" si="4"/>
        <v>0</v>
      </c>
      <c r="AC38" s="310">
        <f t="shared" si="4"/>
        <v>0</v>
      </c>
      <c r="AD38" s="310">
        <f t="shared" si="4"/>
        <v>0</v>
      </c>
      <c r="AE38" s="337">
        <f>N38*X38*10</f>
        <v>0</v>
      </c>
      <c r="AF38" s="307"/>
      <c r="AG38" s="302"/>
      <c r="AH38" s="302"/>
      <c r="AI38" s="302"/>
      <c r="AJ38" s="302"/>
      <c r="AK38" s="302"/>
      <c r="AL38" s="304"/>
      <c r="AM38" s="334"/>
      <c r="AN38" s="302"/>
      <c r="AO38" s="302"/>
      <c r="AP38" s="302"/>
      <c r="AQ38" s="302"/>
      <c r="AR38" s="302"/>
      <c r="AS38" s="302"/>
      <c r="AT38" s="307"/>
      <c r="AU38" s="310"/>
      <c r="AV38" s="310"/>
      <c r="AW38" s="310"/>
      <c r="AX38" s="310"/>
      <c r="AY38" s="310"/>
      <c r="AZ38" s="337"/>
      <c r="BA38" s="334"/>
      <c r="BB38" s="334"/>
      <c r="BC38" s="334"/>
      <c r="BD38" s="334"/>
      <c r="BE38" s="334"/>
      <c r="BF38" s="334"/>
      <c r="BG38" s="334"/>
      <c r="BH38" s="334"/>
      <c r="BI38" s="302"/>
      <c r="BJ38" s="302"/>
      <c r="BK38" s="302"/>
      <c r="BL38" s="302"/>
      <c r="BM38" s="302"/>
      <c r="BN38" s="304"/>
      <c r="BO38" s="217">
        <v>74.599999999999994</v>
      </c>
      <c r="BP38" s="217">
        <v>0.48199999999999998</v>
      </c>
      <c r="BQ38" s="217">
        <v>4.96</v>
      </c>
      <c r="BR38" s="217">
        <v>73.099999999999994</v>
      </c>
      <c r="BS38" s="340">
        <v>0.34399999999999997</v>
      </c>
      <c r="BT38" s="217">
        <v>5.22</v>
      </c>
      <c r="BU38" s="219">
        <v>6.93</v>
      </c>
      <c r="BV38" s="219">
        <v>1.27</v>
      </c>
      <c r="BW38" s="219">
        <v>1150</v>
      </c>
      <c r="BX38" s="219">
        <v>6</v>
      </c>
      <c r="BY38" s="219">
        <v>8.4</v>
      </c>
      <c r="BZ38" s="219">
        <v>6600</v>
      </c>
      <c r="CA38" s="219">
        <v>6.76</v>
      </c>
      <c r="CB38" s="219">
        <v>1.51</v>
      </c>
      <c r="CC38" s="219">
        <v>1650</v>
      </c>
      <c r="CD38" s="219">
        <v>7.04</v>
      </c>
      <c r="CE38" s="219">
        <v>3.74</v>
      </c>
      <c r="CF38" s="219">
        <v>3200</v>
      </c>
      <c r="CG38" s="219">
        <v>6.78</v>
      </c>
      <c r="CH38" s="219">
        <v>1.04</v>
      </c>
      <c r="CI38" s="219">
        <v>1220</v>
      </c>
      <c r="CJ38" s="219">
        <v>7.54</v>
      </c>
      <c r="CK38" s="219">
        <v>2.7</v>
      </c>
      <c r="CL38" s="219">
        <v>2300</v>
      </c>
      <c r="CM38" s="221">
        <v>75.7</v>
      </c>
      <c r="CN38" s="221"/>
      <c r="CO38" s="98"/>
      <c r="CP38" s="99"/>
      <c r="CQ38" s="99"/>
      <c r="CR38" s="100"/>
      <c r="CS38" s="99"/>
      <c r="CT38" s="99"/>
      <c r="CU38" s="101"/>
      <c r="CV38" s="102"/>
      <c r="CW38" s="102"/>
      <c r="CX38" s="102"/>
      <c r="CY38" s="103"/>
      <c r="CZ38" s="99"/>
      <c r="DA38" s="99"/>
      <c r="DB38" s="100"/>
      <c r="DC38" s="99"/>
      <c r="DD38" s="99"/>
      <c r="DE38" s="104"/>
      <c r="DF38" s="102"/>
      <c r="DG38" s="102"/>
      <c r="DH38" s="102"/>
      <c r="DI38" s="101"/>
      <c r="DJ38" s="99"/>
      <c r="DK38" s="99"/>
      <c r="DL38" s="100"/>
      <c r="DM38" s="99"/>
      <c r="DN38" s="99"/>
      <c r="DO38" s="101"/>
      <c r="DP38" s="102"/>
      <c r="DQ38" s="102"/>
      <c r="DR38" s="102"/>
      <c r="DS38" s="105"/>
      <c r="DT38" s="99"/>
      <c r="DU38" s="99"/>
      <c r="DV38" s="100"/>
      <c r="DW38" s="99"/>
      <c r="DX38" s="99"/>
      <c r="DY38" s="104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6"/>
      <c r="EM38" s="101"/>
      <c r="EN38" s="99"/>
      <c r="EO38" s="99"/>
      <c r="EP38" s="100"/>
      <c r="EQ38" s="99"/>
      <c r="ER38" s="99"/>
      <c r="ES38" s="101"/>
      <c r="ET38" s="102"/>
      <c r="EU38" s="102"/>
      <c r="EV38" s="102"/>
      <c r="EW38" s="102">
        <f t="shared" si="8"/>
        <v>0</v>
      </c>
      <c r="EX38" s="101"/>
      <c r="EY38" s="343"/>
    </row>
    <row r="39" spans="1:155" s="398" customFormat="1" ht="17.100000000000001" customHeight="1">
      <c r="A39" s="176">
        <v>9</v>
      </c>
      <c r="B39" s="397" t="s">
        <v>253</v>
      </c>
      <c r="C39" s="201" t="s">
        <v>96</v>
      </c>
      <c r="D39" s="316">
        <f t="shared" si="0"/>
        <v>61.777777777777779</v>
      </c>
      <c r="E39" s="319">
        <f t="shared" si="1"/>
        <v>38.222222222222221</v>
      </c>
      <c r="F39" s="319">
        <f t="shared" si="2"/>
        <v>0</v>
      </c>
      <c r="G39" s="322">
        <f t="shared" si="3"/>
        <v>0</v>
      </c>
      <c r="H39" s="305">
        <v>13.9</v>
      </c>
      <c r="I39" s="308">
        <v>0</v>
      </c>
      <c r="J39" s="308">
        <v>8.6</v>
      </c>
      <c r="K39" s="308">
        <v>0</v>
      </c>
      <c r="L39" s="308">
        <v>0</v>
      </c>
      <c r="M39" s="308">
        <v>8</v>
      </c>
      <c r="N39" s="308">
        <v>1.7</v>
      </c>
      <c r="O39" s="308">
        <v>0.2</v>
      </c>
      <c r="P39" s="301"/>
      <c r="Q39" s="303"/>
      <c r="R39" s="305">
        <v>0.84</v>
      </c>
      <c r="S39" s="308">
        <v>0</v>
      </c>
      <c r="T39" s="308">
        <v>0.42</v>
      </c>
      <c r="U39" s="308">
        <v>0</v>
      </c>
      <c r="V39" s="308">
        <v>0</v>
      </c>
      <c r="W39" s="308">
        <v>3.44</v>
      </c>
      <c r="X39" s="335">
        <v>20.5</v>
      </c>
      <c r="Y39" s="305">
        <f t="shared" ref="Y39:AD62" si="78">H39*R39*10</f>
        <v>116.76</v>
      </c>
      <c r="Z39" s="308">
        <f t="shared" si="78"/>
        <v>0</v>
      </c>
      <c r="AA39" s="308">
        <f t="shared" si="78"/>
        <v>36.119999999999997</v>
      </c>
      <c r="AB39" s="308">
        <f t="shared" si="78"/>
        <v>0</v>
      </c>
      <c r="AC39" s="308">
        <f t="shared" si="78"/>
        <v>0</v>
      </c>
      <c r="AD39" s="308">
        <f t="shared" si="78"/>
        <v>275.2</v>
      </c>
      <c r="AE39" s="335">
        <f>O39*X39*10</f>
        <v>41.000000000000007</v>
      </c>
      <c r="AF39" s="305">
        <v>12.1</v>
      </c>
      <c r="AG39" s="301">
        <v>0</v>
      </c>
      <c r="AH39" s="301">
        <v>1.8</v>
      </c>
      <c r="AI39" s="301">
        <v>0</v>
      </c>
      <c r="AJ39" s="301">
        <v>0</v>
      </c>
      <c r="AK39" s="301">
        <v>28.7</v>
      </c>
      <c r="AL39" s="303">
        <v>84.4</v>
      </c>
      <c r="AM39" s="332">
        <f>H39*AF39*10</f>
        <v>1681.9</v>
      </c>
      <c r="AN39" s="301">
        <f t="shared" ref="AN39:AS39" si="79">I39*AG39*10</f>
        <v>0</v>
      </c>
      <c r="AO39" s="301">
        <f t="shared" si="79"/>
        <v>154.80000000000001</v>
      </c>
      <c r="AP39" s="301">
        <f t="shared" si="79"/>
        <v>0</v>
      </c>
      <c r="AQ39" s="301">
        <f t="shared" si="79"/>
        <v>0</v>
      </c>
      <c r="AR39" s="301">
        <f t="shared" si="79"/>
        <v>2296</v>
      </c>
      <c r="AS39" s="301">
        <f t="shared" si="79"/>
        <v>1434.8000000000002</v>
      </c>
      <c r="AT39" s="305">
        <v>12.8</v>
      </c>
      <c r="AU39" s="308">
        <v>0</v>
      </c>
      <c r="AV39" s="308">
        <v>52.8</v>
      </c>
      <c r="AW39" s="308">
        <v>0</v>
      </c>
      <c r="AX39" s="308">
        <v>0</v>
      </c>
      <c r="AY39" s="308">
        <v>17</v>
      </c>
      <c r="AZ39" s="335">
        <v>27.7</v>
      </c>
      <c r="BA39" s="332">
        <f t="shared" ref="BA39:BG39" si="80">(H39*3*1000)/(1-AT39/100)</f>
        <v>47821.100917431191</v>
      </c>
      <c r="BB39" s="332">
        <f t="shared" si="80"/>
        <v>0</v>
      </c>
      <c r="BC39" s="332">
        <f t="shared" si="80"/>
        <v>54661.016949152538</v>
      </c>
      <c r="BD39" s="332">
        <f t="shared" si="80"/>
        <v>0</v>
      </c>
      <c r="BE39" s="332">
        <f t="shared" si="80"/>
        <v>0</v>
      </c>
      <c r="BF39" s="332">
        <f t="shared" si="80"/>
        <v>28915.662650602411</v>
      </c>
      <c r="BG39" s="332">
        <f t="shared" si="80"/>
        <v>7053.9419087136921</v>
      </c>
      <c r="BH39" s="332">
        <f t="shared" ref="BH39" si="81">H39+I39+J39+K39+L39</f>
        <v>22.5</v>
      </c>
      <c r="BI39" s="301">
        <f t="shared" ref="BI39" si="82">M39+N39+O39</f>
        <v>9.8999999999999986</v>
      </c>
      <c r="BJ39" s="301">
        <f t="shared" ref="BJ39" si="83">BH39+BI39</f>
        <v>32.4</v>
      </c>
      <c r="BK39" s="301">
        <f t="shared" ref="BK39" si="84">Y39+Z39+AA39+AB39+AC39+AD39+AE39</f>
        <v>469.08</v>
      </c>
      <c r="BL39" s="301">
        <f t="shared" ref="BL39" si="85">AM39+AN39+AO39+AP39+AQ39+AR39+AS39</f>
        <v>5567.5</v>
      </c>
      <c r="BM39" s="301">
        <f t="shared" ref="BM39" si="86">BJ39*3*1000</f>
        <v>97199.999999999985</v>
      </c>
      <c r="BN39" s="303">
        <f t="shared" ref="BN39" si="87">BA39+BB39+BC39+BD39+BE39+BF39+BG39</f>
        <v>138451.72242589982</v>
      </c>
      <c r="BO39" s="216">
        <v>73.599999999999994</v>
      </c>
      <c r="BP39" s="216">
        <v>0.54100000000000004</v>
      </c>
      <c r="BQ39" s="216">
        <v>4.01</v>
      </c>
      <c r="BR39" s="216">
        <v>72.900000000000006</v>
      </c>
      <c r="BS39" s="338">
        <v>0.45100000000000001</v>
      </c>
      <c r="BT39" s="216">
        <v>4.1900000000000004</v>
      </c>
      <c r="BU39" s="354">
        <v>7.39</v>
      </c>
      <c r="BV39" s="354">
        <v>1.51</v>
      </c>
      <c r="BW39" s="354">
        <v>1300</v>
      </c>
      <c r="BX39" s="354">
        <v>6.53</v>
      </c>
      <c r="BY39" s="354">
        <v>4.33</v>
      </c>
      <c r="BZ39" s="354">
        <v>3800</v>
      </c>
      <c r="CA39" s="354">
        <v>7.17</v>
      </c>
      <c r="CB39" s="354">
        <v>1.35</v>
      </c>
      <c r="CC39" s="354">
        <v>1600</v>
      </c>
      <c r="CD39" s="354">
        <v>6.94</v>
      </c>
      <c r="CE39" s="354">
        <v>3.86</v>
      </c>
      <c r="CF39" s="354">
        <v>2700</v>
      </c>
      <c r="CG39" s="354">
        <v>7.49</v>
      </c>
      <c r="CH39" s="354">
        <v>1.62</v>
      </c>
      <c r="CI39" s="354">
        <v>1300</v>
      </c>
      <c r="CJ39" s="354">
        <v>6.84</v>
      </c>
      <c r="CK39" s="354">
        <v>3.34</v>
      </c>
      <c r="CL39" s="354">
        <v>3100</v>
      </c>
      <c r="CM39" s="220">
        <v>76.099999999999994</v>
      </c>
      <c r="CN39" s="220">
        <v>75.3</v>
      </c>
      <c r="CO39" s="75">
        <v>6</v>
      </c>
      <c r="CP39" s="76">
        <v>7.78</v>
      </c>
      <c r="CQ39" s="111">
        <v>2.3199999999999998</v>
      </c>
      <c r="CR39" s="77">
        <v>75.2</v>
      </c>
      <c r="CS39" s="76">
        <v>19.3</v>
      </c>
      <c r="CT39" s="76">
        <v>1.47</v>
      </c>
      <c r="CU39" s="78">
        <v>27.4</v>
      </c>
      <c r="CV39" s="79">
        <v>2.6</v>
      </c>
      <c r="CW39" s="79">
        <v>18</v>
      </c>
      <c r="CX39" s="79">
        <v>62</v>
      </c>
      <c r="CY39" s="75">
        <v>3</v>
      </c>
      <c r="CZ39" s="76">
        <v>7.66</v>
      </c>
      <c r="DA39" s="111">
        <v>2.41</v>
      </c>
      <c r="DB39" s="77">
        <v>74.400000000000006</v>
      </c>
      <c r="DC39" s="76">
        <v>23.1</v>
      </c>
      <c r="DD39" s="76">
        <v>1.78</v>
      </c>
      <c r="DE39" s="86">
        <v>21.6</v>
      </c>
      <c r="DF39" s="79">
        <v>2.35</v>
      </c>
      <c r="DG39" s="79">
        <v>15</v>
      </c>
      <c r="DH39" s="117">
        <v>53</v>
      </c>
      <c r="DI39" s="121"/>
      <c r="DJ39" s="122"/>
      <c r="DK39" s="122"/>
      <c r="DL39" s="123"/>
      <c r="DM39" s="122"/>
      <c r="DN39" s="122"/>
      <c r="DO39" s="121"/>
      <c r="DP39" s="121"/>
      <c r="DQ39" s="121"/>
      <c r="DR39" s="121"/>
      <c r="DS39" s="85">
        <v>7</v>
      </c>
      <c r="DT39" s="76">
        <v>7.59</v>
      </c>
      <c r="DU39" s="76">
        <v>2.42</v>
      </c>
      <c r="DV39" s="77">
        <v>75</v>
      </c>
      <c r="DW39" s="76">
        <v>26.3</v>
      </c>
      <c r="DX39" s="76">
        <v>1.89</v>
      </c>
      <c r="DY39" s="86">
        <v>19.399999999999999</v>
      </c>
      <c r="DZ39" s="79">
        <v>2.2000000000000002</v>
      </c>
      <c r="EA39" s="124">
        <v>6</v>
      </c>
      <c r="EB39" s="124">
        <v>13</v>
      </c>
      <c r="EC39" s="124">
        <v>9</v>
      </c>
      <c r="ED39" s="79">
        <v>0</v>
      </c>
      <c r="EE39" s="124">
        <v>8</v>
      </c>
      <c r="EF39" s="124">
        <v>9</v>
      </c>
      <c r="EG39" s="124">
        <v>1</v>
      </c>
      <c r="EH39" s="124">
        <v>82</v>
      </c>
      <c r="EI39" s="124">
        <v>5</v>
      </c>
      <c r="EJ39" s="124">
        <v>0</v>
      </c>
      <c r="EK39" s="79">
        <f t="shared" ref="EK39:EK40" si="88">EA39+EB39+EC39+ED39+EE39+EF39+EG39+EH39+EI39+EJ39</f>
        <v>133</v>
      </c>
      <c r="EL39" s="87">
        <v>25</v>
      </c>
      <c r="EM39" s="79">
        <v>1</v>
      </c>
      <c r="EN39" s="76">
        <v>7.39</v>
      </c>
      <c r="EO39" s="76">
        <v>2.8</v>
      </c>
      <c r="EP39" s="77">
        <v>68.7</v>
      </c>
      <c r="EQ39" s="76">
        <v>29.1</v>
      </c>
      <c r="ER39" s="76">
        <v>2.2400000000000002</v>
      </c>
      <c r="ES39" s="78">
        <v>15.8</v>
      </c>
      <c r="ET39" s="79">
        <v>2009</v>
      </c>
      <c r="EU39" s="79">
        <v>3325</v>
      </c>
      <c r="EV39" s="79">
        <v>0</v>
      </c>
      <c r="EW39" s="79">
        <f t="shared" si="8"/>
        <v>5334</v>
      </c>
      <c r="EX39" s="121">
        <v>52</v>
      </c>
      <c r="EY39" s="341">
        <f>EW39+EW40+EW41+EW42</f>
        <v>21715</v>
      </c>
    </row>
    <row r="40" spans="1:155" ht="17.100000000000001" customHeight="1">
      <c r="A40" s="177"/>
      <c r="B40" s="397" t="s">
        <v>253</v>
      </c>
      <c r="C40" s="202" t="s">
        <v>96</v>
      </c>
      <c r="D40" s="317">
        <f t="shared" si="0"/>
        <v>61.777777777777779</v>
      </c>
      <c r="E40" s="320">
        <f t="shared" si="1"/>
        <v>38.222222222222221</v>
      </c>
      <c r="F40" s="320">
        <f t="shared" si="2"/>
        <v>0</v>
      </c>
      <c r="G40" s="323">
        <f t="shared" si="3"/>
        <v>0</v>
      </c>
      <c r="H40" s="306">
        <v>13.9</v>
      </c>
      <c r="I40" s="309">
        <v>0</v>
      </c>
      <c r="J40" s="309">
        <v>8.6</v>
      </c>
      <c r="K40" s="309">
        <v>0</v>
      </c>
      <c r="L40" s="309">
        <v>0</v>
      </c>
      <c r="M40" s="309">
        <v>8</v>
      </c>
      <c r="N40" s="309">
        <v>1.75</v>
      </c>
      <c r="O40" s="309">
        <v>0.2</v>
      </c>
      <c r="P40" s="211"/>
      <c r="Q40" s="214"/>
      <c r="R40" s="306"/>
      <c r="S40" s="309"/>
      <c r="T40" s="309"/>
      <c r="U40" s="309"/>
      <c r="V40" s="309"/>
      <c r="W40" s="309"/>
      <c r="X40" s="336"/>
      <c r="Y40" s="306">
        <f t="shared" si="78"/>
        <v>0</v>
      </c>
      <c r="Z40" s="309">
        <f t="shared" si="78"/>
        <v>0</v>
      </c>
      <c r="AA40" s="309">
        <f t="shared" si="78"/>
        <v>0</v>
      </c>
      <c r="AB40" s="309">
        <f t="shared" si="78"/>
        <v>0</v>
      </c>
      <c r="AC40" s="309">
        <f t="shared" si="78"/>
        <v>0</v>
      </c>
      <c r="AD40" s="309">
        <f t="shared" si="78"/>
        <v>0</v>
      </c>
      <c r="AE40" s="336">
        <f>N40*X40*10</f>
        <v>0</v>
      </c>
      <c r="AF40" s="306"/>
      <c r="AG40" s="211"/>
      <c r="AH40" s="211"/>
      <c r="AI40" s="211"/>
      <c r="AJ40" s="211"/>
      <c r="AK40" s="211"/>
      <c r="AL40" s="214"/>
      <c r="AM40" s="333"/>
      <c r="AN40" s="211"/>
      <c r="AO40" s="211"/>
      <c r="AP40" s="211"/>
      <c r="AQ40" s="211"/>
      <c r="AR40" s="211"/>
      <c r="AS40" s="211"/>
      <c r="AT40" s="306"/>
      <c r="AU40" s="309"/>
      <c r="AV40" s="309"/>
      <c r="AW40" s="309"/>
      <c r="AX40" s="309"/>
      <c r="AY40" s="309"/>
      <c r="AZ40" s="336"/>
      <c r="BA40" s="333"/>
      <c r="BB40" s="333"/>
      <c r="BC40" s="333"/>
      <c r="BD40" s="333"/>
      <c r="BE40" s="333"/>
      <c r="BF40" s="333"/>
      <c r="BG40" s="333"/>
      <c r="BH40" s="333"/>
      <c r="BI40" s="211"/>
      <c r="BJ40" s="211"/>
      <c r="BK40" s="211"/>
      <c r="BL40" s="211"/>
      <c r="BM40" s="211"/>
      <c r="BN40" s="214"/>
      <c r="BO40" s="196">
        <v>74</v>
      </c>
      <c r="BP40" s="196">
        <v>0.48299999999999998</v>
      </c>
      <c r="BQ40" s="196">
        <v>5.48</v>
      </c>
      <c r="BR40" s="196">
        <v>72.5</v>
      </c>
      <c r="BS40" s="339">
        <v>0.32100000000000001</v>
      </c>
      <c r="BT40" s="196">
        <v>4.6500000000000004</v>
      </c>
      <c r="BU40" s="355">
        <v>7.39</v>
      </c>
      <c r="BV40" s="355">
        <v>1.51</v>
      </c>
      <c r="BW40" s="355">
        <v>1300</v>
      </c>
      <c r="BX40" s="355">
        <v>6.53</v>
      </c>
      <c r="BY40" s="355">
        <v>4.33</v>
      </c>
      <c r="BZ40" s="355">
        <v>3800</v>
      </c>
      <c r="CA40" s="355">
        <v>7.17</v>
      </c>
      <c r="CB40" s="355">
        <v>1.35</v>
      </c>
      <c r="CC40" s="355">
        <v>1600</v>
      </c>
      <c r="CD40" s="355">
        <v>6.94</v>
      </c>
      <c r="CE40" s="355">
        <v>3.86</v>
      </c>
      <c r="CF40" s="355">
        <v>2700</v>
      </c>
      <c r="CG40" s="355">
        <v>7.49</v>
      </c>
      <c r="CH40" s="355">
        <v>1.62</v>
      </c>
      <c r="CI40" s="355">
        <v>1300</v>
      </c>
      <c r="CJ40" s="355">
        <v>6.84</v>
      </c>
      <c r="CK40" s="355">
        <v>3.34</v>
      </c>
      <c r="CL40" s="355">
        <v>3100</v>
      </c>
      <c r="CM40" s="205">
        <v>75</v>
      </c>
      <c r="CN40" s="205"/>
      <c r="CO40" s="13">
        <v>7</v>
      </c>
      <c r="CP40" s="10">
        <v>7.78</v>
      </c>
      <c r="CQ40" s="26">
        <v>2.3199999999999998</v>
      </c>
      <c r="CR40" s="11">
        <v>75.2</v>
      </c>
      <c r="CS40" s="10">
        <v>19.3</v>
      </c>
      <c r="CT40" s="10">
        <v>1.47</v>
      </c>
      <c r="CU40" s="12">
        <v>27.4</v>
      </c>
      <c r="CV40" s="8">
        <v>2.6</v>
      </c>
      <c r="CW40" s="8">
        <v>8</v>
      </c>
      <c r="CX40" s="8">
        <v>69</v>
      </c>
      <c r="CY40" s="13">
        <v>2</v>
      </c>
      <c r="CZ40" s="10">
        <v>7.66</v>
      </c>
      <c r="DA40" s="26">
        <v>2.41</v>
      </c>
      <c r="DB40" s="11">
        <v>74.400000000000006</v>
      </c>
      <c r="DC40" s="10">
        <v>23.1</v>
      </c>
      <c r="DD40" s="10">
        <v>1.78</v>
      </c>
      <c r="DE40" s="20">
        <v>21.6</v>
      </c>
      <c r="DF40" s="8">
        <v>2.35</v>
      </c>
      <c r="DG40" s="8">
        <v>12</v>
      </c>
      <c r="DH40" s="8">
        <v>30</v>
      </c>
      <c r="DI40" s="23"/>
      <c r="DJ40" s="21"/>
      <c r="DK40" s="21"/>
      <c r="DL40" s="22"/>
      <c r="DM40" s="21"/>
      <c r="DN40" s="21"/>
      <c r="DO40" s="23"/>
      <c r="DP40" s="23"/>
      <c r="DQ40" s="23"/>
      <c r="DR40" s="23"/>
      <c r="DS40" s="19">
        <v>8</v>
      </c>
      <c r="DT40" s="10">
        <v>7.59</v>
      </c>
      <c r="DU40" s="10">
        <v>2.42</v>
      </c>
      <c r="DV40" s="11">
        <v>75</v>
      </c>
      <c r="DW40" s="10">
        <v>26.3</v>
      </c>
      <c r="DX40" s="10">
        <v>1.89</v>
      </c>
      <c r="DY40" s="20">
        <v>19.399999999999999</v>
      </c>
      <c r="DZ40" s="8">
        <v>2.2000000000000002</v>
      </c>
      <c r="EA40" s="30">
        <v>4</v>
      </c>
      <c r="EB40" s="30">
        <v>15</v>
      </c>
      <c r="EC40" s="30">
        <v>11</v>
      </c>
      <c r="ED40" s="8">
        <v>0</v>
      </c>
      <c r="EE40" s="30">
        <v>9</v>
      </c>
      <c r="EF40" s="30">
        <v>8</v>
      </c>
      <c r="EG40" s="30">
        <v>5</v>
      </c>
      <c r="EH40" s="30">
        <v>90</v>
      </c>
      <c r="EI40" s="30">
        <v>13</v>
      </c>
      <c r="EJ40" s="30">
        <v>0</v>
      </c>
      <c r="EK40" s="8">
        <f t="shared" si="88"/>
        <v>155</v>
      </c>
      <c r="EL40" s="9">
        <v>27</v>
      </c>
      <c r="EM40" s="27">
        <v>47</v>
      </c>
      <c r="EN40" s="26">
        <v>7.46</v>
      </c>
      <c r="EO40" s="26">
        <v>2.88</v>
      </c>
      <c r="EP40" s="17">
        <v>67.400000000000006</v>
      </c>
      <c r="EQ40" s="26">
        <v>29.8</v>
      </c>
      <c r="ER40" s="26">
        <v>2.27</v>
      </c>
      <c r="ES40" s="18" t="s">
        <v>137</v>
      </c>
      <c r="ET40" s="8">
        <v>4221</v>
      </c>
      <c r="EU40" s="8">
        <v>2685</v>
      </c>
      <c r="EV40" s="8">
        <v>949</v>
      </c>
      <c r="EW40" s="8">
        <f t="shared" si="8"/>
        <v>7855</v>
      </c>
      <c r="EX40" s="23">
        <v>55</v>
      </c>
      <c r="EY40" s="342"/>
    </row>
    <row r="41" spans="1:155" ht="17.100000000000001" customHeight="1">
      <c r="A41" s="177"/>
      <c r="B41" s="397" t="s">
        <v>253</v>
      </c>
      <c r="C41" s="202" t="s">
        <v>96</v>
      </c>
      <c r="D41" s="317">
        <f t="shared" si="0"/>
        <v>61.777777777777779</v>
      </c>
      <c r="E41" s="320">
        <f t="shared" si="1"/>
        <v>38.222222222222221</v>
      </c>
      <c r="F41" s="320">
        <f t="shared" si="2"/>
        <v>0</v>
      </c>
      <c r="G41" s="323">
        <f t="shared" si="3"/>
        <v>0</v>
      </c>
      <c r="H41" s="306">
        <v>13.9</v>
      </c>
      <c r="I41" s="309">
        <v>0</v>
      </c>
      <c r="J41" s="309">
        <v>8.6</v>
      </c>
      <c r="K41" s="309">
        <v>0</v>
      </c>
      <c r="L41" s="309">
        <v>0</v>
      </c>
      <c r="M41" s="309">
        <v>8</v>
      </c>
      <c r="N41" s="309">
        <v>1.7</v>
      </c>
      <c r="O41" s="309">
        <v>0.25</v>
      </c>
      <c r="P41" s="211"/>
      <c r="Q41" s="214"/>
      <c r="R41" s="306"/>
      <c r="S41" s="309"/>
      <c r="T41" s="309"/>
      <c r="U41" s="309"/>
      <c r="V41" s="309"/>
      <c r="W41" s="309"/>
      <c r="X41" s="336"/>
      <c r="Y41" s="306">
        <f t="shared" si="78"/>
        <v>0</v>
      </c>
      <c r="Z41" s="309">
        <f t="shared" si="78"/>
        <v>0</v>
      </c>
      <c r="AA41" s="309">
        <f t="shared" si="78"/>
        <v>0</v>
      </c>
      <c r="AB41" s="309">
        <f t="shared" si="78"/>
        <v>0</v>
      </c>
      <c r="AC41" s="309">
        <f t="shared" si="78"/>
        <v>0</v>
      </c>
      <c r="AD41" s="309">
        <f t="shared" si="78"/>
        <v>0</v>
      </c>
      <c r="AE41" s="336">
        <f>N41*X41*10</f>
        <v>0</v>
      </c>
      <c r="AF41" s="306"/>
      <c r="AG41" s="211"/>
      <c r="AH41" s="211"/>
      <c r="AI41" s="211"/>
      <c r="AJ41" s="211"/>
      <c r="AK41" s="211"/>
      <c r="AL41" s="214"/>
      <c r="AM41" s="333"/>
      <c r="AN41" s="211"/>
      <c r="AO41" s="211"/>
      <c r="AP41" s="211"/>
      <c r="AQ41" s="211"/>
      <c r="AR41" s="211"/>
      <c r="AS41" s="211"/>
      <c r="AT41" s="306"/>
      <c r="AU41" s="309"/>
      <c r="AV41" s="309"/>
      <c r="AW41" s="309"/>
      <c r="AX41" s="309"/>
      <c r="AY41" s="309"/>
      <c r="AZ41" s="336"/>
      <c r="BA41" s="333"/>
      <c r="BB41" s="333"/>
      <c r="BC41" s="333"/>
      <c r="BD41" s="333"/>
      <c r="BE41" s="333"/>
      <c r="BF41" s="333"/>
      <c r="BG41" s="333"/>
      <c r="BH41" s="333"/>
      <c r="BI41" s="211"/>
      <c r="BJ41" s="211"/>
      <c r="BK41" s="211"/>
      <c r="BL41" s="211"/>
      <c r="BM41" s="211"/>
      <c r="BN41" s="214"/>
      <c r="BO41" s="196">
        <v>74.599999999999994</v>
      </c>
      <c r="BP41" s="196">
        <v>0.48199999999999998</v>
      </c>
      <c r="BQ41" s="196">
        <v>4.96</v>
      </c>
      <c r="BR41" s="196">
        <v>73.099999999999994</v>
      </c>
      <c r="BS41" s="339">
        <v>0.34399999999999997</v>
      </c>
      <c r="BT41" s="196">
        <v>5.22</v>
      </c>
      <c r="BU41" s="355">
        <v>7.39</v>
      </c>
      <c r="BV41" s="355">
        <v>1.51</v>
      </c>
      <c r="BW41" s="355">
        <v>1300</v>
      </c>
      <c r="BX41" s="355">
        <v>6.53</v>
      </c>
      <c r="BY41" s="355">
        <v>4.33</v>
      </c>
      <c r="BZ41" s="355">
        <v>3800</v>
      </c>
      <c r="CA41" s="355">
        <v>7.17</v>
      </c>
      <c r="CB41" s="355">
        <v>1.35</v>
      </c>
      <c r="CC41" s="355">
        <v>1600</v>
      </c>
      <c r="CD41" s="355">
        <v>6.94</v>
      </c>
      <c r="CE41" s="355">
        <v>3.86</v>
      </c>
      <c r="CF41" s="355">
        <v>2700</v>
      </c>
      <c r="CG41" s="355">
        <v>7.49</v>
      </c>
      <c r="CH41" s="355">
        <v>1.62</v>
      </c>
      <c r="CI41" s="355">
        <v>1300</v>
      </c>
      <c r="CJ41" s="355">
        <v>6.84</v>
      </c>
      <c r="CK41" s="355">
        <v>3.34</v>
      </c>
      <c r="CL41" s="355">
        <v>3100</v>
      </c>
      <c r="CM41" s="205">
        <v>75.7</v>
      </c>
      <c r="CN41" s="205"/>
      <c r="CO41" s="13">
        <v>8</v>
      </c>
      <c r="CP41" s="10">
        <v>7.78</v>
      </c>
      <c r="CQ41" s="26">
        <v>2.3199999999999998</v>
      </c>
      <c r="CR41" s="11">
        <v>75.2</v>
      </c>
      <c r="CS41" s="10">
        <v>19.3</v>
      </c>
      <c r="CT41" s="10">
        <v>1.47</v>
      </c>
      <c r="CU41" s="12">
        <v>27.4</v>
      </c>
      <c r="CV41" s="8">
        <v>2.6</v>
      </c>
      <c r="CW41" s="8">
        <v>12</v>
      </c>
      <c r="CX41" s="8">
        <v>68</v>
      </c>
      <c r="CY41" s="13">
        <v>4</v>
      </c>
      <c r="CZ41" s="10">
        <v>7.66</v>
      </c>
      <c r="DA41" s="26">
        <v>2.41</v>
      </c>
      <c r="DB41" s="11">
        <v>74.400000000000006</v>
      </c>
      <c r="DC41" s="10">
        <v>23.1</v>
      </c>
      <c r="DD41" s="10">
        <v>1.78</v>
      </c>
      <c r="DE41" s="20">
        <v>21.6</v>
      </c>
      <c r="DF41" s="8">
        <v>2.35</v>
      </c>
      <c r="DG41" s="8">
        <v>13</v>
      </c>
      <c r="DH41" s="29">
        <v>53</v>
      </c>
      <c r="DI41" s="23"/>
      <c r="DJ41" s="21"/>
      <c r="DK41" s="21"/>
      <c r="DL41" s="22"/>
      <c r="DM41" s="21"/>
      <c r="DN41" s="21"/>
      <c r="DO41" s="23"/>
      <c r="DP41" s="23"/>
      <c r="DQ41" s="23"/>
      <c r="DR41" s="23"/>
      <c r="DS41" s="19">
        <v>4</v>
      </c>
      <c r="DT41" s="10">
        <v>7.59</v>
      </c>
      <c r="DU41" s="10">
        <v>2.42</v>
      </c>
      <c r="DV41" s="11">
        <v>75</v>
      </c>
      <c r="DW41" s="10">
        <v>26.3</v>
      </c>
      <c r="DX41" s="10">
        <v>1.89</v>
      </c>
      <c r="DY41" s="20">
        <v>19.399999999999999</v>
      </c>
      <c r="DZ41" s="8">
        <v>2.1</v>
      </c>
      <c r="EA41" s="30">
        <v>4</v>
      </c>
      <c r="EB41" s="30">
        <v>15</v>
      </c>
      <c r="EC41" s="30">
        <v>12</v>
      </c>
      <c r="ED41" s="8">
        <v>0</v>
      </c>
      <c r="EE41" s="30">
        <v>9</v>
      </c>
      <c r="EF41" s="30">
        <v>8</v>
      </c>
      <c r="EG41" s="30">
        <v>5</v>
      </c>
      <c r="EH41" s="30">
        <v>91</v>
      </c>
      <c r="EI41" s="30">
        <v>10</v>
      </c>
      <c r="EJ41" s="30">
        <v>0</v>
      </c>
      <c r="EK41" s="8">
        <f>EA41+EB41+EC41+ED41+EE41+EF41+EG41+EH41+EI41+EJ41</f>
        <v>154</v>
      </c>
      <c r="EL41" s="9">
        <v>26</v>
      </c>
      <c r="EM41" s="27">
        <v>29</v>
      </c>
      <c r="EN41" s="26">
        <v>7.37</v>
      </c>
      <c r="EO41" s="26">
        <v>2.78</v>
      </c>
      <c r="EP41" s="17">
        <v>67.3</v>
      </c>
      <c r="EQ41" s="26">
        <v>29.1</v>
      </c>
      <c r="ER41" s="26">
        <v>2.2400000000000002</v>
      </c>
      <c r="ES41" s="18">
        <v>15.8</v>
      </c>
      <c r="ET41" s="8">
        <v>1528</v>
      </c>
      <c r="EU41" s="8">
        <v>1483</v>
      </c>
      <c r="EV41" s="8">
        <v>1340</v>
      </c>
      <c r="EW41" s="8">
        <f t="shared" si="8"/>
        <v>4351</v>
      </c>
      <c r="EX41" s="23">
        <v>44</v>
      </c>
      <c r="EY41" s="342"/>
    </row>
    <row r="42" spans="1:155" s="401" customFormat="1" ht="17.100000000000001" customHeight="1" thickBot="1">
      <c r="A42" s="175"/>
      <c r="B42" s="400" t="s">
        <v>253</v>
      </c>
      <c r="C42" s="203" t="s">
        <v>96</v>
      </c>
      <c r="D42" s="318">
        <f t="shared" si="0"/>
        <v>61.777777777777779</v>
      </c>
      <c r="E42" s="321">
        <f t="shared" si="1"/>
        <v>38.222222222222221</v>
      </c>
      <c r="F42" s="321">
        <f t="shared" si="2"/>
        <v>0</v>
      </c>
      <c r="G42" s="324">
        <f t="shared" si="3"/>
        <v>0</v>
      </c>
      <c r="H42" s="307">
        <v>13.9</v>
      </c>
      <c r="I42" s="310">
        <v>0</v>
      </c>
      <c r="J42" s="310">
        <v>8.6</v>
      </c>
      <c r="K42" s="310">
        <v>0</v>
      </c>
      <c r="L42" s="310">
        <v>0</v>
      </c>
      <c r="M42" s="310">
        <v>8</v>
      </c>
      <c r="N42" s="310">
        <v>1.7</v>
      </c>
      <c r="O42" s="310">
        <v>0.2</v>
      </c>
      <c r="P42" s="302"/>
      <c r="Q42" s="304"/>
      <c r="R42" s="307"/>
      <c r="S42" s="310"/>
      <c r="T42" s="310"/>
      <c r="U42" s="310"/>
      <c r="V42" s="310"/>
      <c r="W42" s="310"/>
      <c r="X42" s="337"/>
      <c r="Y42" s="307">
        <f t="shared" si="78"/>
        <v>0</v>
      </c>
      <c r="Z42" s="310">
        <f t="shared" si="78"/>
        <v>0</v>
      </c>
      <c r="AA42" s="310">
        <f t="shared" si="78"/>
        <v>0</v>
      </c>
      <c r="AB42" s="310">
        <f t="shared" si="78"/>
        <v>0</v>
      </c>
      <c r="AC42" s="310">
        <f t="shared" si="78"/>
        <v>0</v>
      </c>
      <c r="AD42" s="310">
        <f t="shared" si="78"/>
        <v>0</v>
      </c>
      <c r="AE42" s="337">
        <f>N42*X42*10</f>
        <v>0</v>
      </c>
      <c r="AF42" s="307"/>
      <c r="AG42" s="302"/>
      <c r="AH42" s="302"/>
      <c r="AI42" s="302"/>
      <c r="AJ42" s="302"/>
      <c r="AK42" s="302"/>
      <c r="AL42" s="304"/>
      <c r="AM42" s="334"/>
      <c r="AN42" s="302"/>
      <c r="AO42" s="302"/>
      <c r="AP42" s="302"/>
      <c r="AQ42" s="302"/>
      <c r="AR42" s="302"/>
      <c r="AS42" s="302"/>
      <c r="AT42" s="307"/>
      <c r="AU42" s="310"/>
      <c r="AV42" s="310"/>
      <c r="AW42" s="310"/>
      <c r="AX42" s="310"/>
      <c r="AY42" s="310"/>
      <c r="AZ42" s="337"/>
      <c r="BA42" s="334"/>
      <c r="BB42" s="334"/>
      <c r="BC42" s="334"/>
      <c r="BD42" s="334"/>
      <c r="BE42" s="334"/>
      <c r="BF42" s="334"/>
      <c r="BG42" s="334"/>
      <c r="BH42" s="334"/>
      <c r="BI42" s="302"/>
      <c r="BJ42" s="302"/>
      <c r="BK42" s="302"/>
      <c r="BL42" s="302"/>
      <c r="BM42" s="302"/>
      <c r="BN42" s="304"/>
      <c r="BO42" s="217">
        <v>73.599999999999994</v>
      </c>
      <c r="BP42" s="217">
        <v>0.54100000000000004</v>
      </c>
      <c r="BQ42" s="217">
        <v>4.01</v>
      </c>
      <c r="BR42" s="217">
        <v>72.900000000000006</v>
      </c>
      <c r="BS42" s="340">
        <v>0.45100000000000001</v>
      </c>
      <c r="BT42" s="217">
        <v>4.1900000000000004</v>
      </c>
      <c r="BU42" s="312">
        <v>7.39</v>
      </c>
      <c r="BV42" s="312">
        <v>1.51</v>
      </c>
      <c r="BW42" s="312">
        <v>1300</v>
      </c>
      <c r="BX42" s="312">
        <v>6.53</v>
      </c>
      <c r="BY42" s="312">
        <v>4.33</v>
      </c>
      <c r="BZ42" s="312">
        <v>3800</v>
      </c>
      <c r="CA42" s="312">
        <v>7.17</v>
      </c>
      <c r="CB42" s="312">
        <v>1.35</v>
      </c>
      <c r="CC42" s="312">
        <v>1600</v>
      </c>
      <c r="CD42" s="312">
        <v>6.94</v>
      </c>
      <c r="CE42" s="312">
        <v>3.86</v>
      </c>
      <c r="CF42" s="312">
        <v>2700</v>
      </c>
      <c r="CG42" s="312">
        <v>7.49</v>
      </c>
      <c r="CH42" s="312">
        <v>1.62</v>
      </c>
      <c r="CI42" s="312">
        <v>1300</v>
      </c>
      <c r="CJ42" s="312">
        <v>6.84</v>
      </c>
      <c r="CK42" s="312">
        <v>3.34</v>
      </c>
      <c r="CL42" s="312">
        <v>3100</v>
      </c>
      <c r="CM42" s="221">
        <v>76.099999999999994</v>
      </c>
      <c r="CN42" s="221"/>
      <c r="CO42" s="98"/>
      <c r="CP42" s="99"/>
      <c r="CQ42" s="99"/>
      <c r="CR42" s="100"/>
      <c r="CS42" s="99"/>
      <c r="CT42" s="99"/>
      <c r="CU42" s="101"/>
      <c r="CV42" s="102"/>
      <c r="CW42" s="102"/>
      <c r="CX42" s="102"/>
      <c r="CY42" s="103"/>
      <c r="CZ42" s="99"/>
      <c r="DA42" s="99"/>
      <c r="DB42" s="100"/>
      <c r="DC42" s="99"/>
      <c r="DD42" s="99"/>
      <c r="DE42" s="104"/>
      <c r="DF42" s="102"/>
      <c r="DG42" s="102"/>
      <c r="DH42" s="119"/>
      <c r="DI42" s="101"/>
      <c r="DJ42" s="99"/>
      <c r="DK42" s="99"/>
      <c r="DL42" s="100"/>
      <c r="DM42" s="99"/>
      <c r="DN42" s="99"/>
      <c r="DO42" s="101"/>
      <c r="DP42" s="102"/>
      <c r="DQ42" s="102"/>
      <c r="DR42" s="102"/>
      <c r="DS42" s="105"/>
      <c r="DT42" s="99"/>
      <c r="DU42" s="99"/>
      <c r="DV42" s="100"/>
      <c r="DW42" s="99"/>
      <c r="DX42" s="99"/>
      <c r="DY42" s="104"/>
      <c r="DZ42" s="102"/>
      <c r="EA42" s="125"/>
      <c r="EB42" s="125"/>
      <c r="EC42" s="125"/>
      <c r="ED42" s="102"/>
      <c r="EE42" s="125"/>
      <c r="EF42" s="125"/>
      <c r="EG42" s="125"/>
      <c r="EH42" s="125"/>
      <c r="EI42" s="125"/>
      <c r="EJ42" s="125"/>
      <c r="EK42" s="102"/>
      <c r="EL42" s="106" t="s">
        <v>138</v>
      </c>
      <c r="EM42" s="126">
        <v>23</v>
      </c>
      <c r="EN42" s="107">
        <v>7.4</v>
      </c>
      <c r="EO42" s="107">
        <v>2.83</v>
      </c>
      <c r="EP42" s="108">
        <v>68</v>
      </c>
      <c r="EQ42" s="107">
        <v>29.8</v>
      </c>
      <c r="ER42" s="107">
        <v>2.21</v>
      </c>
      <c r="ES42" s="102" t="s">
        <v>139</v>
      </c>
      <c r="ET42" s="102">
        <v>1668</v>
      </c>
      <c r="EU42" s="102">
        <v>1616</v>
      </c>
      <c r="EV42" s="102">
        <v>891</v>
      </c>
      <c r="EW42" s="102">
        <f t="shared" si="8"/>
        <v>4175</v>
      </c>
      <c r="EX42" s="101">
        <v>53</v>
      </c>
      <c r="EY42" s="343"/>
    </row>
    <row r="43" spans="1:155" s="398" customFormat="1" ht="17.100000000000001" customHeight="1">
      <c r="A43" s="173">
        <v>10</v>
      </c>
      <c r="B43" s="397" t="s">
        <v>254</v>
      </c>
      <c r="C43" s="201" t="s">
        <v>96</v>
      </c>
      <c r="D43" s="316">
        <f t="shared" si="0"/>
        <v>61.777777777777779</v>
      </c>
      <c r="E43" s="319">
        <f t="shared" si="1"/>
        <v>38.222222222222221</v>
      </c>
      <c r="F43" s="319">
        <f t="shared" si="2"/>
        <v>0</v>
      </c>
      <c r="G43" s="322">
        <f t="shared" si="3"/>
        <v>0</v>
      </c>
      <c r="H43" s="305">
        <v>13.9</v>
      </c>
      <c r="I43" s="308">
        <v>0</v>
      </c>
      <c r="J43" s="308">
        <v>8.6</v>
      </c>
      <c r="K43" s="308">
        <v>0</v>
      </c>
      <c r="L43" s="308">
        <v>0</v>
      </c>
      <c r="M43" s="308">
        <v>8.3000000000000007</v>
      </c>
      <c r="N43" s="308">
        <v>1.7</v>
      </c>
      <c r="O43" s="308">
        <v>0.25</v>
      </c>
      <c r="P43" s="301"/>
      <c r="Q43" s="303"/>
      <c r="R43" s="305">
        <v>0.91</v>
      </c>
      <c r="S43" s="308">
        <v>0</v>
      </c>
      <c r="T43" s="308">
        <v>0.42</v>
      </c>
      <c r="U43" s="308">
        <v>0</v>
      </c>
      <c r="V43" s="308">
        <v>0</v>
      </c>
      <c r="W43" s="308">
        <v>3.15</v>
      </c>
      <c r="X43" s="335">
        <v>20.5</v>
      </c>
      <c r="Y43" s="305">
        <f t="shared" si="78"/>
        <v>126.49000000000001</v>
      </c>
      <c r="Z43" s="308">
        <f t="shared" si="78"/>
        <v>0</v>
      </c>
      <c r="AA43" s="308">
        <f t="shared" si="78"/>
        <v>36.119999999999997</v>
      </c>
      <c r="AB43" s="308">
        <f t="shared" si="78"/>
        <v>0</v>
      </c>
      <c r="AC43" s="308">
        <f t="shared" si="78"/>
        <v>0</v>
      </c>
      <c r="AD43" s="308">
        <f t="shared" si="78"/>
        <v>261.45000000000005</v>
      </c>
      <c r="AE43" s="335">
        <f>O43*X43*10</f>
        <v>51.25</v>
      </c>
      <c r="AF43" s="305">
        <v>11.5</v>
      </c>
      <c r="AG43" s="301">
        <v>0</v>
      </c>
      <c r="AH43" s="301">
        <v>1.8</v>
      </c>
      <c r="AI43" s="301">
        <v>0</v>
      </c>
      <c r="AJ43" s="301">
        <v>0</v>
      </c>
      <c r="AK43" s="301">
        <v>28.6</v>
      </c>
      <c r="AL43" s="303">
        <v>84.4</v>
      </c>
      <c r="AM43" s="332">
        <f>H43*AF43*10</f>
        <v>1598.5</v>
      </c>
      <c r="AN43" s="301">
        <f t="shared" ref="AN43:AS43" si="89">I43*AG43*10</f>
        <v>0</v>
      </c>
      <c r="AO43" s="301">
        <f t="shared" si="89"/>
        <v>154.80000000000001</v>
      </c>
      <c r="AP43" s="301">
        <f t="shared" si="89"/>
        <v>0</v>
      </c>
      <c r="AQ43" s="301">
        <f t="shared" si="89"/>
        <v>0</v>
      </c>
      <c r="AR43" s="301">
        <f t="shared" si="89"/>
        <v>2373.8000000000002</v>
      </c>
      <c r="AS43" s="301">
        <f t="shared" si="89"/>
        <v>1434.8000000000002</v>
      </c>
      <c r="AT43" s="305">
        <v>12.6</v>
      </c>
      <c r="AU43" s="308">
        <v>0</v>
      </c>
      <c r="AV43" s="308">
        <v>52.3</v>
      </c>
      <c r="AW43" s="308">
        <v>0</v>
      </c>
      <c r="AX43" s="308">
        <v>0</v>
      </c>
      <c r="AY43" s="308">
        <v>20.8</v>
      </c>
      <c r="AZ43" s="335">
        <v>27.2</v>
      </c>
      <c r="BA43" s="332">
        <f t="shared" ref="BA43:BG43" si="90">(H43*3*1000)/(1-AT43/100)</f>
        <v>47711.670480549197</v>
      </c>
      <c r="BB43" s="332">
        <f t="shared" si="90"/>
        <v>0</v>
      </c>
      <c r="BC43" s="332">
        <f t="shared" si="90"/>
        <v>54088.050314465407</v>
      </c>
      <c r="BD43" s="332">
        <f t="shared" si="90"/>
        <v>0</v>
      </c>
      <c r="BE43" s="332">
        <f t="shared" si="90"/>
        <v>0</v>
      </c>
      <c r="BF43" s="332">
        <f t="shared" si="90"/>
        <v>31439.393939393944</v>
      </c>
      <c r="BG43" s="332">
        <f t="shared" si="90"/>
        <v>7005.4945054945056</v>
      </c>
      <c r="BH43" s="332">
        <f t="shared" ref="BH43" si="91">H43+I43+J43+K43+L43</f>
        <v>22.5</v>
      </c>
      <c r="BI43" s="301">
        <f t="shared" ref="BI43" si="92">M43+N43+O43</f>
        <v>10.25</v>
      </c>
      <c r="BJ43" s="301">
        <f t="shared" ref="BJ43" si="93">BH43+BI43</f>
        <v>32.75</v>
      </c>
      <c r="BK43" s="301">
        <f t="shared" ref="BK43" si="94">Y43+Z43+AA43+AB43+AC43+AD43+AE43</f>
        <v>475.31000000000006</v>
      </c>
      <c r="BL43" s="301">
        <f t="shared" ref="BL43" si="95">AM43+AN43+AO43+AP43+AQ43+AR43+AS43</f>
        <v>5561.9000000000005</v>
      </c>
      <c r="BM43" s="301">
        <f t="shared" ref="BM43" si="96">BJ43*3*1000</f>
        <v>98250</v>
      </c>
      <c r="BN43" s="303">
        <f t="shared" ref="BN43" si="97">BA43+BB43+BC43+BD43+BE43+BF43+BG43</f>
        <v>140244.60923990307</v>
      </c>
      <c r="BO43" s="216">
        <v>75.2</v>
      </c>
      <c r="BP43" s="216">
        <v>0.76300000000000001</v>
      </c>
      <c r="BQ43" s="216">
        <v>4.26</v>
      </c>
      <c r="BR43" s="216">
        <v>72.7</v>
      </c>
      <c r="BS43" s="338">
        <v>0.63400000000000001</v>
      </c>
      <c r="BT43" s="216">
        <v>4.5199999999999996</v>
      </c>
      <c r="BU43" s="354">
        <v>7.24</v>
      </c>
      <c r="BV43" s="354">
        <v>1.47</v>
      </c>
      <c r="BW43" s="354">
        <v>1380</v>
      </c>
      <c r="BX43" s="354">
        <v>6.02</v>
      </c>
      <c r="BY43" s="354">
        <v>7.96</v>
      </c>
      <c r="BZ43" s="354">
        <v>6400</v>
      </c>
      <c r="CA43" s="354">
        <v>7.09</v>
      </c>
      <c r="CB43" s="354">
        <v>1.47</v>
      </c>
      <c r="CC43" s="354">
        <v>1410</v>
      </c>
      <c r="CD43" s="354">
        <v>7.37</v>
      </c>
      <c r="CE43" s="354">
        <v>4.16</v>
      </c>
      <c r="CF43" s="354">
        <v>3400</v>
      </c>
      <c r="CG43" s="354">
        <v>7.08</v>
      </c>
      <c r="CH43" s="354">
        <v>1.42</v>
      </c>
      <c r="CI43" s="354">
        <v>1500</v>
      </c>
      <c r="CJ43" s="354">
        <v>6.8</v>
      </c>
      <c r="CK43" s="354">
        <v>3.14</v>
      </c>
      <c r="CL43" s="354">
        <v>2900</v>
      </c>
      <c r="CM43" s="220">
        <v>76.599999999999994</v>
      </c>
      <c r="CN43" s="220">
        <v>76.099999999999994</v>
      </c>
      <c r="CO43" s="75">
        <v>9</v>
      </c>
      <c r="CP43" s="76">
        <v>7.76</v>
      </c>
      <c r="CQ43" s="111">
        <v>2.33</v>
      </c>
      <c r="CR43" s="77">
        <v>76</v>
      </c>
      <c r="CS43" s="76">
        <v>18.399999999999999</v>
      </c>
      <c r="CT43" s="76">
        <v>1.59</v>
      </c>
      <c r="CU43" s="78">
        <v>25.6</v>
      </c>
      <c r="CV43" s="79">
        <v>2.7</v>
      </c>
      <c r="CW43" s="79">
        <v>8</v>
      </c>
      <c r="CX43" s="79">
        <v>73</v>
      </c>
      <c r="CY43" s="75">
        <v>5</v>
      </c>
      <c r="CZ43" s="76">
        <v>7.61</v>
      </c>
      <c r="DA43" s="76">
        <v>2.44</v>
      </c>
      <c r="DB43" s="77">
        <v>74.7</v>
      </c>
      <c r="DC43" s="76">
        <v>23.3</v>
      </c>
      <c r="DD43" s="76">
        <v>1.75</v>
      </c>
      <c r="DE43" s="86">
        <v>21.9</v>
      </c>
      <c r="DF43" s="79">
        <v>2.4</v>
      </c>
      <c r="DG43" s="79">
        <v>24</v>
      </c>
      <c r="DH43" s="79">
        <v>35</v>
      </c>
      <c r="DI43" s="75">
        <v>1</v>
      </c>
      <c r="DJ43" s="76">
        <v>7.58</v>
      </c>
      <c r="DK43" s="76">
        <v>2.46</v>
      </c>
      <c r="DL43" s="77">
        <v>74.2</v>
      </c>
      <c r="DM43" s="76">
        <v>23.4</v>
      </c>
      <c r="DN43" s="76">
        <v>1.79</v>
      </c>
      <c r="DO43" s="78">
        <v>21.3</v>
      </c>
      <c r="DP43" s="79">
        <v>2.2000000000000002</v>
      </c>
      <c r="DQ43" s="79">
        <v>11</v>
      </c>
      <c r="DR43" s="79">
        <v>15</v>
      </c>
      <c r="DS43" s="85">
        <v>5</v>
      </c>
      <c r="DT43" s="76">
        <v>7.57</v>
      </c>
      <c r="DU43" s="76">
        <v>2.48</v>
      </c>
      <c r="DV43" s="77">
        <v>74.8</v>
      </c>
      <c r="DW43" s="76">
        <v>25.1</v>
      </c>
      <c r="DX43" s="76">
        <v>1.89</v>
      </c>
      <c r="DY43" s="86">
        <v>19.8</v>
      </c>
      <c r="DZ43" s="79">
        <v>1.7</v>
      </c>
      <c r="EA43" s="124">
        <v>5</v>
      </c>
      <c r="EB43" s="124">
        <v>14</v>
      </c>
      <c r="EC43" s="124">
        <v>11</v>
      </c>
      <c r="ED43" s="124">
        <v>2</v>
      </c>
      <c r="EE43" s="124">
        <v>9</v>
      </c>
      <c r="EF43" s="124">
        <v>12</v>
      </c>
      <c r="EG43" s="124">
        <v>0</v>
      </c>
      <c r="EH43" s="124">
        <v>81</v>
      </c>
      <c r="EI43" s="124">
        <v>8</v>
      </c>
      <c r="EJ43" s="124">
        <v>0</v>
      </c>
      <c r="EK43" s="79">
        <f t="shared" ref="EK43:EK45" si="98">EA43+EB43+EC43+ED43+EE43+EF43+EG43+EH43+EI43+EJ43</f>
        <v>142</v>
      </c>
      <c r="EL43" s="87">
        <v>28</v>
      </c>
      <c r="EM43" s="79">
        <v>66</v>
      </c>
      <c r="EN43" s="76">
        <v>7.49</v>
      </c>
      <c r="EO43" s="76">
        <v>2.83</v>
      </c>
      <c r="EP43" s="77">
        <v>66.8</v>
      </c>
      <c r="EQ43" s="76">
        <v>28.8</v>
      </c>
      <c r="ER43" s="76">
        <v>2.17</v>
      </c>
      <c r="ES43" s="78">
        <v>16.399999999999999</v>
      </c>
      <c r="ET43" s="79">
        <v>5335</v>
      </c>
      <c r="EU43" s="79">
        <v>3542</v>
      </c>
      <c r="EV43" s="79">
        <v>617</v>
      </c>
      <c r="EW43" s="79">
        <f t="shared" si="8"/>
        <v>9494</v>
      </c>
      <c r="EX43" s="121">
        <v>48</v>
      </c>
      <c r="EY43" s="341">
        <f>EW43+EW44+EW45+EW46</f>
        <v>36019</v>
      </c>
    </row>
    <row r="44" spans="1:155" ht="17.100000000000001" customHeight="1">
      <c r="A44" s="174"/>
      <c r="B44" s="397" t="s">
        <v>254</v>
      </c>
      <c r="C44" s="202" t="s">
        <v>96</v>
      </c>
      <c r="D44" s="317">
        <f t="shared" si="0"/>
        <v>61.777777777777779</v>
      </c>
      <c r="E44" s="320">
        <f t="shared" si="1"/>
        <v>38.222222222222221</v>
      </c>
      <c r="F44" s="320">
        <f t="shared" si="2"/>
        <v>0</v>
      </c>
      <c r="G44" s="323">
        <f t="shared" si="3"/>
        <v>0</v>
      </c>
      <c r="H44" s="306">
        <v>13.9</v>
      </c>
      <c r="I44" s="309">
        <v>0</v>
      </c>
      <c r="J44" s="309">
        <v>8.6</v>
      </c>
      <c r="K44" s="309">
        <v>0</v>
      </c>
      <c r="L44" s="309">
        <v>0</v>
      </c>
      <c r="M44" s="309"/>
      <c r="N44" s="309"/>
      <c r="O44" s="309"/>
      <c r="P44" s="211"/>
      <c r="Q44" s="214"/>
      <c r="R44" s="306"/>
      <c r="S44" s="309"/>
      <c r="T44" s="309"/>
      <c r="U44" s="309"/>
      <c r="V44" s="309"/>
      <c r="W44" s="309"/>
      <c r="X44" s="336"/>
      <c r="Y44" s="306">
        <f t="shared" si="78"/>
        <v>0</v>
      </c>
      <c r="Z44" s="309">
        <f t="shared" si="78"/>
        <v>0</v>
      </c>
      <c r="AA44" s="309">
        <f t="shared" si="78"/>
        <v>0</v>
      </c>
      <c r="AB44" s="309">
        <f t="shared" si="78"/>
        <v>0</v>
      </c>
      <c r="AC44" s="309">
        <f t="shared" si="78"/>
        <v>0</v>
      </c>
      <c r="AD44" s="309">
        <f t="shared" si="78"/>
        <v>0</v>
      </c>
      <c r="AE44" s="336">
        <f>N44*X44*10</f>
        <v>0</v>
      </c>
      <c r="AF44" s="306"/>
      <c r="AG44" s="211"/>
      <c r="AH44" s="211"/>
      <c r="AI44" s="211"/>
      <c r="AJ44" s="211"/>
      <c r="AK44" s="211"/>
      <c r="AL44" s="214"/>
      <c r="AM44" s="333"/>
      <c r="AN44" s="211"/>
      <c r="AO44" s="211"/>
      <c r="AP44" s="211"/>
      <c r="AQ44" s="211"/>
      <c r="AR44" s="211"/>
      <c r="AS44" s="211"/>
      <c r="AT44" s="306"/>
      <c r="AU44" s="309"/>
      <c r="AV44" s="309"/>
      <c r="AW44" s="309"/>
      <c r="AX44" s="309"/>
      <c r="AY44" s="309"/>
      <c r="AZ44" s="336"/>
      <c r="BA44" s="333"/>
      <c r="BB44" s="333"/>
      <c r="BC44" s="333"/>
      <c r="BD44" s="333"/>
      <c r="BE44" s="333"/>
      <c r="BF44" s="333"/>
      <c r="BG44" s="333"/>
      <c r="BH44" s="333"/>
      <c r="BI44" s="211"/>
      <c r="BJ44" s="211"/>
      <c r="BK44" s="211"/>
      <c r="BL44" s="211"/>
      <c r="BM44" s="211"/>
      <c r="BN44" s="214"/>
      <c r="BO44" s="196">
        <v>72</v>
      </c>
      <c r="BP44" s="196">
        <v>0.501</v>
      </c>
      <c r="BQ44" s="196">
        <v>4.8899999999999997</v>
      </c>
      <c r="BR44" s="196">
        <v>71.599999999999994</v>
      </c>
      <c r="BS44" s="339">
        <v>0.56399999999999995</v>
      </c>
      <c r="BT44" s="196">
        <v>4.05</v>
      </c>
      <c r="BU44" s="355">
        <v>7.24</v>
      </c>
      <c r="BV44" s="355">
        <v>1.47</v>
      </c>
      <c r="BW44" s="355">
        <v>1380</v>
      </c>
      <c r="BX44" s="355">
        <v>6.02</v>
      </c>
      <c r="BY44" s="355">
        <v>7.96</v>
      </c>
      <c r="BZ44" s="355">
        <v>6400</v>
      </c>
      <c r="CA44" s="355">
        <v>7.09</v>
      </c>
      <c r="CB44" s="355">
        <v>1.47</v>
      </c>
      <c r="CC44" s="355">
        <v>1410</v>
      </c>
      <c r="CD44" s="355">
        <v>7.37</v>
      </c>
      <c r="CE44" s="355">
        <v>4.16</v>
      </c>
      <c r="CF44" s="355">
        <v>3400</v>
      </c>
      <c r="CG44" s="355">
        <v>7.08</v>
      </c>
      <c r="CH44" s="355">
        <v>1.42</v>
      </c>
      <c r="CI44" s="355">
        <v>1500</v>
      </c>
      <c r="CJ44" s="355">
        <v>6.8</v>
      </c>
      <c r="CK44" s="355">
        <v>3.14</v>
      </c>
      <c r="CL44" s="355">
        <v>2900</v>
      </c>
      <c r="CM44" s="205">
        <v>76.5</v>
      </c>
      <c r="CN44" s="205"/>
      <c r="CO44" s="13">
        <v>10</v>
      </c>
      <c r="CP44" s="10">
        <v>7.76</v>
      </c>
      <c r="CQ44" s="26">
        <v>2.33</v>
      </c>
      <c r="CR44" s="11">
        <v>76</v>
      </c>
      <c r="CS44" s="10">
        <v>18.399999999999999</v>
      </c>
      <c r="CT44" s="10">
        <v>1.59</v>
      </c>
      <c r="CU44" s="12">
        <v>25.6</v>
      </c>
      <c r="CV44" s="8">
        <v>2.7</v>
      </c>
      <c r="CW44" s="8">
        <v>11</v>
      </c>
      <c r="CX44" s="8">
        <v>64</v>
      </c>
      <c r="CY44" s="13">
        <v>9</v>
      </c>
      <c r="CZ44" s="10">
        <v>7.61</v>
      </c>
      <c r="DA44" s="10">
        <v>2.44</v>
      </c>
      <c r="DB44" s="11">
        <v>74.7</v>
      </c>
      <c r="DC44" s="10">
        <v>23.3</v>
      </c>
      <c r="DD44" s="10">
        <v>1.75</v>
      </c>
      <c r="DE44" s="20">
        <v>21.9</v>
      </c>
      <c r="DF44" s="8">
        <v>2.4</v>
      </c>
      <c r="DG44" s="8">
        <v>15</v>
      </c>
      <c r="DH44" s="8">
        <v>40</v>
      </c>
      <c r="DI44" s="13">
        <v>2</v>
      </c>
      <c r="DJ44" s="10">
        <v>7.58</v>
      </c>
      <c r="DK44" s="10">
        <v>2.46</v>
      </c>
      <c r="DL44" s="11">
        <v>74.2</v>
      </c>
      <c r="DM44" s="10">
        <v>23.4</v>
      </c>
      <c r="DN44" s="10">
        <v>1.79</v>
      </c>
      <c r="DO44" s="12">
        <v>21.3</v>
      </c>
      <c r="DP44" s="8">
        <v>2.2000000000000002</v>
      </c>
      <c r="DQ44" s="8">
        <v>11</v>
      </c>
      <c r="DR44" s="8">
        <v>12</v>
      </c>
      <c r="DS44" s="19">
        <v>6</v>
      </c>
      <c r="DT44" s="10">
        <v>7.57</v>
      </c>
      <c r="DU44" s="10">
        <v>2.48</v>
      </c>
      <c r="DV44" s="11">
        <v>74.8</v>
      </c>
      <c r="DW44" s="10">
        <v>25.1</v>
      </c>
      <c r="DX44" s="10">
        <v>1.89</v>
      </c>
      <c r="DY44" s="20">
        <v>19.8</v>
      </c>
      <c r="DZ44" s="8">
        <v>1.9</v>
      </c>
      <c r="EA44" s="30">
        <v>8</v>
      </c>
      <c r="EB44" s="30">
        <v>11</v>
      </c>
      <c r="EC44" s="30">
        <v>18</v>
      </c>
      <c r="ED44" s="30">
        <v>1</v>
      </c>
      <c r="EE44" s="30">
        <v>9</v>
      </c>
      <c r="EF44" s="30">
        <v>8</v>
      </c>
      <c r="EG44" s="30">
        <v>5</v>
      </c>
      <c r="EH44" s="30">
        <v>86</v>
      </c>
      <c r="EI44" s="30">
        <v>10</v>
      </c>
      <c r="EJ44" s="30">
        <v>3</v>
      </c>
      <c r="EK44" s="8">
        <f t="shared" si="98"/>
        <v>159</v>
      </c>
      <c r="EL44" s="9">
        <v>29</v>
      </c>
      <c r="EM44" s="8">
        <v>41</v>
      </c>
      <c r="EN44" s="10">
        <v>7.44</v>
      </c>
      <c r="EO44" s="10">
        <v>2.8</v>
      </c>
      <c r="EP44" s="11">
        <v>67</v>
      </c>
      <c r="EQ44" s="10">
        <v>28.6</v>
      </c>
      <c r="ER44" s="10">
        <v>2.17</v>
      </c>
      <c r="ES44" s="12">
        <v>16.399999999999999</v>
      </c>
      <c r="ET44" s="8">
        <v>5685</v>
      </c>
      <c r="EU44" s="8">
        <v>3233</v>
      </c>
      <c r="EV44" s="8">
        <v>0</v>
      </c>
      <c r="EW44" s="8">
        <f t="shared" si="8"/>
        <v>8918</v>
      </c>
      <c r="EX44" s="23">
        <v>48</v>
      </c>
      <c r="EY44" s="342"/>
    </row>
    <row r="45" spans="1:155" ht="17.100000000000001" customHeight="1">
      <c r="A45" s="174"/>
      <c r="B45" s="397" t="s">
        <v>254</v>
      </c>
      <c r="C45" s="202" t="s">
        <v>96</v>
      </c>
      <c r="D45" s="317">
        <f t="shared" si="0"/>
        <v>61.777777777777779</v>
      </c>
      <c r="E45" s="320">
        <f t="shared" si="1"/>
        <v>38.222222222222221</v>
      </c>
      <c r="F45" s="320">
        <f t="shared" si="2"/>
        <v>0</v>
      </c>
      <c r="G45" s="323">
        <f t="shared" si="3"/>
        <v>0</v>
      </c>
      <c r="H45" s="306">
        <v>13.9</v>
      </c>
      <c r="I45" s="309">
        <v>0</v>
      </c>
      <c r="J45" s="309">
        <v>8.6</v>
      </c>
      <c r="K45" s="309">
        <v>0</v>
      </c>
      <c r="L45" s="309">
        <v>0</v>
      </c>
      <c r="M45" s="309"/>
      <c r="N45" s="309"/>
      <c r="O45" s="309"/>
      <c r="P45" s="211"/>
      <c r="Q45" s="214"/>
      <c r="R45" s="306"/>
      <c r="S45" s="309"/>
      <c r="T45" s="309"/>
      <c r="U45" s="309"/>
      <c r="V45" s="309"/>
      <c r="W45" s="309"/>
      <c r="X45" s="336"/>
      <c r="Y45" s="306">
        <f t="shared" si="78"/>
        <v>0</v>
      </c>
      <c r="Z45" s="309">
        <f t="shared" si="78"/>
        <v>0</v>
      </c>
      <c r="AA45" s="309">
        <f t="shared" si="78"/>
        <v>0</v>
      </c>
      <c r="AB45" s="309">
        <f t="shared" si="78"/>
        <v>0</v>
      </c>
      <c r="AC45" s="309">
        <f t="shared" si="78"/>
        <v>0</v>
      </c>
      <c r="AD45" s="309">
        <f t="shared" si="78"/>
        <v>0</v>
      </c>
      <c r="AE45" s="336">
        <f>N45*X45*10</f>
        <v>0</v>
      </c>
      <c r="AF45" s="306"/>
      <c r="AG45" s="211"/>
      <c r="AH45" s="211"/>
      <c r="AI45" s="211"/>
      <c r="AJ45" s="211"/>
      <c r="AK45" s="211"/>
      <c r="AL45" s="214"/>
      <c r="AM45" s="333"/>
      <c r="AN45" s="211"/>
      <c r="AO45" s="211"/>
      <c r="AP45" s="211"/>
      <c r="AQ45" s="211"/>
      <c r="AR45" s="211"/>
      <c r="AS45" s="211"/>
      <c r="AT45" s="306"/>
      <c r="AU45" s="309"/>
      <c r="AV45" s="309"/>
      <c r="AW45" s="309"/>
      <c r="AX45" s="309"/>
      <c r="AY45" s="309"/>
      <c r="AZ45" s="336"/>
      <c r="BA45" s="333"/>
      <c r="BB45" s="333"/>
      <c r="BC45" s="333"/>
      <c r="BD45" s="333"/>
      <c r="BE45" s="333"/>
      <c r="BF45" s="333"/>
      <c r="BG45" s="333"/>
      <c r="BH45" s="333"/>
      <c r="BI45" s="211"/>
      <c r="BJ45" s="211"/>
      <c r="BK45" s="211"/>
      <c r="BL45" s="211"/>
      <c r="BM45" s="211"/>
      <c r="BN45" s="214"/>
      <c r="BO45" s="196">
        <v>70.400000000000006</v>
      </c>
      <c r="BP45" s="196">
        <v>0.65500000000000003</v>
      </c>
      <c r="BQ45" s="196">
        <v>3.42</v>
      </c>
      <c r="BR45" s="196">
        <v>69.8</v>
      </c>
      <c r="BS45" s="339">
        <v>0.57199999999999995</v>
      </c>
      <c r="BT45" s="196">
        <v>3.38</v>
      </c>
      <c r="BU45" s="355">
        <v>7.24</v>
      </c>
      <c r="BV45" s="355">
        <v>1.47</v>
      </c>
      <c r="BW45" s="355">
        <v>1380</v>
      </c>
      <c r="BX45" s="355">
        <v>6.02</v>
      </c>
      <c r="BY45" s="355">
        <v>7.96</v>
      </c>
      <c r="BZ45" s="355">
        <v>6400</v>
      </c>
      <c r="CA45" s="355">
        <v>7.09</v>
      </c>
      <c r="CB45" s="355">
        <v>1.47</v>
      </c>
      <c r="CC45" s="355">
        <v>1410</v>
      </c>
      <c r="CD45" s="355">
        <v>7.37</v>
      </c>
      <c r="CE45" s="355">
        <v>4.16</v>
      </c>
      <c r="CF45" s="355">
        <v>3400</v>
      </c>
      <c r="CG45" s="355">
        <v>7.08</v>
      </c>
      <c r="CH45" s="355">
        <v>1.42</v>
      </c>
      <c r="CI45" s="355">
        <v>1500</v>
      </c>
      <c r="CJ45" s="355">
        <v>6.8</v>
      </c>
      <c r="CK45" s="355">
        <v>3.14</v>
      </c>
      <c r="CL45" s="355">
        <v>2900</v>
      </c>
      <c r="CM45" s="205">
        <v>76</v>
      </c>
      <c r="CN45" s="205"/>
      <c r="CO45" s="13">
        <v>11</v>
      </c>
      <c r="CP45" s="10">
        <v>7.76</v>
      </c>
      <c r="CQ45" s="26">
        <v>2.33</v>
      </c>
      <c r="CR45" s="11">
        <v>76</v>
      </c>
      <c r="CS45" s="10">
        <v>18.399999999999999</v>
      </c>
      <c r="CT45" s="10">
        <v>1.59</v>
      </c>
      <c r="CU45" s="12">
        <v>25.6</v>
      </c>
      <c r="CV45" s="8">
        <v>2.7</v>
      </c>
      <c r="CW45" s="8">
        <v>7</v>
      </c>
      <c r="CX45" s="8">
        <v>63</v>
      </c>
      <c r="CY45" s="13">
        <v>10</v>
      </c>
      <c r="CZ45" s="10">
        <v>7.61</v>
      </c>
      <c r="DA45" s="10">
        <v>2.44</v>
      </c>
      <c r="DB45" s="11">
        <v>74.7</v>
      </c>
      <c r="DC45" s="10">
        <v>23.3</v>
      </c>
      <c r="DD45" s="10">
        <v>1.75</v>
      </c>
      <c r="DE45" s="20">
        <v>21.9</v>
      </c>
      <c r="DF45" s="8">
        <v>2.4</v>
      </c>
      <c r="DG45" s="8">
        <v>15</v>
      </c>
      <c r="DH45" s="8">
        <v>37</v>
      </c>
      <c r="DI45" s="13">
        <v>5</v>
      </c>
      <c r="DJ45" s="10">
        <v>7.58</v>
      </c>
      <c r="DK45" s="10">
        <v>2.46</v>
      </c>
      <c r="DL45" s="11">
        <v>74.2</v>
      </c>
      <c r="DM45" s="10">
        <v>23.4</v>
      </c>
      <c r="DN45" s="10">
        <v>1.79</v>
      </c>
      <c r="DO45" s="12">
        <v>21.3</v>
      </c>
      <c r="DP45" s="8">
        <v>2.2000000000000002</v>
      </c>
      <c r="DQ45" s="8"/>
      <c r="DR45" s="23"/>
      <c r="DS45" s="19">
        <v>10</v>
      </c>
      <c r="DT45" s="10">
        <v>7.57</v>
      </c>
      <c r="DU45" s="10">
        <v>2.48</v>
      </c>
      <c r="DV45" s="11">
        <v>74.8</v>
      </c>
      <c r="DW45" s="10">
        <v>25.1</v>
      </c>
      <c r="DX45" s="10">
        <v>1.89</v>
      </c>
      <c r="DY45" s="20">
        <v>19.8</v>
      </c>
      <c r="DZ45" s="8">
        <v>2.2000000000000002</v>
      </c>
      <c r="EA45" s="30">
        <v>5</v>
      </c>
      <c r="EB45" s="30">
        <v>14</v>
      </c>
      <c r="EC45" s="30">
        <v>17</v>
      </c>
      <c r="ED45" s="30">
        <v>1</v>
      </c>
      <c r="EE45" s="30">
        <v>11</v>
      </c>
      <c r="EF45" s="30">
        <v>10</v>
      </c>
      <c r="EG45" s="30">
        <v>3</v>
      </c>
      <c r="EH45" s="30">
        <v>88</v>
      </c>
      <c r="EI45" s="30">
        <v>12</v>
      </c>
      <c r="EJ45" s="30">
        <v>4</v>
      </c>
      <c r="EK45" s="8">
        <f t="shared" si="98"/>
        <v>165</v>
      </c>
      <c r="EL45" s="9">
        <v>30</v>
      </c>
      <c r="EM45" s="8">
        <v>38</v>
      </c>
      <c r="EN45" s="10">
        <v>7.4</v>
      </c>
      <c r="EO45" s="10">
        <v>2.83</v>
      </c>
      <c r="EP45" s="11">
        <v>66.3</v>
      </c>
      <c r="EQ45" s="10">
        <v>28.4</v>
      </c>
      <c r="ER45" s="10">
        <v>2.1</v>
      </c>
      <c r="ES45" s="31">
        <v>17</v>
      </c>
      <c r="ET45" s="8">
        <v>4461</v>
      </c>
      <c r="EU45" s="8">
        <v>3035</v>
      </c>
      <c r="EV45" s="8">
        <v>0</v>
      </c>
      <c r="EW45" s="8">
        <f t="shared" si="8"/>
        <v>7496</v>
      </c>
      <c r="EX45" s="23">
        <v>51</v>
      </c>
      <c r="EY45" s="342"/>
    </row>
    <row r="46" spans="1:155" s="401" customFormat="1" ht="17.100000000000001" customHeight="1" thickBot="1">
      <c r="A46" s="175"/>
      <c r="B46" s="400" t="s">
        <v>254</v>
      </c>
      <c r="C46" s="203" t="s">
        <v>96</v>
      </c>
      <c r="D46" s="318">
        <f t="shared" si="0"/>
        <v>61.777777777777779</v>
      </c>
      <c r="E46" s="321">
        <f t="shared" si="1"/>
        <v>38.222222222222221</v>
      </c>
      <c r="F46" s="321">
        <f t="shared" si="2"/>
        <v>0</v>
      </c>
      <c r="G46" s="324">
        <f t="shared" si="3"/>
        <v>0</v>
      </c>
      <c r="H46" s="307">
        <v>13.9</v>
      </c>
      <c r="I46" s="310">
        <v>0</v>
      </c>
      <c r="J46" s="310">
        <v>8.6</v>
      </c>
      <c r="K46" s="310">
        <v>0</v>
      </c>
      <c r="L46" s="310">
        <v>0</v>
      </c>
      <c r="M46" s="310"/>
      <c r="N46" s="310"/>
      <c r="O46" s="310"/>
      <c r="P46" s="302"/>
      <c r="Q46" s="304"/>
      <c r="R46" s="307"/>
      <c r="S46" s="310"/>
      <c r="T46" s="310"/>
      <c r="U46" s="310"/>
      <c r="V46" s="310"/>
      <c r="W46" s="310"/>
      <c r="X46" s="337"/>
      <c r="Y46" s="307">
        <f t="shared" si="78"/>
        <v>0</v>
      </c>
      <c r="Z46" s="310">
        <f t="shared" si="78"/>
        <v>0</v>
      </c>
      <c r="AA46" s="310">
        <f t="shared" si="78"/>
        <v>0</v>
      </c>
      <c r="AB46" s="310">
        <f t="shared" si="78"/>
        <v>0</v>
      </c>
      <c r="AC46" s="310">
        <f t="shared" si="78"/>
        <v>0</v>
      </c>
      <c r="AD46" s="310">
        <f t="shared" si="78"/>
        <v>0</v>
      </c>
      <c r="AE46" s="337">
        <f>N46*X46*10</f>
        <v>0</v>
      </c>
      <c r="AF46" s="307"/>
      <c r="AG46" s="302"/>
      <c r="AH46" s="302"/>
      <c r="AI46" s="302"/>
      <c r="AJ46" s="302"/>
      <c r="AK46" s="302"/>
      <c r="AL46" s="304"/>
      <c r="AM46" s="334"/>
      <c r="AN46" s="302"/>
      <c r="AO46" s="302"/>
      <c r="AP46" s="302"/>
      <c r="AQ46" s="302"/>
      <c r="AR46" s="302"/>
      <c r="AS46" s="302"/>
      <c r="AT46" s="307"/>
      <c r="AU46" s="310"/>
      <c r="AV46" s="310"/>
      <c r="AW46" s="310"/>
      <c r="AX46" s="310"/>
      <c r="AY46" s="310"/>
      <c r="AZ46" s="337"/>
      <c r="BA46" s="334"/>
      <c r="BB46" s="334"/>
      <c r="BC46" s="334"/>
      <c r="BD46" s="334"/>
      <c r="BE46" s="334"/>
      <c r="BF46" s="334"/>
      <c r="BG46" s="334"/>
      <c r="BH46" s="334"/>
      <c r="BI46" s="302"/>
      <c r="BJ46" s="302"/>
      <c r="BK46" s="302"/>
      <c r="BL46" s="302"/>
      <c r="BM46" s="302"/>
      <c r="BN46" s="304"/>
      <c r="BO46" s="217">
        <v>75.2</v>
      </c>
      <c r="BP46" s="217">
        <v>0.76300000000000001</v>
      </c>
      <c r="BQ46" s="217">
        <v>4.26</v>
      </c>
      <c r="BR46" s="217">
        <v>72.7</v>
      </c>
      <c r="BS46" s="340">
        <v>0.63400000000000001</v>
      </c>
      <c r="BT46" s="217">
        <v>4.5199999999999996</v>
      </c>
      <c r="BU46" s="312">
        <v>7.24</v>
      </c>
      <c r="BV46" s="312">
        <v>1.47</v>
      </c>
      <c r="BW46" s="312">
        <v>1380</v>
      </c>
      <c r="BX46" s="312">
        <v>6.02</v>
      </c>
      <c r="BY46" s="312">
        <v>7.96</v>
      </c>
      <c r="BZ46" s="312">
        <v>6400</v>
      </c>
      <c r="CA46" s="312">
        <v>7.09</v>
      </c>
      <c r="CB46" s="312">
        <v>1.47</v>
      </c>
      <c r="CC46" s="312">
        <v>1410</v>
      </c>
      <c r="CD46" s="312">
        <v>7.37</v>
      </c>
      <c r="CE46" s="312">
        <v>4.16</v>
      </c>
      <c r="CF46" s="312">
        <v>3400</v>
      </c>
      <c r="CG46" s="312">
        <v>7.08</v>
      </c>
      <c r="CH46" s="312">
        <v>1.42</v>
      </c>
      <c r="CI46" s="312">
        <v>1500</v>
      </c>
      <c r="CJ46" s="312">
        <v>6.8</v>
      </c>
      <c r="CK46" s="312">
        <v>3.14</v>
      </c>
      <c r="CL46" s="312">
        <v>2900</v>
      </c>
      <c r="CM46" s="221">
        <v>76.599999999999994</v>
      </c>
      <c r="CN46" s="221"/>
      <c r="CO46" s="98"/>
      <c r="CP46" s="99"/>
      <c r="CQ46" s="99"/>
      <c r="CR46" s="100"/>
      <c r="CS46" s="99"/>
      <c r="CT46" s="99"/>
      <c r="CU46" s="101"/>
      <c r="CV46" s="102"/>
      <c r="CW46" s="102"/>
      <c r="CX46" s="102"/>
      <c r="CY46" s="103"/>
      <c r="CZ46" s="99"/>
      <c r="DA46" s="99"/>
      <c r="DB46" s="100"/>
      <c r="DC46" s="99"/>
      <c r="DD46" s="99"/>
      <c r="DE46" s="104"/>
      <c r="DF46" s="102"/>
      <c r="DG46" s="102"/>
      <c r="DH46" s="102"/>
      <c r="DI46" s="101"/>
      <c r="DJ46" s="99"/>
      <c r="DK46" s="99"/>
      <c r="DL46" s="100"/>
      <c r="DM46" s="99"/>
      <c r="DN46" s="99"/>
      <c r="DO46" s="101"/>
      <c r="DP46" s="102"/>
      <c r="DQ46" s="102"/>
      <c r="DR46" s="101"/>
      <c r="DS46" s="105"/>
      <c r="DT46" s="99"/>
      <c r="DU46" s="99"/>
      <c r="DV46" s="100"/>
      <c r="DW46" s="99"/>
      <c r="DX46" s="99"/>
      <c r="DY46" s="104"/>
      <c r="DZ46" s="102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02"/>
      <c r="EL46" s="106" t="s">
        <v>140</v>
      </c>
      <c r="EM46" s="102">
        <v>72</v>
      </c>
      <c r="EN46" s="107">
        <v>7.39</v>
      </c>
      <c r="EO46" s="107">
        <v>2.74</v>
      </c>
      <c r="EP46" s="108">
        <v>66.5</v>
      </c>
      <c r="EQ46" s="107">
        <v>29.1</v>
      </c>
      <c r="ER46" s="107">
        <v>2.19</v>
      </c>
      <c r="ES46" s="109" t="s">
        <v>141</v>
      </c>
      <c r="ET46" s="102">
        <v>5444</v>
      </c>
      <c r="EU46" s="102">
        <v>4061</v>
      </c>
      <c r="EV46" s="102">
        <v>606</v>
      </c>
      <c r="EW46" s="102">
        <f t="shared" si="8"/>
        <v>10111</v>
      </c>
      <c r="EX46" s="101">
        <v>53</v>
      </c>
      <c r="EY46" s="343"/>
    </row>
    <row r="47" spans="1:155" s="398" customFormat="1" ht="17.100000000000001" customHeight="1">
      <c r="A47" s="173">
        <v>11</v>
      </c>
      <c r="B47" s="397" t="s">
        <v>255</v>
      </c>
      <c r="C47" s="201" t="s">
        <v>96</v>
      </c>
      <c r="D47" s="316">
        <f t="shared" si="0"/>
        <v>61.777777777777779</v>
      </c>
      <c r="E47" s="319">
        <f t="shared" si="1"/>
        <v>38.222222222222221</v>
      </c>
      <c r="F47" s="319">
        <f t="shared" si="2"/>
        <v>0</v>
      </c>
      <c r="G47" s="322">
        <f t="shared" si="3"/>
        <v>0</v>
      </c>
      <c r="H47" s="305">
        <v>13.9</v>
      </c>
      <c r="I47" s="308">
        <v>0</v>
      </c>
      <c r="J47" s="308">
        <v>8.6</v>
      </c>
      <c r="K47" s="308">
        <v>0</v>
      </c>
      <c r="L47" s="308">
        <v>0</v>
      </c>
      <c r="M47" s="308">
        <v>8</v>
      </c>
      <c r="N47" s="308">
        <v>1.7</v>
      </c>
      <c r="O47" s="308">
        <v>0.25</v>
      </c>
      <c r="P47" s="301"/>
      <c r="Q47" s="303"/>
      <c r="R47" s="305">
        <v>0.91</v>
      </c>
      <c r="S47" s="308">
        <v>0</v>
      </c>
      <c r="T47" s="308">
        <v>0.42</v>
      </c>
      <c r="U47" s="308">
        <v>0</v>
      </c>
      <c r="V47" s="308">
        <v>0</v>
      </c>
      <c r="W47" s="308">
        <v>3.19</v>
      </c>
      <c r="X47" s="335">
        <v>20.5</v>
      </c>
      <c r="Y47" s="305">
        <f t="shared" si="78"/>
        <v>126.49000000000001</v>
      </c>
      <c r="Z47" s="308">
        <f t="shared" si="78"/>
        <v>0</v>
      </c>
      <c r="AA47" s="308">
        <f t="shared" si="78"/>
        <v>36.119999999999997</v>
      </c>
      <c r="AB47" s="308">
        <f t="shared" si="78"/>
        <v>0</v>
      </c>
      <c r="AC47" s="308">
        <f t="shared" si="78"/>
        <v>0</v>
      </c>
      <c r="AD47" s="308">
        <f t="shared" si="78"/>
        <v>255.2</v>
      </c>
      <c r="AE47" s="335">
        <f>O47*X47*10</f>
        <v>51.25</v>
      </c>
      <c r="AF47" s="305">
        <v>11.5</v>
      </c>
      <c r="AG47" s="301">
        <v>0</v>
      </c>
      <c r="AH47" s="301">
        <v>1.8</v>
      </c>
      <c r="AI47" s="301">
        <v>0</v>
      </c>
      <c r="AJ47" s="301">
        <v>0</v>
      </c>
      <c r="AK47" s="301">
        <v>29.4</v>
      </c>
      <c r="AL47" s="303">
        <v>85.3</v>
      </c>
      <c r="AM47" s="332">
        <f>H47*AF47*10</f>
        <v>1598.5</v>
      </c>
      <c r="AN47" s="301">
        <f t="shared" ref="AN47:AS47" si="99">I47*AG47*10</f>
        <v>0</v>
      </c>
      <c r="AO47" s="301">
        <f t="shared" si="99"/>
        <v>154.80000000000001</v>
      </c>
      <c r="AP47" s="301">
        <f t="shared" si="99"/>
        <v>0</v>
      </c>
      <c r="AQ47" s="301">
        <f t="shared" si="99"/>
        <v>0</v>
      </c>
      <c r="AR47" s="301">
        <f t="shared" si="99"/>
        <v>2352</v>
      </c>
      <c r="AS47" s="301">
        <f t="shared" si="99"/>
        <v>1450.1</v>
      </c>
      <c r="AT47" s="305">
        <v>13.4</v>
      </c>
      <c r="AU47" s="308">
        <v>0</v>
      </c>
      <c r="AV47" s="308">
        <v>53.2</v>
      </c>
      <c r="AW47" s="308">
        <v>0</v>
      </c>
      <c r="AX47" s="308">
        <v>0</v>
      </c>
      <c r="AY47" s="308">
        <v>24</v>
      </c>
      <c r="AZ47" s="335">
        <v>27.2</v>
      </c>
      <c r="BA47" s="332">
        <f t="shared" ref="BA47:BG47" si="100">(H47*3*1000)/(1-AT47/100)</f>
        <v>48152.424942263278</v>
      </c>
      <c r="BB47" s="332">
        <f t="shared" si="100"/>
        <v>0</v>
      </c>
      <c r="BC47" s="332">
        <f t="shared" si="100"/>
        <v>55128.205128205125</v>
      </c>
      <c r="BD47" s="332">
        <f t="shared" si="100"/>
        <v>0</v>
      </c>
      <c r="BE47" s="332">
        <f t="shared" si="100"/>
        <v>0</v>
      </c>
      <c r="BF47" s="332">
        <f t="shared" si="100"/>
        <v>31578.947368421053</v>
      </c>
      <c r="BG47" s="332">
        <f t="shared" si="100"/>
        <v>7005.4945054945056</v>
      </c>
      <c r="BH47" s="332">
        <f t="shared" ref="BH47" si="101">H47+I47+J47+K47+L47</f>
        <v>22.5</v>
      </c>
      <c r="BI47" s="301">
        <f t="shared" ref="BI47" si="102">M47+N47+O47</f>
        <v>9.9499999999999993</v>
      </c>
      <c r="BJ47" s="301">
        <f t="shared" ref="BJ47" si="103">BH47+BI47</f>
        <v>32.450000000000003</v>
      </c>
      <c r="BK47" s="301">
        <f t="shared" ref="BK47" si="104">Y47+Z47+AA47+AB47+AC47+AD47+AE47</f>
        <v>469.06</v>
      </c>
      <c r="BL47" s="301">
        <f t="shared" ref="BL47" si="105">AM47+AN47+AO47+AP47+AQ47+AR47+AS47</f>
        <v>5555.4</v>
      </c>
      <c r="BM47" s="301">
        <f t="shared" ref="BM47" si="106">BJ47*3*1000</f>
        <v>97350.000000000015</v>
      </c>
      <c r="BN47" s="303">
        <f t="shared" ref="BN47" si="107">BA47+BB47+BC47+BD47+BE47+BF47+BG47</f>
        <v>141865.07194438399</v>
      </c>
      <c r="BO47" s="216">
        <v>72</v>
      </c>
      <c r="BP47" s="216">
        <v>0.501</v>
      </c>
      <c r="BQ47" s="216">
        <v>4.8899999999999997</v>
      </c>
      <c r="BR47" s="216">
        <v>71.599999999999994</v>
      </c>
      <c r="BS47" s="338">
        <v>0.56399999999999995</v>
      </c>
      <c r="BT47" s="216">
        <v>4.05</v>
      </c>
      <c r="BU47" s="354">
        <v>7.08</v>
      </c>
      <c r="BV47" s="354">
        <v>1.3</v>
      </c>
      <c r="BW47" s="354">
        <v>1020</v>
      </c>
      <c r="BX47" s="354">
        <v>5.89</v>
      </c>
      <c r="BY47" s="354">
        <v>6.2</v>
      </c>
      <c r="BZ47" s="354">
        <v>5010</v>
      </c>
      <c r="CA47" s="354">
        <v>7.01</v>
      </c>
      <c r="CB47" s="354">
        <v>1.5</v>
      </c>
      <c r="CC47" s="354">
        <v>1510</v>
      </c>
      <c r="CD47" s="354">
        <v>7.27</v>
      </c>
      <c r="CE47" s="354">
        <v>2.66</v>
      </c>
      <c r="CF47" s="354">
        <v>2010</v>
      </c>
      <c r="CG47" s="354">
        <v>7.23</v>
      </c>
      <c r="CH47" s="354">
        <v>1.49</v>
      </c>
      <c r="CI47" s="354">
        <v>1380</v>
      </c>
      <c r="CJ47" s="354">
        <v>7.49</v>
      </c>
      <c r="CK47" s="354">
        <v>1.75</v>
      </c>
      <c r="CL47" s="354">
        <v>1440</v>
      </c>
      <c r="CM47" s="220">
        <v>76.5</v>
      </c>
      <c r="CN47" s="220">
        <v>76.099999999999994</v>
      </c>
      <c r="CO47" s="75">
        <v>6</v>
      </c>
      <c r="CP47" s="76">
        <v>7.68</v>
      </c>
      <c r="CQ47" s="76">
        <v>2.2599999999999998</v>
      </c>
      <c r="CR47" s="77">
        <v>76.400000000000006</v>
      </c>
      <c r="CS47" s="76">
        <v>20.6</v>
      </c>
      <c r="CT47" s="76">
        <v>1.49</v>
      </c>
      <c r="CU47" s="78">
        <v>26.6</v>
      </c>
      <c r="CV47" s="79">
        <v>2.6</v>
      </c>
      <c r="CW47" s="79">
        <v>27</v>
      </c>
      <c r="CX47" s="79">
        <v>41</v>
      </c>
      <c r="CY47" s="75">
        <v>11</v>
      </c>
      <c r="CZ47" s="76">
        <v>7.56</v>
      </c>
      <c r="DA47" s="76">
        <v>2.48</v>
      </c>
      <c r="DB47" s="83">
        <v>75.400000000000006</v>
      </c>
      <c r="DC47" s="81"/>
      <c r="DD47" s="81"/>
      <c r="DE47" s="82"/>
      <c r="DF47" s="79">
        <v>2.6</v>
      </c>
      <c r="DG47" s="79">
        <v>13</v>
      </c>
      <c r="DH47" s="117">
        <v>45</v>
      </c>
      <c r="DI47" s="75">
        <v>9</v>
      </c>
      <c r="DJ47" s="76">
        <v>7.8</v>
      </c>
      <c r="DK47" s="111">
        <v>2.48</v>
      </c>
      <c r="DL47" s="77">
        <v>74.900000000000006</v>
      </c>
      <c r="DM47" s="76">
        <v>22.9</v>
      </c>
      <c r="DN47" s="76">
        <v>1.8</v>
      </c>
      <c r="DO47" s="78">
        <v>21.4</v>
      </c>
      <c r="DP47" s="79">
        <v>2.15</v>
      </c>
      <c r="DQ47" s="79">
        <v>15</v>
      </c>
      <c r="DR47" s="79">
        <v>28</v>
      </c>
      <c r="DS47" s="85">
        <v>2</v>
      </c>
      <c r="DT47" s="76">
        <v>7.61</v>
      </c>
      <c r="DU47" s="76">
        <v>2.5499999999999998</v>
      </c>
      <c r="DV47" s="77">
        <v>74.599999999999994</v>
      </c>
      <c r="DW47" s="76">
        <v>24.4</v>
      </c>
      <c r="DX47" s="76">
        <v>1.96</v>
      </c>
      <c r="DY47" s="86">
        <v>19.2</v>
      </c>
      <c r="DZ47" s="79">
        <v>2.1</v>
      </c>
      <c r="EA47" s="124">
        <v>7</v>
      </c>
      <c r="EB47" s="124">
        <v>12</v>
      </c>
      <c r="EC47" s="124">
        <v>14</v>
      </c>
      <c r="ED47" s="124">
        <v>1</v>
      </c>
      <c r="EE47" s="124">
        <v>11</v>
      </c>
      <c r="EF47" s="124">
        <v>10</v>
      </c>
      <c r="EG47" s="124">
        <v>3</v>
      </c>
      <c r="EH47" s="124">
        <v>90</v>
      </c>
      <c r="EI47" s="124">
        <v>12</v>
      </c>
      <c r="EJ47" s="124">
        <v>0</v>
      </c>
      <c r="EK47" s="79">
        <f t="shared" ref="EK47:EK49" si="108">EA47+EB47+EC47+ED47+EE47+EF47+EG47+EH47+EI47+EJ47</f>
        <v>160</v>
      </c>
      <c r="EL47" s="87">
        <v>31</v>
      </c>
      <c r="EM47" s="79">
        <v>8</v>
      </c>
      <c r="EN47" s="76">
        <v>7.5</v>
      </c>
      <c r="EO47" s="76">
        <v>2.87</v>
      </c>
      <c r="EP47" s="77">
        <v>68.8</v>
      </c>
      <c r="EQ47" s="76">
        <v>28.7</v>
      </c>
      <c r="ER47" s="76">
        <v>2.14</v>
      </c>
      <c r="ES47" s="78">
        <v>16.600000000000001</v>
      </c>
      <c r="ET47" s="79">
        <v>2345</v>
      </c>
      <c r="EU47" s="79">
        <v>2508</v>
      </c>
      <c r="EV47" s="79">
        <v>1099</v>
      </c>
      <c r="EW47" s="79">
        <f t="shared" si="8"/>
        <v>5952</v>
      </c>
      <c r="EX47" s="121">
        <v>50</v>
      </c>
      <c r="EY47" s="341">
        <f>EW47+EW48+EW49+EW50</f>
        <v>23923</v>
      </c>
    </row>
    <row r="48" spans="1:155" ht="17.100000000000001" customHeight="1">
      <c r="A48" s="174"/>
      <c r="B48" s="397" t="s">
        <v>255</v>
      </c>
      <c r="C48" s="202" t="s">
        <v>96</v>
      </c>
      <c r="D48" s="317">
        <f t="shared" si="0"/>
        <v>61.777777777777779</v>
      </c>
      <c r="E48" s="320">
        <f t="shared" si="1"/>
        <v>38.222222222222221</v>
      </c>
      <c r="F48" s="320">
        <f t="shared" si="2"/>
        <v>0</v>
      </c>
      <c r="G48" s="323">
        <f t="shared" si="3"/>
        <v>0</v>
      </c>
      <c r="H48" s="306">
        <v>13.9</v>
      </c>
      <c r="I48" s="309">
        <v>0</v>
      </c>
      <c r="J48" s="309">
        <v>8.6</v>
      </c>
      <c r="K48" s="309">
        <v>0</v>
      </c>
      <c r="L48" s="309">
        <v>0</v>
      </c>
      <c r="M48" s="309"/>
      <c r="N48" s="309"/>
      <c r="O48" s="309"/>
      <c r="P48" s="211"/>
      <c r="Q48" s="214"/>
      <c r="R48" s="306"/>
      <c r="S48" s="309"/>
      <c r="T48" s="309"/>
      <c r="U48" s="309"/>
      <c r="V48" s="309"/>
      <c r="W48" s="309"/>
      <c r="X48" s="336"/>
      <c r="Y48" s="306">
        <f t="shared" si="78"/>
        <v>0</v>
      </c>
      <c r="Z48" s="309">
        <f t="shared" si="78"/>
        <v>0</v>
      </c>
      <c r="AA48" s="309">
        <f t="shared" si="78"/>
        <v>0</v>
      </c>
      <c r="AB48" s="309">
        <f t="shared" si="78"/>
        <v>0</v>
      </c>
      <c r="AC48" s="309">
        <f t="shared" si="78"/>
        <v>0</v>
      </c>
      <c r="AD48" s="309">
        <f t="shared" si="78"/>
        <v>0</v>
      </c>
      <c r="AE48" s="336">
        <f>N48*X48*10</f>
        <v>0</v>
      </c>
      <c r="AF48" s="306"/>
      <c r="AG48" s="211"/>
      <c r="AH48" s="211"/>
      <c r="AI48" s="211"/>
      <c r="AJ48" s="211"/>
      <c r="AK48" s="211"/>
      <c r="AL48" s="214"/>
      <c r="AM48" s="333"/>
      <c r="AN48" s="211"/>
      <c r="AO48" s="211"/>
      <c r="AP48" s="211"/>
      <c r="AQ48" s="211"/>
      <c r="AR48" s="211"/>
      <c r="AS48" s="211"/>
      <c r="AT48" s="306"/>
      <c r="AU48" s="309"/>
      <c r="AV48" s="309"/>
      <c r="AW48" s="309"/>
      <c r="AX48" s="309"/>
      <c r="AY48" s="309"/>
      <c r="AZ48" s="336"/>
      <c r="BA48" s="333"/>
      <c r="BB48" s="333"/>
      <c r="BC48" s="333"/>
      <c r="BD48" s="333"/>
      <c r="BE48" s="333"/>
      <c r="BF48" s="333"/>
      <c r="BG48" s="333"/>
      <c r="BH48" s="333"/>
      <c r="BI48" s="211"/>
      <c r="BJ48" s="211"/>
      <c r="BK48" s="211"/>
      <c r="BL48" s="211"/>
      <c r="BM48" s="211"/>
      <c r="BN48" s="214"/>
      <c r="BO48" s="196">
        <v>70.400000000000006</v>
      </c>
      <c r="BP48" s="196">
        <v>0.65500000000000003</v>
      </c>
      <c r="BQ48" s="196">
        <v>3.42</v>
      </c>
      <c r="BR48" s="196">
        <v>69.8</v>
      </c>
      <c r="BS48" s="339">
        <v>0.57199999999999995</v>
      </c>
      <c r="BT48" s="196">
        <v>3.38</v>
      </c>
      <c r="BU48" s="355">
        <v>7.08</v>
      </c>
      <c r="BV48" s="355">
        <v>1.3</v>
      </c>
      <c r="BW48" s="355">
        <v>1020</v>
      </c>
      <c r="BX48" s="355">
        <v>5.89</v>
      </c>
      <c r="BY48" s="355">
        <v>6.2</v>
      </c>
      <c r="BZ48" s="355">
        <v>5010</v>
      </c>
      <c r="CA48" s="355">
        <v>7.01</v>
      </c>
      <c r="CB48" s="355">
        <v>1.5</v>
      </c>
      <c r="CC48" s="355">
        <v>1510</v>
      </c>
      <c r="CD48" s="355">
        <v>7.27</v>
      </c>
      <c r="CE48" s="355">
        <v>2.66</v>
      </c>
      <c r="CF48" s="355">
        <v>2010</v>
      </c>
      <c r="CG48" s="355">
        <v>7.23</v>
      </c>
      <c r="CH48" s="355">
        <v>1.49</v>
      </c>
      <c r="CI48" s="355">
        <v>1380</v>
      </c>
      <c r="CJ48" s="355">
        <v>7.49</v>
      </c>
      <c r="CK48" s="355">
        <v>1.75</v>
      </c>
      <c r="CL48" s="355">
        <v>1440</v>
      </c>
      <c r="CM48" s="205">
        <v>76</v>
      </c>
      <c r="CN48" s="205"/>
      <c r="CO48" s="13">
        <v>7</v>
      </c>
      <c r="CP48" s="10">
        <v>7.68</v>
      </c>
      <c r="CQ48" s="10">
        <v>2.2599999999999998</v>
      </c>
      <c r="CR48" s="11">
        <v>76.400000000000006</v>
      </c>
      <c r="CS48" s="10">
        <v>20.6</v>
      </c>
      <c r="CT48" s="10">
        <v>1.49</v>
      </c>
      <c r="CU48" s="12">
        <v>26.6</v>
      </c>
      <c r="CV48" s="8">
        <v>2.6</v>
      </c>
      <c r="CW48" s="8">
        <v>24</v>
      </c>
      <c r="CX48" s="8">
        <v>41</v>
      </c>
      <c r="CY48" s="13">
        <v>3</v>
      </c>
      <c r="CZ48" s="10">
        <v>7.56</v>
      </c>
      <c r="DA48" s="10">
        <v>2.48</v>
      </c>
      <c r="DB48" s="17">
        <v>75.400000000000006</v>
      </c>
      <c r="DC48" s="15"/>
      <c r="DD48" s="15"/>
      <c r="DE48" s="16"/>
      <c r="DF48" s="8">
        <v>2.6</v>
      </c>
      <c r="DG48" s="8">
        <v>16</v>
      </c>
      <c r="DH48" s="8">
        <v>16</v>
      </c>
      <c r="DI48" s="13">
        <v>10</v>
      </c>
      <c r="DJ48" s="10">
        <v>7.8</v>
      </c>
      <c r="DK48" s="26">
        <v>2.48</v>
      </c>
      <c r="DL48" s="11">
        <v>74.900000000000006</v>
      </c>
      <c r="DM48" s="10">
        <v>22.9</v>
      </c>
      <c r="DN48" s="10">
        <v>1.8</v>
      </c>
      <c r="DO48" s="12">
        <v>21.4</v>
      </c>
      <c r="DP48" s="8">
        <v>2.15</v>
      </c>
      <c r="DQ48" s="8">
        <v>14</v>
      </c>
      <c r="DR48" s="8">
        <v>26</v>
      </c>
      <c r="DS48" s="19">
        <v>1</v>
      </c>
      <c r="DT48" s="10">
        <v>7.61</v>
      </c>
      <c r="DU48" s="10">
        <v>2.5499999999999998</v>
      </c>
      <c r="DV48" s="11">
        <v>74.599999999999994</v>
      </c>
      <c r="DW48" s="10">
        <v>24.4</v>
      </c>
      <c r="DX48" s="10">
        <v>1.96</v>
      </c>
      <c r="DY48" s="20">
        <v>19.2</v>
      </c>
      <c r="DZ48" s="8">
        <v>2.1</v>
      </c>
      <c r="EA48" s="30">
        <v>14</v>
      </c>
      <c r="EB48" s="30">
        <v>5</v>
      </c>
      <c r="EC48" s="30">
        <v>11</v>
      </c>
      <c r="ED48" s="30">
        <v>0</v>
      </c>
      <c r="EE48" s="30">
        <v>9</v>
      </c>
      <c r="EF48" s="30">
        <v>13</v>
      </c>
      <c r="EG48" s="30">
        <v>0</v>
      </c>
      <c r="EH48" s="30">
        <v>80</v>
      </c>
      <c r="EI48" s="30">
        <v>12</v>
      </c>
      <c r="EJ48" s="30">
        <v>0</v>
      </c>
      <c r="EK48" s="8">
        <f t="shared" si="108"/>
        <v>144</v>
      </c>
      <c r="EL48" s="9">
        <v>32</v>
      </c>
      <c r="EM48" s="8">
        <v>4</v>
      </c>
      <c r="EN48" s="10">
        <v>7.62</v>
      </c>
      <c r="EO48" s="10">
        <v>2.86</v>
      </c>
      <c r="EP48" s="11">
        <v>68.2</v>
      </c>
      <c r="EQ48" s="10">
        <v>27</v>
      </c>
      <c r="ER48" s="10">
        <v>2.19</v>
      </c>
      <c r="ES48" s="12">
        <v>16.600000000000001</v>
      </c>
      <c r="ET48" s="8">
        <v>1872</v>
      </c>
      <c r="EU48" s="8">
        <v>2196</v>
      </c>
      <c r="EV48" s="8">
        <v>869</v>
      </c>
      <c r="EW48" s="8">
        <f t="shared" si="8"/>
        <v>4937</v>
      </c>
      <c r="EX48" s="23">
        <v>51</v>
      </c>
      <c r="EY48" s="342"/>
    </row>
    <row r="49" spans="1:155" ht="17.100000000000001" customHeight="1">
      <c r="A49" s="174"/>
      <c r="B49" s="397" t="s">
        <v>255</v>
      </c>
      <c r="C49" s="202" t="s">
        <v>96</v>
      </c>
      <c r="D49" s="317">
        <f t="shared" si="0"/>
        <v>61.777777777777779</v>
      </c>
      <c r="E49" s="320">
        <f t="shared" si="1"/>
        <v>38.222222222222221</v>
      </c>
      <c r="F49" s="320">
        <f t="shared" si="2"/>
        <v>0</v>
      </c>
      <c r="G49" s="323">
        <f t="shared" si="3"/>
        <v>0</v>
      </c>
      <c r="H49" s="306">
        <v>13.9</v>
      </c>
      <c r="I49" s="309">
        <v>0</v>
      </c>
      <c r="J49" s="309">
        <v>8.6</v>
      </c>
      <c r="K49" s="309">
        <v>0</v>
      </c>
      <c r="L49" s="309">
        <v>0</v>
      </c>
      <c r="M49" s="309"/>
      <c r="N49" s="309"/>
      <c r="O49" s="309"/>
      <c r="P49" s="211"/>
      <c r="Q49" s="214"/>
      <c r="R49" s="306"/>
      <c r="S49" s="309"/>
      <c r="T49" s="309"/>
      <c r="U49" s="309"/>
      <c r="V49" s="309"/>
      <c r="W49" s="309"/>
      <c r="X49" s="336"/>
      <c r="Y49" s="306">
        <f t="shared" si="78"/>
        <v>0</v>
      </c>
      <c r="Z49" s="309">
        <f t="shared" si="78"/>
        <v>0</v>
      </c>
      <c r="AA49" s="309">
        <f t="shared" si="78"/>
        <v>0</v>
      </c>
      <c r="AB49" s="309">
        <f t="shared" si="78"/>
        <v>0</v>
      </c>
      <c r="AC49" s="309">
        <f t="shared" si="78"/>
        <v>0</v>
      </c>
      <c r="AD49" s="309">
        <f t="shared" si="78"/>
        <v>0</v>
      </c>
      <c r="AE49" s="336">
        <f>N49*X49*10</f>
        <v>0</v>
      </c>
      <c r="AF49" s="306"/>
      <c r="AG49" s="211"/>
      <c r="AH49" s="211"/>
      <c r="AI49" s="211"/>
      <c r="AJ49" s="211"/>
      <c r="AK49" s="211"/>
      <c r="AL49" s="214"/>
      <c r="AM49" s="333"/>
      <c r="AN49" s="211"/>
      <c r="AO49" s="211"/>
      <c r="AP49" s="211"/>
      <c r="AQ49" s="211"/>
      <c r="AR49" s="211"/>
      <c r="AS49" s="211"/>
      <c r="AT49" s="306"/>
      <c r="AU49" s="309"/>
      <c r="AV49" s="309"/>
      <c r="AW49" s="309"/>
      <c r="AX49" s="309"/>
      <c r="AY49" s="309"/>
      <c r="AZ49" s="336"/>
      <c r="BA49" s="333"/>
      <c r="BB49" s="333"/>
      <c r="BC49" s="333"/>
      <c r="BD49" s="333"/>
      <c r="BE49" s="333"/>
      <c r="BF49" s="333"/>
      <c r="BG49" s="333"/>
      <c r="BH49" s="333"/>
      <c r="BI49" s="211"/>
      <c r="BJ49" s="211"/>
      <c r="BK49" s="211"/>
      <c r="BL49" s="211"/>
      <c r="BM49" s="211"/>
      <c r="BN49" s="214"/>
      <c r="BO49" s="196">
        <v>75.2</v>
      </c>
      <c r="BP49" s="196">
        <v>0.76300000000000001</v>
      </c>
      <c r="BQ49" s="196">
        <v>4.26</v>
      </c>
      <c r="BR49" s="196">
        <v>72.7</v>
      </c>
      <c r="BS49" s="339">
        <v>0.63400000000000001</v>
      </c>
      <c r="BT49" s="196">
        <v>4.5199999999999996</v>
      </c>
      <c r="BU49" s="355">
        <v>7.08</v>
      </c>
      <c r="BV49" s="355">
        <v>1.3</v>
      </c>
      <c r="BW49" s="355">
        <v>1020</v>
      </c>
      <c r="BX49" s="355">
        <v>5.89</v>
      </c>
      <c r="BY49" s="355">
        <v>6.2</v>
      </c>
      <c r="BZ49" s="355">
        <v>5010</v>
      </c>
      <c r="CA49" s="355">
        <v>7.01</v>
      </c>
      <c r="CB49" s="355">
        <v>1.5</v>
      </c>
      <c r="CC49" s="355">
        <v>1510</v>
      </c>
      <c r="CD49" s="355">
        <v>7.27</v>
      </c>
      <c r="CE49" s="355">
        <v>2.66</v>
      </c>
      <c r="CF49" s="355">
        <v>2010</v>
      </c>
      <c r="CG49" s="355">
        <v>7.23</v>
      </c>
      <c r="CH49" s="355">
        <v>1.49</v>
      </c>
      <c r="CI49" s="355">
        <v>1380</v>
      </c>
      <c r="CJ49" s="355">
        <v>7.49</v>
      </c>
      <c r="CK49" s="355">
        <v>1.75</v>
      </c>
      <c r="CL49" s="355">
        <v>1440</v>
      </c>
      <c r="CM49" s="205">
        <v>76.599999999999994</v>
      </c>
      <c r="CN49" s="205"/>
      <c r="CO49" s="13">
        <v>8</v>
      </c>
      <c r="CP49" s="10">
        <v>7.68</v>
      </c>
      <c r="CQ49" s="10">
        <v>2.2599999999999998</v>
      </c>
      <c r="CR49" s="11">
        <v>76.400000000000006</v>
      </c>
      <c r="CS49" s="10">
        <v>20.6</v>
      </c>
      <c r="CT49" s="10">
        <v>1.49</v>
      </c>
      <c r="CU49" s="12">
        <v>26.6</v>
      </c>
      <c r="CV49" s="8">
        <v>2.6</v>
      </c>
      <c r="CW49" s="8">
        <v>12</v>
      </c>
      <c r="CX49" s="8">
        <v>47</v>
      </c>
      <c r="CY49" s="13">
        <v>4</v>
      </c>
      <c r="CZ49" s="10">
        <v>7.56</v>
      </c>
      <c r="DA49" s="10">
        <v>2.48</v>
      </c>
      <c r="DB49" s="17">
        <v>75.400000000000006</v>
      </c>
      <c r="DC49" s="15"/>
      <c r="DD49" s="15"/>
      <c r="DE49" s="16"/>
      <c r="DF49" s="8">
        <v>2.6</v>
      </c>
      <c r="DG49" s="8">
        <v>29</v>
      </c>
      <c r="DH49" s="8">
        <v>29</v>
      </c>
      <c r="DI49" s="13">
        <v>11</v>
      </c>
      <c r="DJ49" s="10">
        <v>7.8</v>
      </c>
      <c r="DK49" s="26">
        <v>2.48</v>
      </c>
      <c r="DL49" s="11">
        <v>74.900000000000006</v>
      </c>
      <c r="DM49" s="10">
        <v>22.9</v>
      </c>
      <c r="DN49" s="10">
        <v>1.8</v>
      </c>
      <c r="DO49" s="12">
        <v>21.4</v>
      </c>
      <c r="DP49" s="8">
        <v>2.15</v>
      </c>
      <c r="DQ49" s="8">
        <v>14</v>
      </c>
      <c r="DR49" s="8">
        <v>22</v>
      </c>
      <c r="DS49" s="19">
        <v>11</v>
      </c>
      <c r="DT49" s="10">
        <v>7.61</v>
      </c>
      <c r="DU49" s="10">
        <v>2.5499999999999998</v>
      </c>
      <c r="DV49" s="11">
        <v>74.599999999999994</v>
      </c>
      <c r="DW49" s="10">
        <v>24.4</v>
      </c>
      <c r="DX49" s="10">
        <v>1.96</v>
      </c>
      <c r="DY49" s="20">
        <v>19.2</v>
      </c>
      <c r="DZ49" s="8">
        <v>1.8</v>
      </c>
      <c r="EA49" s="30">
        <v>13</v>
      </c>
      <c r="EB49" s="30">
        <v>7</v>
      </c>
      <c r="EC49" s="30">
        <v>23</v>
      </c>
      <c r="ED49" s="30">
        <v>0</v>
      </c>
      <c r="EE49" s="30">
        <v>9</v>
      </c>
      <c r="EF49" s="30">
        <v>9</v>
      </c>
      <c r="EG49" s="30">
        <v>4</v>
      </c>
      <c r="EH49" s="30">
        <v>91</v>
      </c>
      <c r="EI49" s="30">
        <v>5</v>
      </c>
      <c r="EJ49" s="30">
        <v>13</v>
      </c>
      <c r="EK49" s="8">
        <f t="shared" si="108"/>
        <v>174</v>
      </c>
      <c r="EL49" s="9">
        <v>33</v>
      </c>
      <c r="EM49" s="8">
        <v>15</v>
      </c>
      <c r="EN49" s="10">
        <v>7.53</v>
      </c>
      <c r="EO49" s="10">
        <v>2.88</v>
      </c>
      <c r="EP49" s="11">
        <v>67.3</v>
      </c>
      <c r="EQ49" s="10">
        <v>28</v>
      </c>
      <c r="ER49" s="10">
        <v>2.17</v>
      </c>
      <c r="ES49" s="12">
        <v>16.5</v>
      </c>
      <c r="ET49" s="8">
        <v>3062</v>
      </c>
      <c r="EU49" s="8">
        <v>3399</v>
      </c>
      <c r="EV49" s="8">
        <v>0</v>
      </c>
      <c r="EW49" s="8">
        <f t="shared" si="8"/>
        <v>6461</v>
      </c>
      <c r="EX49" s="23">
        <v>50</v>
      </c>
      <c r="EY49" s="342"/>
    </row>
    <row r="50" spans="1:155" s="401" customFormat="1" ht="17.100000000000001" customHeight="1" thickBot="1">
      <c r="A50" s="175"/>
      <c r="B50" s="400" t="s">
        <v>255</v>
      </c>
      <c r="C50" s="203" t="s">
        <v>96</v>
      </c>
      <c r="D50" s="318">
        <f t="shared" si="0"/>
        <v>61.777777777777779</v>
      </c>
      <c r="E50" s="321">
        <f t="shared" si="1"/>
        <v>38.222222222222221</v>
      </c>
      <c r="F50" s="321">
        <f t="shared" si="2"/>
        <v>0</v>
      </c>
      <c r="G50" s="324">
        <f t="shared" si="3"/>
        <v>0</v>
      </c>
      <c r="H50" s="307">
        <v>13.9</v>
      </c>
      <c r="I50" s="310">
        <v>0</v>
      </c>
      <c r="J50" s="310">
        <v>8.6</v>
      </c>
      <c r="K50" s="310">
        <v>0</v>
      </c>
      <c r="L50" s="310">
        <v>0</v>
      </c>
      <c r="M50" s="310"/>
      <c r="N50" s="310"/>
      <c r="O50" s="310"/>
      <c r="P50" s="302"/>
      <c r="Q50" s="304"/>
      <c r="R50" s="307"/>
      <c r="S50" s="310"/>
      <c r="T50" s="310"/>
      <c r="U50" s="310"/>
      <c r="V50" s="310"/>
      <c r="W50" s="310"/>
      <c r="X50" s="337"/>
      <c r="Y50" s="307">
        <f t="shared" si="78"/>
        <v>0</v>
      </c>
      <c r="Z50" s="310">
        <f t="shared" si="78"/>
        <v>0</v>
      </c>
      <c r="AA50" s="310">
        <f t="shared" si="78"/>
        <v>0</v>
      </c>
      <c r="AB50" s="310">
        <f t="shared" si="78"/>
        <v>0</v>
      </c>
      <c r="AC50" s="310">
        <f t="shared" si="78"/>
        <v>0</v>
      </c>
      <c r="AD50" s="310">
        <f t="shared" si="78"/>
        <v>0</v>
      </c>
      <c r="AE50" s="337">
        <f>N50*X50*10</f>
        <v>0</v>
      </c>
      <c r="AF50" s="307"/>
      <c r="AG50" s="302"/>
      <c r="AH50" s="302"/>
      <c r="AI50" s="302"/>
      <c r="AJ50" s="302"/>
      <c r="AK50" s="302"/>
      <c r="AL50" s="304"/>
      <c r="AM50" s="334"/>
      <c r="AN50" s="302"/>
      <c r="AO50" s="302"/>
      <c r="AP50" s="302"/>
      <c r="AQ50" s="302"/>
      <c r="AR50" s="302"/>
      <c r="AS50" s="302"/>
      <c r="AT50" s="307"/>
      <c r="AU50" s="310"/>
      <c r="AV50" s="310"/>
      <c r="AW50" s="310"/>
      <c r="AX50" s="310"/>
      <c r="AY50" s="310"/>
      <c r="AZ50" s="337"/>
      <c r="BA50" s="334"/>
      <c r="BB50" s="334"/>
      <c r="BC50" s="334"/>
      <c r="BD50" s="334"/>
      <c r="BE50" s="334"/>
      <c r="BF50" s="334"/>
      <c r="BG50" s="334"/>
      <c r="BH50" s="334"/>
      <c r="BI50" s="302"/>
      <c r="BJ50" s="302"/>
      <c r="BK50" s="302"/>
      <c r="BL50" s="302"/>
      <c r="BM50" s="302"/>
      <c r="BN50" s="304"/>
      <c r="BO50" s="217">
        <v>72</v>
      </c>
      <c r="BP50" s="217">
        <v>0.501</v>
      </c>
      <c r="BQ50" s="217">
        <v>4.8899999999999997</v>
      </c>
      <c r="BR50" s="217">
        <v>71.599999999999994</v>
      </c>
      <c r="BS50" s="340">
        <v>0.56399999999999995</v>
      </c>
      <c r="BT50" s="217">
        <v>4.05</v>
      </c>
      <c r="BU50" s="312">
        <v>7.08</v>
      </c>
      <c r="BV50" s="312">
        <v>1.3</v>
      </c>
      <c r="BW50" s="312">
        <v>1020</v>
      </c>
      <c r="BX50" s="312">
        <v>5.89</v>
      </c>
      <c r="BY50" s="312">
        <v>6.2</v>
      </c>
      <c r="BZ50" s="312">
        <v>5010</v>
      </c>
      <c r="CA50" s="312">
        <v>7.01</v>
      </c>
      <c r="CB50" s="312">
        <v>1.5</v>
      </c>
      <c r="CC50" s="312">
        <v>1510</v>
      </c>
      <c r="CD50" s="312">
        <v>7.27</v>
      </c>
      <c r="CE50" s="312">
        <v>2.66</v>
      </c>
      <c r="CF50" s="312">
        <v>2010</v>
      </c>
      <c r="CG50" s="312">
        <v>7.23</v>
      </c>
      <c r="CH50" s="312">
        <v>1.49</v>
      </c>
      <c r="CI50" s="312">
        <v>1380</v>
      </c>
      <c r="CJ50" s="312">
        <v>7.49</v>
      </c>
      <c r="CK50" s="312">
        <v>1.75</v>
      </c>
      <c r="CL50" s="312">
        <v>1440</v>
      </c>
      <c r="CM50" s="221">
        <v>76.5</v>
      </c>
      <c r="CN50" s="221"/>
      <c r="CO50" s="98"/>
      <c r="CP50" s="99"/>
      <c r="CQ50" s="99"/>
      <c r="CR50" s="100"/>
      <c r="CS50" s="99"/>
      <c r="CT50" s="99"/>
      <c r="CU50" s="101"/>
      <c r="CV50" s="102"/>
      <c r="CW50" s="102"/>
      <c r="CX50" s="102"/>
      <c r="CY50" s="103"/>
      <c r="CZ50" s="99"/>
      <c r="DA50" s="99"/>
      <c r="DB50" s="100"/>
      <c r="DC50" s="99"/>
      <c r="DD50" s="99"/>
      <c r="DE50" s="104"/>
      <c r="DF50" s="102"/>
      <c r="DG50" s="102"/>
      <c r="DH50" s="102"/>
      <c r="DI50" s="101"/>
      <c r="DJ50" s="99"/>
      <c r="DK50" s="99"/>
      <c r="DL50" s="100"/>
      <c r="DM50" s="99"/>
      <c r="DN50" s="99"/>
      <c r="DO50" s="101"/>
      <c r="DP50" s="102"/>
      <c r="DQ50" s="102"/>
      <c r="DR50" s="102"/>
      <c r="DS50" s="105"/>
      <c r="DT50" s="99"/>
      <c r="DU50" s="99"/>
      <c r="DV50" s="100"/>
      <c r="DW50" s="99"/>
      <c r="DX50" s="99"/>
      <c r="DY50" s="104"/>
      <c r="DZ50" s="102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02"/>
      <c r="EL50" s="106" t="s">
        <v>142</v>
      </c>
      <c r="EM50" s="102">
        <v>67</v>
      </c>
      <c r="EN50" s="107">
        <v>7.59</v>
      </c>
      <c r="EO50" s="107">
        <v>2.79</v>
      </c>
      <c r="EP50" s="108">
        <v>69</v>
      </c>
      <c r="EQ50" s="107">
        <v>29.3</v>
      </c>
      <c r="ER50" s="107">
        <v>2.17</v>
      </c>
      <c r="ES50" s="109" t="s">
        <v>143</v>
      </c>
      <c r="ET50" s="102">
        <v>3657</v>
      </c>
      <c r="EU50" s="102">
        <v>2916</v>
      </c>
      <c r="EV50" s="102">
        <v>0</v>
      </c>
      <c r="EW50" s="102">
        <f t="shared" si="8"/>
        <v>6573</v>
      </c>
      <c r="EX50" s="101">
        <v>54</v>
      </c>
      <c r="EY50" s="343"/>
    </row>
    <row r="51" spans="1:155" s="398" customFormat="1" ht="17.100000000000001" customHeight="1">
      <c r="A51" s="173">
        <v>12</v>
      </c>
      <c r="B51" s="397" t="s">
        <v>256</v>
      </c>
      <c r="C51" s="201" t="s">
        <v>96</v>
      </c>
      <c r="D51" s="316">
        <f t="shared" si="0"/>
        <v>61.777777777777779</v>
      </c>
      <c r="E51" s="319">
        <f t="shared" si="1"/>
        <v>38.222222222222221</v>
      </c>
      <c r="F51" s="319">
        <f t="shared" si="2"/>
        <v>0</v>
      </c>
      <c r="G51" s="322">
        <f t="shared" si="3"/>
        <v>0</v>
      </c>
      <c r="H51" s="305">
        <v>13.9</v>
      </c>
      <c r="I51" s="308">
        <v>0</v>
      </c>
      <c r="J51" s="308">
        <v>8.6</v>
      </c>
      <c r="K51" s="308">
        <v>0</v>
      </c>
      <c r="L51" s="308">
        <v>0</v>
      </c>
      <c r="M51" s="308">
        <v>8</v>
      </c>
      <c r="N51" s="308">
        <v>1.7</v>
      </c>
      <c r="O51" s="308">
        <v>0.216</v>
      </c>
      <c r="P51" s="301"/>
      <c r="Q51" s="303"/>
      <c r="R51" s="305">
        <v>0.91</v>
      </c>
      <c r="S51" s="308">
        <v>0</v>
      </c>
      <c r="T51" s="308">
        <v>0.49</v>
      </c>
      <c r="U51" s="308">
        <v>0</v>
      </c>
      <c r="V51" s="308">
        <v>0</v>
      </c>
      <c r="W51" s="308">
        <v>3.22</v>
      </c>
      <c r="X51" s="335">
        <v>20.5</v>
      </c>
      <c r="Y51" s="305">
        <f t="shared" si="78"/>
        <v>126.49000000000001</v>
      </c>
      <c r="Z51" s="308">
        <f t="shared" si="78"/>
        <v>0</v>
      </c>
      <c r="AA51" s="308">
        <f t="shared" si="78"/>
        <v>42.139999999999993</v>
      </c>
      <c r="AB51" s="308">
        <f t="shared" si="78"/>
        <v>0</v>
      </c>
      <c r="AC51" s="308">
        <f t="shared" si="78"/>
        <v>0</v>
      </c>
      <c r="AD51" s="308">
        <f t="shared" si="78"/>
        <v>257.60000000000002</v>
      </c>
      <c r="AE51" s="347">
        <f>O51*X51*10</f>
        <v>44.28</v>
      </c>
      <c r="AF51" s="305">
        <v>11.5</v>
      </c>
      <c r="AG51" s="301">
        <v>0</v>
      </c>
      <c r="AH51" s="301">
        <v>2.6</v>
      </c>
      <c r="AI51" s="301">
        <v>0</v>
      </c>
      <c r="AJ51" s="301">
        <v>0</v>
      </c>
      <c r="AK51" s="301">
        <v>29.6</v>
      </c>
      <c r="AL51" s="303">
        <v>85.3</v>
      </c>
      <c r="AM51" s="332">
        <f>H51*AF51*10</f>
        <v>1598.5</v>
      </c>
      <c r="AN51" s="301">
        <f t="shared" ref="AN51:AS51" si="109">I51*AG51*10</f>
        <v>0</v>
      </c>
      <c r="AO51" s="301">
        <f t="shared" si="109"/>
        <v>223.6</v>
      </c>
      <c r="AP51" s="301">
        <f t="shared" si="109"/>
        <v>0</v>
      </c>
      <c r="AQ51" s="301">
        <f t="shared" si="109"/>
        <v>0</v>
      </c>
      <c r="AR51" s="301">
        <f t="shared" si="109"/>
        <v>2368</v>
      </c>
      <c r="AS51" s="301">
        <f t="shared" si="109"/>
        <v>1450.1</v>
      </c>
      <c r="AT51" s="305">
        <v>13.3</v>
      </c>
      <c r="AU51" s="308">
        <v>0</v>
      </c>
      <c r="AV51" s="308">
        <v>53.4</v>
      </c>
      <c r="AW51" s="308">
        <v>0</v>
      </c>
      <c r="AX51" s="308">
        <v>0</v>
      </c>
      <c r="AY51" s="308">
        <v>22.4</v>
      </c>
      <c r="AZ51" s="335">
        <v>26.6</v>
      </c>
      <c r="BA51" s="332">
        <f t="shared" ref="BA51:BG51" si="110">(H51*3*1000)/(1-AT51/100)</f>
        <v>48096.885813148787</v>
      </c>
      <c r="BB51" s="332">
        <f t="shared" si="110"/>
        <v>0</v>
      </c>
      <c r="BC51" s="332">
        <f t="shared" si="110"/>
        <v>55364.806866952786</v>
      </c>
      <c r="BD51" s="332">
        <f t="shared" si="110"/>
        <v>0</v>
      </c>
      <c r="BE51" s="332">
        <f t="shared" si="110"/>
        <v>0</v>
      </c>
      <c r="BF51" s="332">
        <f t="shared" si="110"/>
        <v>30927.83505154639</v>
      </c>
      <c r="BG51" s="332">
        <f t="shared" si="110"/>
        <v>6948.2288828337878</v>
      </c>
      <c r="BH51" s="332">
        <f t="shared" ref="BH51" si="111">H51+I51+J51+K51+L51</f>
        <v>22.5</v>
      </c>
      <c r="BI51" s="301">
        <f t="shared" ref="BI51" si="112">M51+N51+O51</f>
        <v>9.9159999999999986</v>
      </c>
      <c r="BJ51" s="301">
        <f t="shared" ref="BJ51" si="113">BH51+BI51</f>
        <v>32.415999999999997</v>
      </c>
      <c r="BK51" s="350">
        <f t="shared" ref="BK51" si="114">Y51+Z51+AA51+AB51+AC51+AD51+AE51</f>
        <v>470.51</v>
      </c>
      <c r="BL51" s="301">
        <f t="shared" ref="BL51" si="115">AM51+AN51+AO51+AP51+AQ51+AR51+AS51</f>
        <v>5640.2000000000007</v>
      </c>
      <c r="BM51" s="301">
        <f t="shared" ref="BM51" si="116">BJ51*3*1000</f>
        <v>97247.999999999985</v>
      </c>
      <c r="BN51" s="303">
        <f t="shared" ref="BN51" si="117">BA51+BB51+BC51+BD51+BE51+BF51+BG51</f>
        <v>141337.75661448177</v>
      </c>
      <c r="BO51" s="216">
        <v>70.400000000000006</v>
      </c>
      <c r="BP51" s="216">
        <v>0.65500000000000003</v>
      </c>
      <c r="BQ51" s="216">
        <v>3.42</v>
      </c>
      <c r="BR51" s="216">
        <v>69.8</v>
      </c>
      <c r="BS51" s="338">
        <v>0.57199999999999995</v>
      </c>
      <c r="BT51" s="216">
        <v>3.38</v>
      </c>
      <c r="BU51" s="354">
        <v>7.1</v>
      </c>
      <c r="BV51" s="354">
        <v>1.36</v>
      </c>
      <c r="BW51" s="354">
        <v>956</v>
      </c>
      <c r="BX51" s="354">
        <v>5.9</v>
      </c>
      <c r="BY51" s="354">
        <v>6.18</v>
      </c>
      <c r="BZ51" s="354">
        <v>4900</v>
      </c>
      <c r="CA51" s="354">
        <v>7.1</v>
      </c>
      <c r="CB51" s="354">
        <v>1.48</v>
      </c>
      <c r="CC51" s="354">
        <v>1640</v>
      </c>
      <c r="CD51" s="354">
        <v>6.93</v>
      </c>
      <c r="CE51" s="354">
        <v>3.25</v>
      </c>
      <c r="CF51" s="354">
        <v>3200</v>
      </c>
      <c r="CG51" s="354">
        <v>0</v>
      </c>
      <c r="CH51" s="354">
        <v>0</v>
      </c>
      <c r="CI51" s="354">
        <v>0</v>
      </c>
      <c r="CJ51" s="354">
        <v>0</v>
      </c>
      <c r="CK51" s="354">
        <v>0</v>
      </c>
      <c r="CL51" s="354">
        <v>0</v>
      </c>
      <c r="CM51" s="220">
        <v>76</v>
      </c>
      <c r="CN51" s="220">
        <v>75.599999999999994</v>
      </c>
      <c r="CO51" s="75">
        <v>6</v>
      </c>
      <c r="CP51" s="76">
        <v>7.66</v>
      </c>
      <c r="CQ51" s="76">
        <v>2.31</v>
      </c>
      <c r="CR51" s="77">
        <v>75.400000000000006</v>
      </c>
      <c r="CS51" s="76">
        <v>19.8</v>
      </c>
      <c r="CT51" s="76">
        <v>1.64</v>
      </c>
      <c r="CU51" s="78">
        <v>24.4</v>
      </c>
      <c r="CV51" s="79">
        <v>2.9</v>
      </c>
      <c r="CW51" s="79">
        <v>20</v>
      </c>
      <c r="CX51" s="79">
        <v>50</v>
      </c>
      <c r="CY51" s="75">
        <v>2</v>
      </c>
      <c r="CZ51" s="76">
        <v>7.77</v>
      </c>
      <c r="DA51" s="76">
        <v>2.44</v>
      </c>
      <c r="DB51" s="80">
        <v>75</v>
      </c>
      <c r="DC51" s="81"/>
      <c r="DD51" s="81"/>
      <c r="DE51" s="82"/>
      <c r="DF51" s="79">
        <v>2.4</v>
      </c>
      <c r="DG51" s="79">
        <v>17</v>
      </c>
      <c r="DH51" s="117">
        <v>51</v>
      </c>
      <c r="DI51" s="121"/>
      <c r="DJ51" s="122"/>
      <c r="DK51" s="122"/>
      <c r="DL51" s="123"/>
      <c r="DM51" s="122"/>
      <c r="DN51" s="122"/>
      <c r="DO51" s="121"/>
      <c r="DP51" s="121"/>
      <c r="DQ51" s="121"/>
      <c r="DR51" s="121"/>
      <c r="DS51" s="85">
        <v>3</v>
      </c>
      <c r="DT51" s="76">
        <v>7.53</v>
      </c>
      <c r="DU51" s="76">
        <v>2.6</v>
      </c>
      <c r="DV51" s="77">
        <v>73.400000000000006</v>
      </c>
      <c r="DW51" s="76">
        <v>25.5</v>
      </c>
      <c r="DX51" s="76">
        <v>1.97</v>
      </c>
      <c r="DY51" s="86">
        <v>18.899999999999999</v>
      </c>
      <c r="DZ51" s="79">
        <v>2.1</v>
      </c>
      <c r="EA51" s="124">
        <v>5</v>
      </c>
      <c r="EB51" s="124">
        <v>7</v>
      </c>
      <c r="EC51" s="124">
        <v>10</v>
      </c>
      <c r="ED51" s="124">
        <v>2</v>
      </c>
      <c r="EE51" s="124">
        <v>9</v>
      </c>
      <c r="EF51" s="124">
        <v>9</v>
      </c>
      <c r="EG51" s="124">
        <v>5</v>
      </c>
      <c r="EH51" s="124">
        <v>86</v>
      </c>
      <c r="EI51" s="124">
        <v>12</v>
      </c>
      <c r="EJ51" s="124">
        <v>0</v>
      </c>
      <c r="EK51" s="79">
        <f t="shared" ref="EK51:EK53" si="118">EA51+EB51+EC51+ED51+EE51+EF51+EG51+EH51+EI51+EJ51</f>
        <v>145</v>
      </c>
      <c r="EL51" s="87">
        <v>34</v>
      </c>
      <c r="EM51" s="79">
        <v>49</v>
      </c>
      <c r="EN51" s="76">
        <v>7.53</v>
      </c>
      <c r="EO51" s="76">
        <v>2.81</v>
      </c>
      <c r="EP51" s="77">
        <v>67.8</v>
      </c>
      <c r="EQ51" s="76">
        <v>27.2</v>
      </c>
      <c r="ER51" s="76">
        <v>2.25</v>
      </c>
      <c r="ES51" s="78">
        <v>16.100000000000001</v>
      </c>
      <c r="ET51" s="79">
        <v>2833</v>
      </c>
      <c r="EU51" s="79">
        <v>2434</v>
      </c>
      <c r="EV51" s="79">
        <v>1182</v>
      </c>
      <c r="EW51" s="79">
        <f t="shared" si="8"/>
        <v>6449</v>
      </c>
      <c r="EX51" s="121">
        <v>53</v>
      </c>
      <c r="EY51" s="341">
        <f>EW51+EW52+EW53+EW54</f>
        <v>28844</v>
      </c>
    </row>
    <row r="52" spans="1:155" ht="17.100000000000001" customHeight="1">
      <c r="A52" s="174"/>
      <c r="B52" s="397" t="s">
        <v>256</v>
      </c>
      <c r="C52" s="202" t="s">
        <v>96</v>
      </c>
      <c r="D52" s="317">
        <f t="shared" si="0"/>
        <v>61.777777777777779</v>
      </c>
      <c r="E52" s="320">
        <f t="shared" si="1"/>
        <v>38.222222222222221</v>
      </c>
      <c r="F52" s="320">
        <f t="shared" si="2"/>
        <v>0</v>
      </c>
      <c r="G52" s="323">
        <f t="shared" si="3"/>
        <v>0</v>
      </c>
      <c r="H52" s="306">
        <v>13.9</v>
      </c>
      <c r="I52" s="309">
        <v>0</v>
      </c>
      <c r="J52" s="309">
        <v>8.6</v>
      </c>
      <c r="K52" s="309">
        <v>0</v>
      </c>
      <c r="L52" s="309">
        <v>0</v>
      </c>
      <c r="M52" s="309"/>
      <c r="N52" s="309"/>
      <c r="O52" s="309"/>
      <c r="P52" s="211"/>
      <c r="Q52" s="214"/>
      <c r="R52" s="306"/>
      <c r="S52" s="309"/>
      <c r="T52" s="309"/>
      <c r="U52" s="309"/>
      <c r="V52" s="309"/>
      <c r="W52" s="309"/>
      <c r="X52" s="336"/>
      <c r="Y52" s="306">
        <f t="shared" si="78"/>
        <v>0</v>
      </c>
      <c r="Z52" s="309">
        <f t="shared" si="78"/>
        <v>0</v>
      </c>
      <c r="AA52" s="309">
        <f t="shared" si="78"/>
        <v>0</v>
      </c>
      <c r="AB52" s="309">
        <f t="shared" si="78"/>
        <v>0</v>
      </c>
      <c r="AC52" s="309">
        <f t="shared" si="78"/>
        <v>0</v>
      </c>
      <c r="AD52" s="309">
        <f t="shared" si="78"/>
        <v>0</v>
      </c>
      <c r="AE52" s="348">
        <f>N52*X52*10</f>
        <v>0</v>
      </c>
      <c r="AF52" s="306"/>
      <c r="AG52" s="211"/>
      <c r="AH52" s="211"/>
      <c r="AI52" s="211"/>
      <c r="AJ52" s="211"/>
      <c r="AK52" s="211"/>
      <c r="AL52" s="214"/>
      <c r="AM52" s="333"/>
      <c r="AN52" s="211"/>
      <c r="AO52" s="211"/>
      <c r="AP52" s="211"/>
      <c r="AQ52" s="211"/>
      <c r="AR52" s="211"/>
      <c r="AS52" s="211"/>
      <c r="AT52" s="306"/>
      <c r="AU52" s="309"/>
      <c r="AV52" s="309"/>
      <c r="AW52" s="309"/>
      <c r="AX52" s="309"/>
      <c r="AY52" s="309"/>
      <c r="AZ52" s="336"/>
      <c r="BA52" s="333"/>
      <c r="BB52" s="333"/>
      <c r="BC52" s="333"/>
      <c r="BD52" s="333"/>
      <c r="BE52" s="333"/>
      <c r="BF52" s="333"/>
      <c r="BG52" s="333"/>
      <c r="BH52" s="333"/>
      <c r="BI52" s="211"/>
      <c r="BJ52" s="211"/>
      <c r="BK52" s="351"/>
      <c r="BL52" s="211"/>
      <c r="BM52" s="211"/>
      <c r="BN52" s="214"/>
      <c r="BO52" s="196">
        <v>75.2</v>
      </c>
      <c r="BP52" s="196">
        <v>0.76300000000000001</v>
      </c>
      <c r="BQ52" s="196">
        <v>4.26</v>
      </c>
      <c r="BR52" s="196">
        <v>72.7</v>
      </c>
      <c r="BS52" s="339">
        <v>0.63400000000000001</v>
      </c>
      <c r="BT52" s="196">
        <v>4.5199999999999996</v>
      </c>
      <c r="BU52" s="355">
        <v>7.1</v>
      </c>
      <c r="BV52" s="355">
        <v>1.36</v>
      </c>
      <c r="BW52" s="355">
        <v>956</v>
      </c>
      <c r="BX52" s="355">
        <v>5.9</v>
      </c>
      <c r="BY52" s="355">
        <v>6.18</v>
      </c>
      <c r="BZ52" s="355">
        <v>4900</v>
      </c>
      <c r="CA52" s="355">
        <v>7.1</v>
      </c>
      <c r="CB52" s="355">
        <v>1.48</v>
      </c>
      <c r="CC52" s="355">
        <v>1640</v>
      </c>
      <c r="CD52" s="355">
        <v>6.93</v>
      </c>
      <c r="CE52" s="355">
        <v>3.25</v>
      </c>
      <c r="CF52" s="355">
        <v>3200</v>
      </c>
      <c r="CG52" s="355">
        <v>0</v>
      </c>
      <c r="CH52" s="355">
        <v>0</v>
      </c>
      <c r="CI52" s="355">
        <v>0</v>
      </c>
      <c r="CJ52" s="355">
        <v>0</v>
      </c>
      <c r="CK52" s="355">
        <v>0</v>
      </c>
      <c r="CL52" s="355">
        <v>0</v>
      </c>
      <c r="CM52" s="205">
        <v>76.599999999999994</v>
      </c>
      <c r="CN52" s="205"/>
      <c r="CO52" s="13">
        <v>7</v>
      </c>
      <c r="CP52" s="10">
        <v>7.66</v>
      </c>
      <c r="CQ52" s="10">
        <v>2.31</v>
      </c>
      <c r="CR52" s="11">
        <v>75.400000000000006</v>
      </c>
      <c r="CS52" s="10">
        <v>19.8</v>
      </c>
      <c r="CT52" s="10">
        <v>1.64</v>
      </c>
      <c r="CU52" s="12">
        <v>24.4</v>
      </c>
      <c r="CV52" s="8">
        <v>2.9</v>
      </c>
      <c r="CW52" s="8">
        <v>8</v>
      </c>
      <c r="CX52" s="8">
        <v>49</v>
      </c>
      <c r="CY52" s="13">
        <v>7</v>
      </c>
      <c r="CZ52" s="10">
        <v>7.64</v>
      </c>
      <c r="DA52" s="10">
        <v>2.4</v>
      </c>
      <c r="DB52" s="14">
        <v>74.400000000000006</v>
      </c>
      <c r="DC52" s="15">
        <v>22.7</v>
      </c>
      <c r="DD52" s="15">
        <v>1.88</v>
      </c>
      <c r="DE52" s="16" t="s">
        <v>108</v>
      </c>
      <c r="DF52" s="8">
        <v>2.2999999999999998</v>
      </c>
      <c r="DG52" s="8">
        <v>13</v>
      </c>
      <c r="DH52" s="29">
        <v>49</v>
      </c>
      <c r="DI52" s="23"/>
      <c r="DJ52" s="21"/>
      <c r="DK52" s="21"/>
      <c r="DL52" s="22"/>
      <c r="DM52" s="21"/>
      <c r="DN52" s="21"/>
      <c r="DO52" s="23"/>
      <c r="DP52" s="23"/>
      <c r="DQ52" s="23"/>
      <c r="DR52" s="23"/>
      <c r="DS52" s="19">
        <v>9</v>
      </c>
      <c r="DT52" s="10">
        <v>7.53</v>
      </c>
      <c r="DU52" s="10">
        <v>2.6</v>
      </c>
      <c r="DV52" s="11">
        <v>73.400000000000006</v>
      </c>
      <c r="DW52" s="10">
        <v>25.5</v>
      </c>
      <c r="DX52" s="10">
        <v>1.97</v>
      </c>
      <c r="DY52" s="20">
        <v>18.899999999999999</v>
      </c>
      <c r="DZ52" s="8">
        <v>2.2000000000000002</v>
      </c>
      <c r="EA52" s="30">
        <v>5</v>
      </c>
      <c r="EB52" s="30">
        <v>14</v>
      </c>
      <c r="EC52" s="30">
        <v>14</v>
      </c>
      <c r="ED52" s="30">
        <v>2</v>
      </c>
      <c r="EE52" s="30">
        <v>11</v>
      </c>
      <c r="EF52" s="30">
        <v>9</v>
      </c>
      <c r="EG52" s="30">
        <v>5</v>
      </c>
      <c r="EH52" s="32">
        <v>92</v>
      </c>
      <c r="EI52" s="30">
        <v>22</v>
      </c>
      <c r="EJ52" s="30">
        <v>28</v>
      </c>
      <c r="EK52" s="8">
        <f t="shared" si="118"/>
        <v>202</v>
      </c>
      <c r="EL52" s="9">
        <v>36</v>
      </c>
      <c r="EM52" s="8">
        <v>50</v>
      </c>
      <c r="EN52" s="10">
        <v>7.3</v>
      </c>
      <c r="EO52" s="10">
        <v>2.4700000000000002</v>
      </c>
      <c r="EP52" s="11">
        <v>69.5</v>
      </c>
      <c r="EQ52" s="10">
        <v>29.4</v>
      </c>
      <c r="ER52" s="10">
        <v>2.1</v>
      </c>
      <c r="ES52" s="8" t="s">
        <v>118</v>
      </c>
      <c r="ET52" s="8">
        <v>6727</v>
      </c>
      <c r="EU52" s="8">
        <v>2923</v>
      </c>
      <c r="EV52" s="8">
        <v>665</v>
      </c>
      <c r="EW52" s="8">
        <f>SUM(ET52:EV52)</f>
        <v>10315</v>
      </c>
      <c r="EX52" s="23">
        <v>50</v>
      </c>
      <c r="EY52" s="342"/>
    </row>
    <row r="53" spans="1:155" ht="17.100000000000001" customHeight="1">
      <c r="A53" s="174"/>
      <c r="B53" s="397" t="s">
        <v>256</v>
      </c>
      <c r="C53" s="202" t="s">
        <v>96</v>
      </c>
      <c r="D53" s="317">
        <f t="shared" si="0"/>
        <v>61.777777777777779</v>
      </c>
      <c r="E53" s="320">
        <f t="shared" si="1"/>
        <v>38.222222222222221</v>
      </c>
      <c r="F53" s="320">
        <f t="shared" si="2"/>
        <v>0</v>
      </c>
      <c r="G53" s="323">
        <f t="shared" si="3"/>
        <v>0</v>
      </c>
      <c r="H53" s="306">
        <v>13.9</v>
      </c>
      <c r="I53" s="309">
        <v>0</v>
      </c>
      <c r="J53" s="309">
        <v>8.6</v>
      </c>
      <c r="K53" s="309">
        <v>0</v>
      </c>
      <c r="L53" s="309">
        <v>0</v>
      </c>
      <c r="M53" s="309"/>
      <c r="N53" s="309"/>
      <c r="O53" s="309"/>
      <c r="P53" s="211"/>
      <c r="Q53" s="214"/>
      <c r="R53" s="306"/>
      <c r="S53" s="309"/>
      <c r="T53" s="309"/>
      <c r="U53" s="309"/>
      <c r="V53" s="309"/>
      <c r="W53" s="309"/>
      <c r="X53" s="336"/>
      <c r="Y53" s="306">
        <f t="shared" si="78"/>
        <v>0</v>
      </c>
      <c r="Z53" s="309">
        <f t="shared" si="78"/>
        <v>0</v>
      </c>
      <c r="AA53" s="309">
        <f t="shared" si="78"/>
        <v>0</v>
      </c>
      <c r="AB53" s="309">
        <f t="shared" si="78"/>
        <v>0</v>
      </c>
      <c r="AC53" s="309">
        <f t="shared" si="78"/>
        <v>0</v>
      </c>
      <c r="AD53" s="309">
        <f t="shared" si="78"/>
        <v>0</v>
      </c>
      <c r="AE53" s="348">
        <f>N53*X53*10</f>
        <v>0</v>
      </c>
      <c r="AF53" s="306"/>
      <c r="AG53" s="211"/>
      <c r="AH53" s="211"/>
      <c r="AI53" s="211"/>
      <c r="AJ53" s="211"/>
      <c r="AK53" s="211"/>
      <c r="AL53" s="214"/>
      <c r="AM53" s="333"/>
      <c r="AN53" s="211"/>
      <c r="AO53" s="211"/>
      <c r="AP53" s="211"/>
      <c r="AQ53" s="211"/>
      <c r="AR53" s="211"/>
      <c r="AS53" s="211"/>
      <c r="AT53" s="306"/>
      <c r="AU53" s="309"/>
      <c r="AV53" s="309"/>
      <c r="AW53" s="309"/>
      <c r="AX53" s="309"/>
      <c r="AY53" s="309"/>
      <c r="AZ53" s="336"/>
      <c r="BA53" s="333"/>
      <c r="BB53" s="333"/>
      <c r="BC53" s="333"/>
      <c r="BD53" s="333"/>
      <c r="BE53" s="333"/>
      <c r="BF53" s="333"/>
      <c r="BG53" s="333"/>
      <c r="BH53" s="333"/>
      <c r="BI53" s="211"/>
      <c r="BJ53" s="211"/>
      <c r="BK53" s="351"/>
      <c r="BL53" s="211"/>
      <c r="BM53" s="211"/>
      <c r="BN53" s="214"/>
      <c r="BO53" s="196">
        <v>72</v>
      </c>
      <c r="BP53" s="196">
        <v>0.501</v>
      </c>
      <c r="BQ53" s="196">
        <v>4.8899999999999997</v>
      </c>
      <c r="BR53" s="196">
        <v>71.599999999999994</v>
      </c>
      <c r="BS53" s="339">
        <v>0.56399999999999995</v>
      </c>
      <c r="BT53" s="196">
        <v>4.05</v>
      </c>
      <c r="BU53" s="355">
        <v>7.1</v>
      </c>
      <c r="BV53" s="355">
        <v>1.36</v>
      </c>
      <c r="BW53" s="355">
        <v>956</v>
      </c>
      <c r="BX53" s="355">
        <v>5.9</v>
      </c>
      <c r="BY53" s="355">
        <v>6.18</v>
      </c>
      <c r="BZ53" s="355">
        <v>4900</v>
      </c>
      <c r="CA53" s="355">
        <v>7.1</v>
      </c>
      <c r="CB53" s="355">
        <v>1.48</v>
      </c>
      <c r="CC53" s="355">
        <v>1640</v>
      </c>
      <c r="CD53" s="355">
        <v>6.93</v>
      </c>
      <c r="CE53" s="355">
        <v>3.25</v>
      </c>
      <c r="CF53" s="355">
        <v>3200</v>
      </c>
      <c r="CG53" s="355">
        <v>0</v>
      </c>
      <c r="CH53" s="355">
        <v>0</v>
      </c>
      <c r="CI53" s="355">
        <v>0</v>
      </c>
      <c r="CJ53" s="355">
        <v>0</v>
      </c>
      <c r="CK53" s="355">
        <v>0</v>
      </c>
      <c r="CL53" s="355">
        <v>0</v>
      </c>
      <c r="CM53" s="205">
        <v>76.5</v>
      </c>
      <c r="CN53" s="205"/>
      <c r="CO53" s="13">
        <v>8</v>
      </c>
      <c r="CP53" s="10">
        <v>7.66</v>
      </c>
      <c r="CQ53" s="10">
        <v>2.31</v>
      </c>
      <c r="CR53" s="11">
        <v>75.400000000000006</v>
      </c>
      <c r="CS53" s="10">
        <v>19.8</v>
      </c>
      <c r="CT53" s="10">
        <v>1.64</v>
      </c>
      <c r="CU53" s="12">
        <v>24.4</v>
      </c>
      <c r="CV53" s="8">
        <v>2.9</v>
      </c>
      <c r="CW53" s="8">
        <v>18</v>
      </c>
      <c r="CX53" s="8">
        <v>45</v>
      </c>
      <c r="CY53" s="13">
        <v>8</v>
      </c>
      <c r="CZ53" s="10">
        <v>7.64</v>
      </c>
      <c r="DA53" s="10">
        <v>2.4</v>
      </c>
      <c r="DB53" s="14">
        <v>74.400000000000006</v>
      </c>
      <c r="DC53" s="15">
        <v>22.7</v>
      </c>
      <c r="DD53" s="15">
        <v>1.88</v>
      </c>
      <c r="DE53" s="16" t="s">
        <v>108</v>
      </c>
      <c r="DF53" s="8">
        <v>2.2999999999999998</v>
      </c>
      <c r="DG53" s="8">
        <v>13</v>
      </c>
      <c r="DH53" s="29">
        <v>49</v>
      </c>
      <c r="DI53" s="23"/>
      <c r="DJ53" s="21"/>
      <c r="DK53" s="21"/>
      <c r="DL53" s="22"/>
      <c r="DM53" s="21"/>
      <c r="DN53" s="21"/>
      <c r="DO53" s="23"/>
      <c r="DP53" s="23"/>
      <c r="DQ53" s="23"/>
      <c r="DR53" s="23"/>
      <c r="DS53" s="19">
        <v>12</v>
      </c>
      <c r="DT53" s="10">
        <v>7.53</v>
      </c>
      <c r="DU53" s="10">
        <v>2.6</v>
      </c>
      <c r="DV53" s="11">
        <v>73.400000000000006</v>
      </c>
      <c r="DW53" s="10">
        <v>25.5</v>
      </c>
      <c r="DX53" s="10">
        <v>1.97</v>
      </c>
      <c r="DY53" s="20">
        <v>18.899999999999999</v>
      </c>
      <c r="DZ53" s="8">
        <v>2.2999999999999998</v>
      </c>
      <c r="EA53" s="30">
        <v>4</v>
      </c>
      <c r="EB53" s="30">
        <v>14</v>
      </c>
      <c r="EC53" s="30">
        <v>12</v>
      </c>
      <c r="ED53" s="30">
        <v>0</v>
      </c>
      <c r="EE53" s="30">
        <v>10</v>
      </c>
      <c r="EF53" s="30">
        <v>8</v>
      </c>
      <c r="EG53" s="30">
        <v>3</v>
      </c>
      <c r="EH53" s="32">
        <v>92</v>
      </c>
      <c r="EI53" s="30">
        <v>8</v>
      </c>
      <c r="EJ53" s="30">
        <v>17</v>
      </c>
      <c r="EK53" s="8">
        <f t="shared" si="118"/>
        <v>168</v>
      </c>
      <c r="EL53" s="9">
        <v>35</v>
      </c>
      <c r="EM53" s="8">
        <v>11</v>
      </c>
      <c r="EN53" s="10">
        <v>7.56</v>
      </c>
      <c r="EO53" s="10">
        <v>2.7</v>
      </c>
      <c r="EP53" s="11">
        <v>68</v>
      </c>
      <c r="EQ53" s="10">
        <v>26.9</v>
      </c>
      <c r="ER53" s="10">
        <v>2.14</v>
      </c>
      <c r="ES53" s="12">
        <v>0.70902777777777781</v>
      </c>
      <c r="ET53" s="8">
        <v>2715</v>
      </c>
      <c r="EU53" s="8">
        <v>2711</v>
      </c>
      <c r="EV53" s="8">
        <v>0</v>
      </c>
      <c r="EW53" s="8">
        <f t="shared" si="8"/>
        <v>5426</v>
      </c>
      <c r="EX53" s="23">
        <v>49</v>
      </c>
      <c r="EY53" s="342"/>
    </row>
    <row r="54" spans="1:155" s="401" customFormat="1" ht="17.100000000000001" customHeight="1" thickBot="1">
      <c r="A54" s="175"/>
      <c r="B54" s="400" t="s">
        <v>256</v>
      </c>
      <c r="C54" s="203" t="s">
        <v>96</v>
      </c>
      <c r="D54" s="318">
        <f t="shared" si="0"/>
        <v>61.777777777777779</v>
      </c>
      <c r="E54" s="321">
        <f t="shared" si="1"/>
        <v>38.222222222222221</v>
      </c>
      <c r="F54" s="321">
        <f t="shared" si="2"/>
        <v>0</v>
      </c>
      <c r="G54" s="324">
        <f t="shared" si="3"/>
        <v>0</v>
      </c>
      <c r="H54" s="307">
        <v>13.9</v>
      </c>
      <c r="I54" s="310">
        <v>0</v>
      </c>
      <c r="J54" s="310">
        <v>8.6</v>
      </c>
      <c r="K54" s="310">
        <v>0</v>
      </c>
      <c r="L54" s="310">
        <v>0</v>
      </c>
      <c r="M54" s="310"/>
      <c r="N54" s="310"/>
      <c r="O54" s="310"/>
      <c r="P54" s="302"/>
      <c r="Q54" s="304"/>
      <c r="R54" s="307"/>
      <c r="S54" s="310"/>
      <c r="T54" s="310"/>
      <c r="U54" s="310"/>
      <c r="V54" s="310"/>
      <c r="W54" s="310"/>
      <c r="X54" s="337"/>
      <c r="Y54" s="307">
        <f t="shared" si="78"/>
        <v>0</v>
      </c>
      <c r="Z54" s="310">
        <f t="shared" si="78"/>
        <v>0</v>
      </c>
      <c r="AA54" s="310">
        <f t="shared" si="78"/>
        <v>0</v>
      </c>
      <c r="AB54" s="310">
        <f t="shared" si="78"/>
        <v>0</v>
      </c>
      <c r="AC54" s="310">
        <f t="shared" si="78"/>
        <v>0</v>
      </c>
      <c r="AD54" s="310">
        <f t="shared" si="78"/>
        <v>0</v>
      </c>
      <c r="AE54" s="349">
        <f>N54*X54*10</f>
        <v>0</v>
      </c>
      <c r="AF54" s="307"/>
      <c r="AG54" s="302"/>
      <c r="AH54" s="302"/>
      <c r="AI54" s="302"/>
      <c r="AJ54" s="302"/>
      <c r="AK54" s="302"/>
      <c r="AL54" s="304"/>
      <c r="AM54" s="334"/>
      <c r="AN54" s="302"/>
      <c r="AO54" s="302"/>
      <c r="AP54" s="302"/>
      <c r="AQ54" s="302"/>
      <c r="AR54" s="302"/>
      <c r="AS54" s="302"/>
      <c r="AT54" s="307"/>
      <c r="AU54" s="310"/>
      <c r="AV54" s="310"/>
      <c r="AW54" s="310"/>
      <c r="AX54" s="310"/>
      <c r="AY54" s="310"/>
      <c r="AZ54" s="337"/>
      <c r="BA54" s="334"/>
      <c r="BB54" s="334"/>
      <c r="BC54" s="334"/>
      <c r="BD54" s="334"/>
      <c r="BE54" s="334"/>
      <c r="BF54" s="334"/>
      <c r="BG54" s="334"/>
      <c r="BH54" s="334"/>
      <c r="BI54" s="302"/>
      <c r="BJ54" s="302"/>
      <c r="BK54" s="352"/>
      <c r="BL54" s="302"/>
      <c r="BM54" s="302"/>
      <c r="BN54" s="304"/>
      <c r="BO54" s="217">
        <v>70.400000000000006</v>
      </c>
      <c r="BP54" s="217">
        <v>0.65500000000000003</v>
      </c>
      <c r="BQ54" s="217">
        <v>3.42</v>
      </c>
      <c r="BR54" s="217">
        <v>69.8</v>
      </c>
      <c r="BS54" s="340">
        <v>0.57199999999999995</v>
      </c>
      <c r="BT54" s="217">
        <v>3.38</v>
      </c>
      <c r="BU54" s="312">
        <v>7.1</v>
      </c>
      <c r="BV54" s="312">
        <v>1.36</v>
      </c>
      <c r="BW54" s="312">
        <v>956</v>
      </c>
      <c r="BX54" s="312">
        <v>5.9</v>
      </c>
      <c r="BY54" s="312">
        <v>6.18</v>
      </c>
      <c r="BZ54" s="312">
        <v>4900</v>
      </c>
      <c r="CA54" s="312">
        <v>7.1</v>
      </c>
      <c r="CB54" s="312">
        <v>1.48</v>
      </c>
      <c r="CC54" s="312">
        <v>1640</v>
      </c>
      <c r="CD54" s="312">
        <v>6.93</v>
      </c>
      <c r="CE54" s="312">
        <v>3.25</v>
      </c>
      <c r="CF54" s="312">
        <v>3200</v>
      </c>
      <c r="CG54" s="312">
        <v>0</v>
      </c>
      <c r="CH54" s="312">
        <v>0</v>
      </c>
      <c r="CI54" s="312">
        <v>0</v>
      </c>
      <c r="CJ54" s="312">
        <v>0</v>
      </c>
      <c r="CK54" s="312">
        <v>0</v>
      </c>
      <c r="CL54" s="312">
        <v>0</v>
      </c>
      <c r="CM54" s="221">
        <v>76</v>
      </c>
      <c r="CN54" s="221"/>
      <c r="CO54" s="98"/>
      <c r="CP54" s="99"/>
      <c r="CQ54" s="99"/>
      <c r="CR54" s="100"/>
      <c r="CS54" s="99"/>
      <c r="CT54" s="99"/>
      <c r="CU54" s="101"/>
      <c r="CV54" s="102"/>
      <c r="CW54" s="102"/>
      <c r="CX54" s="102"/>
      <c r="CY54" s="103"/>
      <c r="CZ54" s="99"/>
      <c r="DA54" s="99"/>
      <c r="DB54" s="100"/>
      <c r="DC54" s="99"/>
      <c r="DD54" s="99"/>
      <c r="DE54" s="104"/>
      <c r="DF54" s="102"/>
      <c r="DG54" s="102"/>
      <c r="DH54" s="119"/>
      <c r="DI54" s="101"/>
      <c r="DJ54" s="99"/>
      <c r="DK54" s="99"/>
      <c r="DL54" s="100"/>
      <c r="DM54" s="99"/>
      <c r="DN54" s="99"/>
      <c r="DO54" s="101"/>
      <c r="DP54" s="101"/>
      <c r="DQ54" s="101"/>
      <c r="DR54" s="101"/>
      <c r="DS54" s="105"/>
      <c r="DT54" s="99"/>
      <c r="DU54" s="99"/>
      <c r="DV54" s="100"/>
      <c r="DW54" s="99"/>
      <c r="DX54" s="99"/>
      <c r="DY54" s="104"/>
      <c r="DZ54" s="102"/>
      <c r="EA54" s="125"/>
      <c r="EB54" s="125"/>
      <c r="EC54" s="125"/>
      <c r="ED54" s="125"/>
      <c r="EE54" s="125"/>
      <c r="EF54" s="125"/>
      <c r="EG54" s="125"/>
      <c r="EH54" s="127"/>
      <c r="EI54" s="125"/>
      <c r="EJ54" s="125"/>
      <c r="EK54" s="102"/>
      <c r="EL54" s="106" t="s">
        <v>144</v>
      </c>
      <c r="EM54" s="102">
        <v>48</v>
      </c>
      <c r="EN54" s="107">
        <v>7.6</v>
      </c>
      <c r="EO54" s="107">
        <v>2.78</v>
      </c>
      <c r="EP54" s="108">
        <v>68.3</v>
      </c>
      <c r="EQ54" s="107">
        <v>27.8</v>
      </c>
      <c r="ER54" s="107">
        <v>2.2599999999999998</v>
      </c>
      <c r="ES54" s="109">
        <v>15.9</v>
      </c>
      <c r="ET54" s="102">
        <v>1842</v>
      </c>
      <c r="EU54" s="102">
        <v>2521</v>
      </c>
      <c r="EV54" s="102">
        <v>2291</v>
      </c>
      <c r="EW54" s="102">
        <f t="shared" si="8"/>
        <v>6654</v>
      </c>
      <c r="EX54" s="101">
        <v>50</v>
      </c>
      <c r="EY54" s="343"/>
    </row>
    <row r="55" spans="1:155" s="398" customFormat="1" ht="17.100000000000001" customHeight="1">
      <c r="A55" s="173">
        <v>13</v>
      </c>
      <c r="B55" s="397" t="s">
        <v>257</v>
      </c>
      <c r="C55" s="201" t="s">
        <v>96</v>
      </c>
      <c r="D55" s="316">
        <f t="shared" si="0"/>
        <v>61.777777777777779</v>
      </c>
      <c r="E55" s="319">
        <f t="shared" si="1"/>
        <v>38.222222222222221</v>
      </c>
      <c r="F55" s="319">
        <f t="shared" si="2"/>
        <v>0</v>
      </c>
      <c r="G55" s="322">
        <f t="shared" si="3"/>
        <v>0</v>
      </c>
      <c r="H55" s="305">
        <v>13.9</v>
      </c>
      <c r="I55" s="308">
        <v>0</v>
      </c>
      <c r="J55" s="308">
        <v>8.6</v>
      </c>
      <c r="K55" s="308">
        <v>0</v>
      </c>
      <c r="L55" s="308">
        <v>0</v>
      </c>
      <c r="M55" s="308">
        <v>8</v>
      </c>
      <c r="N55" s="308">
        <v>1.7</v>
      </c>
      <c r="O55" s="308">
        <v>0.22</v>
      </c>
      <c r="P55" s="301"/>
      <c r="Q55" s="303"/>
      <c r="R55" s="305">
        <v>0.91</v>
      </c>
      <c r="S55" s="308">
        <v>0</v>
      </c>
      <c r="T55" s="308">
        <v>0.42</v>
      </c>
      <c r="U55" s="308">
        <v>0</v>
      </c>
      <c r="V55" s="308">
        <v>0</v>
      </c>
      <c r="W55" s="308">
        <v>3.29</v>
      </c>
      <c r="X55" s="335">
        <v>20.5</v>
      </c>
      <c r="Y55" s="305">
        <f t="shared" si="78"/>
        <v>126.49000000000001</v>
      </c>
      <c r="Z55" s="308">
        <f t="shared" si="78"/>
        <v>0</v>
      </c>
      <c r="AA55" s="308">
        <f t="shared" si="78"/>
        <v>36.119999999999997</v>
      </c>
      <c r="AB55" s="308">
        <f t="shared" si="78"/>
        <v>0</v>
      </c>
      <c r="AC55" s="308">
        <f t="shared" si="78"/>
        <v>0</v>
      </c>
      <c r="AD55" s="308">
        <f t="shared" si="78"/>
        <v>263.2</v>
      </c>
      <c r="AE55" s="335">
        <f>O55*X55*10</f>
        <v>45.099999999999994</v>
      </c>
      <c r="AF55" s="305">
        <v>11.5</v>
      </c>
      <c r="AG55" s="301">
        <v>0</v>
      </c>
      <c r="AH55" s="301">
        <v>1.8</v>
      </c>
      <c r="AI55" s="301">
        <v>0</v>
      </c>
      <c r="AJ55" s="301">
        <v>0</v>
      </c>
      <c r="AK55" s="301">
        <v>29.2</v>
      </c>
      <c r="AL55" s="303">
        <v>85.3</v>
      </c>
      <c r="AM55" s="332">
        <f>H55*AF55*10</f>
        <v>1598.5</v>
      </c>
      <c r="AN55" s="301">
        <f t="shared" ref="AN55:AS55" si="119">I55*AG55*10</f>
        <v>0</v>
      </c>
      <c r="AO55" s="301">
        <f t="shared" si="119"/>
        <v>154.80000000000001</v>
      </c>
      <c r="AP55" s="301">
        <f t="shared" si="119"/>
        <v>0</v>
      </c>
      <c r="AQ55" s="301">
        <f t="shared" si="119"/>
        <v>0</v>
      </c>
      <c r="AR55" s="301">
        <f t="shared" si="119"/>
        <v>2336</v>
      </c>
      <c r="AS55" s="301">
        <f t="shared" si="119"/>
        <v>1450.1</v>
      </c>
      <c r="AT55" s="305">
        <v>12.3</v>
      </c>
      <c r="AU55" s="308">
        <v>0</v>
      </c>
      <c r="AV55" s="308">
        <v>55.3</v>
      </c>
      <c r="AW55" s="308">
        <v>0</v>
      </c>
      <c r="AX55" s="308">
        <v>0</v>
      </c>
      <c r="AY55" s="308">
        <v>22.8</v>
      </c>
      <c r="AZ55" s="335">
        <v>31.9</v>
      </c>
      <c r="BA55" s="332">
        <f t="shared" ref="BA55:BG55" si="120">(H55*3*1000)/(1-AT55/100)</f>
        <v>47548.460661345496</v>
      </c>
      <c r="BB55" s="332">
        <f t="shared" si="120"/>
        <v>0</v>
      </c>
      <c r="BC55" s="332">
        <f t="shared" si="120"/>
        <v>57718.120805369108</v>
      </c>
      <c r="BD55" s="332">
        <f t="shared" si="120"/>
        <v>0</v>
      </c>
      <c r="BE55" s="332">
        <f t="shared" si="120"/>
        <v>0</v>
      </c>
      <c r="BF55" s="332">
        <f t="shared" si="120"/>
        <v>31088.082901554404</v>
      </c>
      <c r="BG55" s="332">
        <f t="shared" si="120"/>
        <v>7488.9867841409687</v>
      </c>
      <c r="BH55" s="332">
        <f t="shared" ref="BH55" si="121">H55+I55+J55+K55+L55</f>
        <v>22.5</v>
      </c>
      <c r="BI55" s="301">
        <f t="shared" ref="BI55" si="122">M55+N55+O55</f>
        <v>9.92</v>
      </c>
      <c r="BJ55" s="301">
        <f t="shared" ref="BJ55" si="123">BH55+BI55</f>
        <v>32.42</v>
      </c>
      <c r="BK55" s="301">
        <f t="shared" ref="BK55" si="124">Y55+Z55+AA55+AB55+AC55+AD55+AE55</f>
        <v>470.90999999999997</v>
      </c>
      <c r="BL55" s="301">
        <f t="shared" ref="BL55" si="125">AM55+AN55+AO55+AP55+AQ55+AR55+AS55</f>
        <v>5539.4</v>
      </c>
      <c r="BM55" s="301">
        <f t="shared" ref="BM55" si="126">BJ55*3*1000</f>
        <v>97260</v>
      </c>
      <c r="BN55" s="303">
        <f t="shared" ref="BN55" si="127">BA55+BB55+BC55+BD55+BE55+BF55+BG55</f>
        <v>143843.65115240996</v>
      </c>
      <c r="BO55" s="216">
        <v>72</v>
      </c>
      <c r="BP55" s="216">
        <v>0.56200000000000006</v>
      </c>
      <c r="BQ55" s="216">
        <v>3.41</v>
      </c>
      <c r="BR55" s="216">
        <v>71</v>
      </c>
      <c r="BS55" s="338">
        <v>0.52800000000000002</v>
      </c>
      <c r="BT55" s="216">
        <v>3.43</v>
      </c>
      <c r="BU55" s="354">
        <v>7.14</v>
      </c>
      <c r="BV55" s="354">
        <v>1.45</v>
      </c>
      <c r="BW55" s="354">
        <v>1380</v>
      </c>
      <c r="BX55" s="354">
        <v>6.11</v>
      </c>
      <c r="BY55" s="354">
        <v>8</v>
      </c>
      <c r="BZ55" s="354">
        <v>5100</v>
      </c>
      <c r="CA55" s="354">
        <v>7.03</v>
      </c>
      <c r="CB55" s="354">
        <v>1.51</v>
      </c>
      <c r="CC55" s="354">
        <v>1430</v>
      </c>
      <c r="CD55" s="354">
        <v>7.18</v>
      </c>
      <c r="CE55" s="354">
        <v>3.19</v>
      </c>
      <c r="CF55" s="354">
        <v>2700</v>
      </c>
      <c r="CG55" s="354">
        <v>0</v>
      </c>
      <c r="CH55" s="354">
        <v>0</v>
      </c>
      <c r="CI55" s="354">
        <v>0</v>
      </c>
      <c r="CJ55" s="354">
        <v>0</v>
      </c>
      <c r="CK55" s="354">
        <v>0</v>
      </c>
      <c r="CL55" s="354">
        <v>0</v>
      </c>
      <c r="CM55" s="220">
        <v>76.3</v>
      </c>
      <c r="CN55" s="220">
        <v>75.900000000000006</v>
      </c>
      <c r="CO55" s="75">
        <v>3</v>
      </c>
      <c r="CP55" s="76">
        <v>7.76</v>
      </c>
      <c r="CQ55" s="76">
        <v>2.29</v>
      </c>
      <c r="CR55" s="77">
        <v>76.3</v>
      </c>
      <c r="CS55" s="76">
        <v>19.100000000000001</v>
      </c>
      <c r="CT55" s="76">
        <v>1.61</v>
      </c>
      <c r="CU55" s="78">
        <v>25.1</v>
      </c>
      <c r="CV55" s="79">
        <v>2.4</v>
      </c>
      <c r="CW55" s="79">
        <v>10</v>
      </c>
      <c r="CX55" s="79">
        <v>38</v>
      </c>
      <c r="CY55" s="75">
        <v>9</v>
      </c>
      <c r="CZ55" s="76">
        <v>7.78</v>
      </c>
      <c r="DA55" s="76">
        <v>2.48</v>
      </c>
      <c r="DB55" s="77">
        <v>75.3</v>
      </c>
      <c r="DC55" s="81"/>
      <c r="DD55" s="81"/>
      <c r="DE55" s="82"/>
      <c r="DF55" s="79">
        <v>2.2999999999999998</v>
      </c>
      <c r="DG55" s="79">
        <v>11</v>
      </c>
      <c r="DH55" s="79">
        <v>53</v>
      </c>
      <c r="DI55" s="121"/>
      <c r="DJ55" s="122"/>
      <c r="DK55" s="122"/>
      <c r="DL55" s="123"/>
      <c r="DM55" s="122"/>
      <c r="DN55" s="122"/>
      <c r="DO55" s="121"/>
      <c r="DP55" s="121"/>
      <c r="DQ55" s="121"/>
      <c r="DR55" s="121"/>
      <c r="DS55" s="85">
        <v>7</v>
      </c>
      <c r="DT55" s="76">
        <v>7.81</v>
      </c>
      <c r="DU55" s="76">
        <v>2.68</v>
      </c>
      <c r="DV55" s="77">
        <v>74</v>
      </c>
      <c r="DW55" s="76">
        <v>20.100000000000001</v>
      </c>
      <c r="DX55" s="76">
        <v>1.86</v>
      </c>
      <c r="DY55" s="86">
        <v>19.8</v>
      </c>
      <c r="DZ55" s="79">
        <v>2.2999999999999998</v>
      </c>
      <c r="EA55" s="79">
        <v>11</v>
      </c>
      <c r="EB55" s="79">
        <v>6</v>
      </c>
      <c r="EC55" s="79">
        <v>6</v>
      </c>
      <c r="ED55" s="79">
        <v>2</v>
      </c>
      <c r="EE55" s="79">
        <v>7</v>
      </c>
      <c r="EF55" s="79">
        <v>8</v>
      </c>
      <c r="EG55" s="79">
        <v>0</v>
      </c>
      <c r="EH55" s="79">
        <v>92</v>
      </c>
      <c r="EI55" s="79">
        <v>30</v>
      </c>
      <c r="EJ55" s="79">
        <v>34</v>
      </c>
      <c r="EK55" s="79">
        <f t="shared" ref="EK55:EK57" si="128">EA55+EB55+EC55+ED55+EE55+EF55+EG55+EH55+EI55+EJ55</f>
        <v>196</v>
      </c>
      <c r="EL55" s="87">
        <v>38</v>
      </c>
      <c r="EM55" s="79">
        <v>52</v>
      </c>
      <c r="EN55" s="76">
        <v>7.42</v>
      </c>
      <c r="EO55" s="76">
        <v>2.9</v>
      </c>
      <c r="EP55" s="77">
        <v>67</v>
      </c>
      <c r="EQ55" s="76">
        <v>28</v>
      </c>
      <c r="ER55" s="76">
        <v>2.21</v>
      </c>
      <c r="ES55" s="78">
        <v>16.7</v>
      </c>
      <c r="ET55" s="79">
        <v>5794</v>
      </c>
      <c r="EU55" s="79">
        <v>3825</v>
      </c>
      <c r="EV55" s="79">
        <v>0</v>
      </c>
      <c r="EW55" s="79">
        <f t="shared" si="8"/>
        <v>9619</v>
      </c>
      <c r="EX55" s="121">
        <v>51</v>
      </c>
      <c r="EY55" s="341">
        <f>EW55+EW56+EW57+EW58</f>
        <v>31960</v>
      </c>
    </row>
    <row r="56" spans="1:155" ht="17.100000000000001" customHeight="1">
      <c r="A56" s="174"/>
      <c r="B56" s="397" t="s">
        <v>257</v>
      </c>
      <c r="C56" s="202" t="s">
        <v>96</v>
      </c>
      <c r="D56" s="317">
        <f t="shared" si="0"/>
        <v>61.777777777777779</v>
      </c>
      <c r="E56" s="320">
        <f t="shared" si="1"/>
        <v>38.222222222222221</v>
      </c>
      <c r="F56" s="320">
        <f t="shared" si="2"/>
        <v>0</v>
      </c>
      <c r="G56" s="323">
        <f t="shared" si="3"/>
        <v>0</v>
      </c>
      <c r="H56" s="306">
        <v>13.9</v>
      </c>
      <c r="I56" s="309">
        <v>0</v>
      </c>
      <c r="J56" s="309">
        <v>8.6</v>
      </c>
      <c r="K56" s="309">
        <v>0</v>
      </c>
      <c r="L56" s="309">
        <v>0</v>
      </c>
      <c r="M56" s="309"/>
      <c r="N56" s="309"/>
      <c r="O56" s="309"/>
      <c r="P56" s="211"/>
      <c r="Q56" s="214"/>
      <c r="R56" s="306"/>
      <c r="S56" s="309"/>
      <c r="T56" s="309"/>
      <c r="U56" s="309"/>
      <c r="V56" s="309"/>
      <c r="W56" s="309"/>
      <c r="X56" s="336"/>
      <c r="Y56" s="306">
        <f t="shared" si="78"/>
        <v>0</v>
      </c>
      <c r="Z56" s="309">
        <f t="shared" si="78"/>
        <v>0</v>
      </c>
      <c r="AA56" s="309">
        <f t="shared" si="78"/>
        <v>0</v>
      </c>
      <c r="AB56" s="309">
        <f t="shared" si="78"/>
        <v>0</v>
      </c>
      <c r="AC56" s="309">
        <f t="shared" si="78"/>
        <v>0</v>
      </c>
      <c r="AD56" s="309">
        <f t="shared" si="78"/>
        <v>0</v>
      </c>
      <c r="AE56" s="336">
        <f>N56*X56*10</f>
        <v>0</v>
      </c>
      <c r="AF56" s="306"/>
      <c r="AG56" s="211"/>
      <c r="AH56" s="211"/>
      <c r="AI56" s="211"/>
      <c r="AJ56" s="211"/>
      <c r="AK56" s="211"/>
      <c r="AL56" s="214"/>
      <c r="AM56" s="333"/>
      <c r="AN56" s="211"/>
      <c r="AO56" s="211"/>
      <c r="AP56" s="211"/>
      <c r="AQ56" s="211"/>
      <c r="AR56" s="211"/>
      <c r="AS56" s="211"/>
      <c r="AT56" s="306"/>
      <c r="AU56" s="309"/>
      <c r="AV56" s="309"/>
      <c r="AW56" s="309"/>
      <c r="AX56" s="309"/>
      <c r="AY56" s="309"/>
      <c r="AZ56" s="336"/>
      <c r="BA56" s="333"/>
      <c r="BB56" s="333"/>
      <c r="BC56" s="333"/>
      <c r="BD56" s="333"/>
      <c r="BE56" s="333"/>
      <c r="BF56" s="333"/>
      <c r="BG56" s="333"/>
      <c r="BH56" s="333"/>
      <c r="BI56" s="211"/>
      <c r="BJ56" s="211"/>
      <c r="BK56" s="211"/>
      <c r="BL56" s="211"/>
      <c r="BM56" s="211"/>
      <c r="BN56" s="214"/>
      <c r="BO56" s="196">
        <v>72.2</v>
      </c>
      <c r="BP56" s="196">
        <v>0.45800000000000002</v>
      </c>
      <c r="BQ56" s="196">
        <v>4.57</v>
      </c>
      <c r="BR56" s="196">
        <v>72</v>
      </c>
      <c r="BS56" s="339">
        <v>0.374</v>
      </c>
      <c r="BT56" s="196">
        <v>5.0999999999999996</v>
      </c>
      <c r="BU56" s="355">
        <v>7.14</v>
      </c>
      <c r="BV56" s="355">
        <v>1.45</v>
      </c>
      <c r="BW56" s="355">
        <v>1380</v>
      </c>
      <c r="BX56" s="355">
        <v>6.11</v>
      </c>
      <c r="BY56" s="355">
        <v>8</v>
      </c>
      <c r="BZ56" s="355">
        <v>5100</v>
      </c>
      <c r="CA56" s="355">
        <v>7.03</v>
      </c>
      <c r="CB56" s="355">
        <v>1.51</v>
      </c>
      <c r="CC56" s="355">
        <v>1430</v>
      </c>
      <c r="CD56" s="355">
        <v>7.18</v>
      </c>
      <c r="CE56" s="355">
        <v>3.19</v>
      </c>
      <c r="CF56" s="355">
        <v>2700</v>
      </c>
      <c r="CG56" s="355">
        <v>0</v>
      </c>
      <c r="CH56" s="355">
        <v>0</v>
      </c>
      <c r="CI56" s="355">
        <v>0</v>
      </c>
      <c r="CJ56" s="355">
        <v>0</v>
      </c>
      <c r="CK56" s="355">
        <v>0</v>
      </c>
      <c r="CL56" s="355">
        <v>0</v>
      </c>
      <c r="CM56" s="205"/>
      <c r="CN56" s="205"/>
      <c r="CO56" s="13">
        <v>4</v>
      </c>
      <c r="CP56" s="10">
        <v>7.76</v>
      </c>
      <c r="CQ56" s="10">
        <v>2.29</v>
      </c>
      <c r="CR56" s="11">
        <v>76.3</v>
      </c>
      <c r="CS56" s="10">
        <v>19.100000000000001</v>
      </c>
      <c r="CT56" s="10">
        <v>1.61</v>
      </c>
      <c r="CU56" s="12">
        <v>25.1</v>
      </c>
      <c r="CV56" s="8">
        <v>2.4</v>
      </c>
      <c r="CW56" s="8">
        <v>12</v>
      </c>
      <c r="CX56" s="8">
        <v>32</v>
      </c>
      <c r="CY56" s="13">
        <v>10</v>
      </c>
      <c r="CZ56" s="10">
        <v>7.78</v>
      </c>
      <c r="DA56" s="10">
        <v>2.48</v>
      </c>
      <c r="DB56" s="11">
        <v>75.3</v>
      </c>
      <c r="DC56" s="15"/>
      <c r="DD56" s="15"/>
      <c r="DE56" s="16"/>
      <c r="DF56" s="8">
        <v>2.2999999999999998</v>
      </c>
      <c r="DG56" s="8">
        <v>13</v>
      </c>
      <c r="DH56" s="29">
        <v>42</v>
      </c>
      <c r="DI56" s="23"/>
      <c r="DJ56" s="21"/>
      <c r="DK56" s="21"/>
      <c r="DL56" s="22"/>
      <c r="DM56" s="21"/>
      <c r="DN56" s="21"/>
      <c r="DO56" s="23"/>
      <c r="DP56" s="23"/>
      <c r="DQ56" s="23"/>
      <c r="DR56" s="23"/>
      <c r="DS56" s="19">
        <v>4</v>
      </c>
      <c r="DT56" s="10">
        <v>7.81</v>
      </c>
      <c r="DU56" s="10">
        <v>2.68</v>
      </c>
      <c r="DV56" s="11">
        <v>74</v>
      </c>
      <c r="DW56" s="10">
        <v>20.100000000000001</v>
      </c>
      <c r="DX56" s="10">
        <v>1.86</v>
      </c>
      <c r="DY56" s="20">
        <v>19.8</v>
      </c>
      <c r="DZ56" s="8">
        <v>2.2999999999999998</v>
      </c>
      <c r="EA56" s="8">
        <v>6</v>
      </c>
      <c r="EB56" s="8">
        <v>14</v>
      </c>
      <c r="EC56" s="8">
        <v>8</v>
      </c>
      <c r="ED56" s="8">
        <v>2</v>
      </c>
      <c r="EE56" s="8">
        <v>9</v>
      </c>
      <c r="EF56" s="8">
        <v>8</v>
      </c>
      <c r="EG56" s="8">
        <v>6</v>
      </c>
      <c r="EH56" s="8">
        <v>94</v>
      </c>
      <c r="EI56" s="8">
        <v>17</v>
      </c>
      <c r="EJ56" s="8">
        <v>0</v>
      </c>
      <c r="EK56" s="8">
        <f t="shared" si="128"/>
        <v>164</v>
      </c>
      <c r="EL56" s="9">
        <v>39</v>
      </c>
      <c r="EM56" s="8">
        <v>17</v>
      </c>
      <c r="EN56" s="10">
        <v>7.56</v>
      </c>
      <c r="EO56" s="10">
        <v>2.92</v>
      </c>
      <c r="EP56" s="11">
        <v>67.7</v>
      </c>
      <c r="EQ56" s="10">
        <v>26.8</v>
      </c>
      <c r="ER56" s="10">
        <v>2.19</v>
      </c>
      <c r="ES56" s="12" t="s">
        <v>119</v>
      </c>
      <c r="ET56" s="8">
        <v>6727</v>
      </c>
      <c r="EU56" s="8">
        <v>2923</v>
      </c>
      <c r="EV56" s="8">
        <v>665</v>
      </c>
      <c r="EW56" s="128">
        <v>6732</v>
      </c>
      <c r="EX56" s="23">
        <v>50</v>
      </c>
      <c r="EY56" s="342"/>
    </row>
    <row r="57" spans="1:155" ht="17.100000000000001" customHeight="1">
      <c r="A57" s="174"/>
      <c r="B57" s="397" t="s">
        <v>257</v>
      </c>
      <c r="C57" s="202" t="s">
        <v>96</v>
      </c>
      <c r="D57" s="317">
        <f t="shared" si="0"/>
        <v>61.777777777777779</v>
      </c>
      <c r="E57" s="320">
        <f t="shared" si="1"/>
        <v>38.222222222222221</v>
      </c>
      <c r="F57" s="320">
        <f t="shared" si="2"/>
        <v>0</v>
      </c>
      <c r="G57" s="323">
        <f t="shared" si="3"/>
        <v>0</v>
      </c>
      <c r="H57" s="306">
        <v>13.9</v>
      </c>
      <c r="I57" s="309">
        <v>0</v>
      </c>
      <c r="J57" s="309">
        <v>8.6</v>
      </c>
      <c r="K57" s="309">
        <v>0</v>
      </c>
      <c r="L57" s="309">
        <v>0</v>
      </c>
      <c r="M57" s="309"/>
      <c r="N57" s="309"/>
      <c r="O57" s="309"/>
      <c r="P57" s="211"/>
      <c r="Q57" s="214"/>
      <c r="R57" s="306"/>
      <c r="S57" s="309"/>
      <c r="T57" s="309"/>
      <c r="U57" s="309"/>
      <c r="V57" s="309"/>
      <c r="W57" s="309"/>
      <c r="X57" s="336"/>
      <c r="Y57" s="306">
        <f t="shared" si="78"/>
        <v>0</v>
      </c>
      <c r="Z57" s="309">
        <f t="shared" si="78"/>
        <v>0</v>
      </c>
      <c r="AA57" s="309">
        <f t="shared" si="78"/>
        <v>0</v>
      </c>
      <c r="AB57" s="309">
        <f t="shared" si="78"/>
        <v>0</v>
      </c>
      <c r="AC57" s="309">
        <f t="shared" si="78"/>
        <v>0</v>
      </c>
      <c r="AD57" s="309">
        <f t="shared" si="78"/>
        <v>0</v>
      </c>
      <c r="AE57" s="336">
        <f>N57*X57*10</f>
        <v>0</v>
      </c>
      <c r="AF57" s="306"/>
      <c r="AG57" s="211"/>
      <c r="AH57" s="211"/>
      <c r="AI57" s="211"/>
      <c r="AJ57" s="211"/>
      <c r="AK57" s="211"/>
      <c r="AL57" s="214"/>
      <c r="AM57" s="333"/>
      <c r="AN57" s="211"/>
      <c r="AO57" s="211"/>
      <c r="AP57" s="211"/>
      <c r="AQ57" s="211"/>
      <c r="AR57" s="211"/>
      <c r="AS57" s="211"/>
      <c r="AT57" s="306"/>
      <c r="AU57" s="309"/>
      <c r="AV57" s="309"/>
      <c r="AW57" s="309"/>
      <c r="AX57" s="309"/>
      <c r="AY57" s="309"/>
      <c r="AZ57" s="336"/>
      <c r="BA57" s="333"/>
      <c r="BB57" s="333"/>
      <c r="BC57" s="333"/>
      <c r="BD57" s="333"/>
      <c r="BE57" s="333"/>
      <c r="BF57" s="333"/>
      <c r="BG57" s="333"/>
      <c r="BH57" s="333"/>
      <c r="BI57" s="211"/>
      <c r="BJ57" s="211"/>
      <c r="BK57" s="211"/>
      <c r="BL57" s="211"/>
      <c r="BM57" s="211"/>
      <c r="BN57" s="214"/>
      <c r="BO57" s="196">
        <v>72</v>
      </c>
      <c r="BP57" s="196">
        <v>0.56200000000000006</v>
      </c>
      <c r="BQ57" s="196">
        <v>3.41</v>
      </c>
      <c r="BR57" s="196">
        <v>71</v>
      </c>
      <c r="BS57" s="339">
        <v>0.52800000000000002</v>
      </c>
      <c r="BT57" s="196">
        <v>3.43</v>
      </c>
      <c r="BU57" s="355">
        <v>7.14</v>
      </c>
      <c r="BV57" s="355">
        <v>1.45</v>
      </c>
      <c r="BW57" s="355">
        <v>1380</v>
      </c>
      <c r="BX57" s="355">
        <v>6.11</v>
      </c>
      <c r="BY57" s="355">
        <v>8</v>
      </c>
      <c r="BZ57" s="355">
        <v>5100</v>
      </c>
      <c r="CA57" s="355">
        <v>7.03</v>
      </c>
      <c r="CB57" s="355">
        <v>1.51</v>
      </c>
      <c r="CC57" s="355">
        <v>1430</v>
      </c>
      <c r="CD57" s="355">
        <v>7.18</v>
      </c>
      <c r="CE57" s="355">
        <v>3.19</v>
      </c>
      <c r="CF57" s="355">
        <v>2700</v>
      </c>
      <c r="CG57" s="355">
        <v>0</v>
      </c>
      <c r="CH57" s="355">
        <v>0</v>
      </c>
      <c r="CI57" s="355">
        <v>0</v>
      </c>
      <c r="CJ57" s="355">
        <v>0</v>
      </c>
      <c r="CK57" s="355">
        <v>0</v>
      </c>
      <c r="CL57" s="355">
        <v>0</v>
      </c>
      <c r="CM57" s="205"/>
      <c r="CN57" s="205"/>
      <c r="CO57" s="13">
        <v>5</v>
      </c>
      <c r="CP57" s="10">
        <v>7.76</v>
      </c>
      <c r="CQ57" s="10">
        <v>2.29</v>
      </c>
      <c r="CR57" s="11">
        <v>76.3</v>
      </c>
      <c r="CS57" s="10">
        <v>19.100000000000001</v>
      </c>
      <c r="CT57" s="10">
        <v>1.61</v>
      </c>
      <c r="CU57" s="12">
        <v>25.1</v>
      </c>
      <c r="CV57" s="8">
        <v>2.4</v>
      </c>
      <c r="CW57" s="8">
        <v>11</v>
      </c>
      <c r="CX57" s="8">
        <v>28</v>
      </c>
      <c r="CY57" s="13">
        <v>6</v>
      </c>
      <c r="CZ57" s="10">
        <v>7.78</v>
      </c>
      <c r="DA57" s="10">
        <v>2.48</v>
      </c>
      <c r="DB57" s="11">
        <v>75.3</v>
      </c>
      <c r="DC57" s="15"/>
      <c r="DD57" s="15"/>
      <c r="DE57" s="16"/>
      <c r="DF57" s="8">
        <v>2.2999999999999998</v>
      </c>
      <c r="DG57" s="353">
        <v>43</v>
      </c>
      <c r="DH57" s="353"/>
      <c r="DI57" s="23"/>
      <c r="DJ57" s="21"/>
      <c r="DK57" s="21"/>
      <c r="DL57" s="22"/>
      <c r="DM57" s="21"/>
      <c r="DN57" s="21"/>
      <c r="DO57" s="23"/>
      <c r="DP57" s="23"/>
      <c r="DQ57" s="23"/>
      <c r="DR57" s="23"/>
      <c r="DS57" s="19">
        <v>8</v>
      </c>
      <c r="DT57" s="10">
        <v>7.81</v>
      </c>
      <c r="DU57" s="10">
        <v>2.68</v>
      </c>
      <c r="DV57" s="11">
        <v>74</v>
      </c>
      <c r="DW57" s="10">
        <v>20.100000000000001</v>
      </c>
      <c r="DX57" s="10">
        <v>1.86</v>
      </c>
      <c r="DY57" s="20">
        <v>19.8</v>
      </c>
      <c r="DZ57" s="8">
        <v>2.2999999999999998</v>
      </c>
      <c r="EA57" s="8">
        <v>7</v>
      </c>
      <c r="EB57" s="8">
        <v>13</v>
      </c>
      <c r="EC57" s="8">
        <v>8</v>
      </c>
      <c r="ED57" s="8">
        <v>4</v>
      </c>
      <c r="EE57" s="8">
        <v>10</v>
      </c>
      <c r="EF57" s="8">
        <v>8</v>
      </c>
      <c r="EG57" s="8">
        <v>6</v>
      </c>
      <c r="EH57" s="8">
        <v>92</v>
      </c>
      <c r="EI57" s="8">
        <v>16</v>
      </c>
      <c r="EJ57" s="8">
        <v>0</v>
      </c>
      <c r="EK57" s="8">
        <f t="shared" si="128"/>
        <v>164</v>
      </c>
      <c r="EL57" s="9">
        <v>37</v>
      </c>
      <c r="EM57" s="8">
        <v>39</v>
      </c>
      <c r="EN57" s="10">
        <v>7.56</v>
      </c>
      <c r="EO57" s="10">
        <v>2.92</v>
      </c>
      <c r="EP57" s="11">
        <v>67.7</v>
      </c>
      <c r="EQ57" s="10">
        <v>26.8</v>
      </c>
      <c r="ER57" s="10">
        <v>2.19</v>
      </c>
      <c r="ES57" s="12" t="s">
        <v>119</v>
      </c>
      <c r="ET57" s="8">
        <v>3452</v>
      </c>
      <c r="EU57" s="8">
        <v>2684</v>
      </c>
      <c r="EV57" s="8">
        <v>618</v>
      </c>
      <c r="EW57" s="8">
        <f t="shared" si="8"/>
        <v>6754</v>
      </c>
      <c r="EX57" s="23">
        <v>50</v>
      </c>
      <c r="EY57" s="342"/>
    </row>
    <row r="58" spans="1:155" s="401" customFormat="1" ht="17.100000000000001" customHeight="1" thickBot="1">
      <c r="A58" s="175"/>
      <c r="B58" s="400" t="s">
        <v>257</v>
      </c>
      <c r="C58" s="203" t="s">
        <v>96</v>
      </c>
      <c r="D58" s="318">
        <f t="shared" si="0"/>
        <v>61.777777777777779</v>
      </c>
      <c r="E58" s="321">
        <f t="shared" si="1"/>
        <v>38.222222222222221</v>
      </c>
      <c r="F58" s="321">
        <f t="shared" si="2"/>
        <v>0</v>
      </c>
      <c r="G58" s="324">
        <f t="shared" si="3"/>
        <v>0</v>
      </c>
      <c r="H58" s="307">
        <v>13.9</v>
      </c>
      <c r="I58" s="310">
        <v>0</v>
      </c>
      <c r="J58" s="310">
        <v>8.6</v>
      </c>
      <c r="K58" s="310">
        <v>0</v>
      </c>
      <c r="L58" s="310">
        <v>0</v>
      </c>
      <c r="M58" s="310"/>
      <c r="N58" s="310"/>
      <c r="O58" s="310"/>
      <c r="P58" s="302"/>
      <c r="Q58" s="304"/>
      <c r="R58" s="307"/>
      <c r="S58" s="310"/>
      <c r="T58" s="310"/>
      <c r="U58" s="310"/>
      <c r="V58" s="310"/>
      <c r="W58" s="310"/>
      <c r="X58" s="337"/>
      <c r="Y58" s="307">
        <f t="shared" si="78"/>
        <v>0</v>
      </c>
      <c r="Z58" s="310">
        <f t="shared" si="78"/>
        <v>0</v>
      </c>
      <c r="AA58" s="310">
        <f t="shared" si="78"/>
        <v>0</v>
      </c>
      <c r="AB58" s="310">
        <f t="shared" si="78"/>
        <v>0</v>
      </c>
      <c r="AC58" s="310">
        <f t="shared" si="78"/>
        <v>0</v>
      </c>
      <c r="AD58" s="310">
        <f t="shared" si="78"/>
        <v>0</v>
      </c>
      <c r="AE58" s="337">
        <f>N58*X58*10</f>
        <v>0</v>
      </c>
      <c r="AF58" s="307"/>
      <c r="AG58" s="302"/>
      <c r="AH58" s="302"/>
      <c r="AI58" s="302"/>
      <c r="AJ58" s="302"/>
      <c r="AK58" s="302"/>
      <c r="AL58" s="304"/>
      <c r="AM58" s="334"/>
      <c r="AN58" s="302"/>
      <c r="AO58" s="302"/>
      <c r="AP58" s="302"/>
      <c r="AQ58" s="302"/>
      <c r="AR58" s="302"/>
      <c r="AS58" s="302"/>
      <c r="AT58" s="307"/>
      <c r="AU58" s="310"/>
      <c r="AV58" s="310"/>
      <c r="AW58" s="310"/>
      <c r="AX58" s="310"/>
      <c r="AY58" s="310"/>
      <c r="AZ58" s="337"/>
      <c r="BA58" s="334"/>
      <c r="BB58" s="334"/>
      <c r="BC58" s="334"/>
      <c r="BD58" s="334"/>
      <c r="BE58" s="334"/>
      <c r="BF58" s="334"/>
      <c r="BG58" s="334"/>
      <c r="BH58" s="334"/>
      <c r="BI58" s="302"/>
      <c r="BJ58" s="302"/>
      <c r="BK58" s="302"/>
      <c r="BL58" s="302"/>
      <c r="BM58" s="302"/>
      <c r="BN58" s="304"/>
      <c r="BO58" s="217">
        <v>72.2</v>
      </c>
      <c r="BP58" s="217">
        <v>0.45800000000000002</v>
      </c>
      <c r="BQ58" s="217">
        <v>4.57</v>
      </c>
      <c r="BR58" s="217">
        <v>72</v>
      </c>
      <c r="BS58" s="340">
        <v>0.374</v>
      </c>
      <c r="BT58" s="217">
        <v>5.0999999999999996</v>
      </c>
      <c r="BU58" s="312">
        <v>7.14</v>
      </c>
      <c r="BV58" s="312">
        <v>1.45</v>
      </c>
      <c r="BW58" s="312">
        <v>1380</v>
      </c>
      <c r="BX58" s="312">
        <v>6.11</v>
      </c>
      <c r="BY58" s="312">
        <v>8</v>
      </c>
      <c r="BZ58" s="312">
        <v>5100</v>
      </c>
      <c r="CA58" s="312">
        <v>7.03</v>
      </c>
      <c r="CB58" s="312">
        <v>1.51</v>
      </c>
      <c r="CC58" s="312">
        <v>1430</v>
      </c>
      <c r="CD58" s="312">
        <v>7.18</v>
      </c>
      <c r="CE58" s="312">
        <v>3.19</v>
      </c>
      <c r="CF58" s="312">
        <v>2700</v>
      </c>
      <c r="CG58" s="312">
        <v>0</v>
      </c>
      <c r="CH58" s="312">
        <v>0</v>
      </c>
      <c r="CI58" s="312">
        <v>0</v>
      </c>
      <c r="CJ58" s="312">
        <v>0</v>
      </c>
      <c r="CK58" s="312">
        <v>0</v>
      </c>
      <c r="CL58" s="312">
        <v>0</v>
      </c>
      <c r="CM58" s="221"/>
      <c r="CN58" s="221"/>
      <c r="CO58" s="98"/>
      <c r="CP58" s="99"/>
      <c r="CQ58" s="99"/>
      <c r="CR58" s="100"/>
      <c r="CS58" s="99"/>
      <c r="CT58" s="99"/>
      <c r="CU58" s="101"/>
      <c r="CV58" s="102"/>
      <c r="CW58" s="102"/>
      <c r="CX58" s="102"/>
      <c r="CY58" s="103"/>
      <c r="CZ58" s="99"/>
      <c r="DA58" s="99"/>
      <c r="DB58" s="100"/>
      <c r="DC58" s="99"/>
      <c r="DD58" s="99"/>
      <c r="DE58" s="104"/>
      <c r="DF58" s="102"/>
      <c r="DG58" s="102"/>
      <c r="DH58" s="102"/>
      <c r="DI58" s="101"/>
      <c r="DJ58" s="99"/>
      <c r="DK58" s="99"/>
      <c r="DL58" s="100"/>
      <c r="DM58" s="99"/>
      <c r="DN58" s="99"/>
      <c r="DO58" s="101"/>
      <c r="DP58" s="101"/>
      <c r="DQ58" s="101"/>
      <c r="DR58" s="101"/>
      <c r="DS58" s="105"/>
      <c r="DT58" s="99"/>
      <c r="DU58" s="99"/>
      <c r="DV58" s="100"/>
      <c r="DW58" s="99"/>
      <c r="DX58" s="99"/>
      <c r="DY58" s="104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6" t="s">
        <v>145</v>
      </c>
      <c r="EM58" s="102">
        <v>51</v>
      </c>
      <c r="EN58" s="107">
        <v>7.22</v>
      </c>
      <c r="EO58" s="107">
        <v>2.4700000000000002</v>
      </c>
      <c r="EP58" s="108">
        <v>69.5</v>
      </c>
      <c r="EQ58" s="107">
        <v>27.9</v>
      </c>
      <c r="ER58" s="107">
        <v>2.16</v>
      </c>
      <c r="ES58" s="109" t="s">
        <v>130</v>
      </c>
      <c r="ET58" s="102">
        <v>5165</v>
      </c>
      <c r="EU58" s="102">
        <v>3690</v>
      </c>
      <c r="EV58" s="102">
        <v>0</v>
      </c>
      <c r="EW58" s="102">
        <f t="shared" si="8"/>
        <v>8855</v>
      </c>
      <c r="EX58" s="101">
        <v>52</v>
      </c>
      <c r="EY58" s="343"/>
    </row>
    <row r="59" spans="1:155" s="398" customFormat="1" ht="17.100000000000001" customHeight="1">
      <c r="A59" s="173">
        <v>14</v>
      </c>
      <c r="B59" s="397" t="s">
        <v>258</v>
      </c>
      <c r="C59" s="201" t="s">
        <v>146</v>
      </c>
      <c r="D59" s="316">
        <f t="shared" si="0"/>
        <v>61.777777777777779</v>
      </c>
      <c r="E59" s="319">
        <f t="shared" si="1"/>
        <v>38.222222222222221</v>
      </c>
      <c r="F59" s="319">
        <f t="shared" si="2"/>
        <v>0</v>
      </c>
      <c r="G59" s="322">
        <f t="shared" si="3"/>
        <v>0</v>
      </c>
      <c r="H59" s="305">
        <v>6.5</v>
      </c>
      <c r="I59" s="308">
        <v>7.4</v>
      </c>
      <c r="J59" s="308">
        <v>8.6</v>
      </c>
      <c r="K59" s="308">
        <v>0</v>
      </c>
      <c r="L59" s="308">
        <v>0</v>
      </c>
      <c r="M59" s="308">
        <v>8</v>
      </c>
      <c r="N59" s="308">
        <v>1.75</v>
      </c>
      <c r="O59" s="308">
        <v>0.25</v>
      </c>
      <c r="P59" s="301"/>
      <c r="Q59" s="303"/>
      <c r="R59" s="305">
        <v>0.91</v>
      </c>
      <c r="S59" s="308">
        <v>0.91</v>
      </c>
      <c r="T59" s="308">
        <v>0.42</v>
      </c>
      <c r="U59" s="308">
        <v>0</v>
      </c>
      <c r="V59" s="308">
        <v>0</v>
      </c>
      <c r="W59" s="308">
        <v>3.22</v>
      </c>
      <c r="X59" s="335">
        <v>20.5</v>
      </c>
      <c r="Y59" s="305">
        <f t="shared" si="78"/>
        <v>59.15</v>
      </c>
      <c r="Z59" s="308">
        <f t="shared" si="78"/>
        <v>67.34</v>
      </c>
      <c r="AA59" s="308">
        <f t="shared" si="78"/>
        <v>36.119999999999997</v>
      </c>
      <c r="AB59" s="308">
        <f t="shared" si="78"/>
        <v>0</v>
      </c>
      <c r="AC59" s="308">
        <f t="shared" si="78"/>
        <v>0</v>
      </c>
      <c r="AD59" s="308">
        <f t="shared" si="78"/>
        <v>257.60000000000002</v>
      </c>
      <c r="AE59" s="335">
        <f>O59*X59*10</f>
        <v>51.25</v>
      </c>
      <c r="AF59" s="305">
        <v>11.5</v>
      </c>
      <c r="AG59" s="301">
        <v>11.5</v>
      </c>
      <c r="AH59" s="301">
        <v>1.8</v>
      </c>
      <c r="AI59" s="301">
        <v>0</v>
      </c>
      <c r="AJ59" s="301">
        <v>0</v>
      </c>
      <c r="AK59" s="301">
        <v>28.6</v>
      </c>
      <c r="AL59" s="303">
        <v>85.2</v>
      </c>
      <c r="AM59" s="332">
        <f>H59*AF59*10</f>
        <v>747.5</v>
      </c>
      <c r="AN59" s="301">
        <f t="shared" ref="AN59:AS59" si="129">I59*AG59*10</f>
        <v>851.00000000000011</v>
      </c>
      <c r="AO59" s="301">
        <f t="shared" si="129"/>
        <v>154.80000000000001</v>
      </c>
      <c r="AP59" s="301">
        <f t="shared" si="129"/>
        <v>0</v>
      </c>
      <c r="AQ59" s="301">
        <f t="shared" si="129"/>
        <v>0</v>
      </c>
      <c r="AR59" s="301">
        <f t="shared" si="129"/>
        <v>2288</v>
      </c>
      <c r="AS59" s="301">
        <f t="shared" si="129"/>
        <v>1491</v>
      </c>
      <c r="AT59" s="305">
        <v>11.8</v>
      </c>
      <c r="AU59" s="308">
        <v>10.6</v>
      </c>
      <c r="AV59" s="308">
        <v>56.8</v>
      </c>
      <c r="AW59" s="308">
        <v>0</v>
      </c>
      <c r="AX59" s="308">
        <v>0</v>
      </c>
      <c r="AY59" s="308">
        <v>29.4</v>
      </c>
      <c r="AZ59" s="335">
        <v>31.1</v>
      </c>
      <c r="BA59" s="332">
        <f t="shared" ref="BA59:BG59" si="130">(H59*3*1000)/(1-AT59/100)</f>
        <v>22108.843537414967</v>
      </c>
      <c r="BB59" s="332">
        <f t="shared" si="130"/>
        <v>24832.214765100674</v>
      </c>
      <c r="BC59" s="332">
        <f t="shared" si="130"/>
        <v>59722.222222222204</v>
      </c>
      <c r="BD59" s="332">
        <f t="shared" si="130"/>
        <v>0</v>
      </c>
      <c r="BE59" s="332">
        <f t="shared" si="130"/>
        <v>0</v>
      </c>
      <c r="BF59" s="332">
        <f t="shared" si="130"/>
        <v>33994.334277620401</v>
      </c>
      <c r="BG59" s="332">
        <f t="shared" si="130"/>
        <v>7619.7387518142232</v>
      </c>
      <c r="BH59" s="332">
        <f t="shared" ref="BH59" si="131">H59+I59+J59+K59+L59</f>
        <v>22.5</v>
      </c>
      <c r="BI59" s="301">
        <f t="shared" ref="BI59" si="132">M59+N59+O59</f>
        <v>10</v>
      </c>
      <c r="BJ59" s="301">
        <f t="shared" ref="BJ59" si="133">BH59+BI59</f>
        <v>32.5</v>
      </c>
      <c r="BK59" s="301">
        <f t="shared" ref="BK59" si="134">Y59+Z59+AA59+AB59+AC59+AD59+AE59</f>
        <v>471.46000000000004</v>
      </c>
      <c r="BL59" s="301">
        <f t="shared" ref="BL59" si="135">AM59+AN59+AO59+AP59+AQ59+AR59+AS59</f>
        <v>5532.3</v>
      </c>
      <c r="BM59" s="301">
        <f t="shared" ref="BM59" si="136">BJ59*3*1000</f>
        <v>97500</v>
      </c>
      <c r="BN59" s="303">
        <f t="shared" ref="BN59" si="137">BA59+BB59+BC59+BD59+BE59+BF59+BG59</f>
        <v>148277.35355417247</v>
      </c>
      <c r="BO59" s="216">
        <v>72</v>
      </c>
      <c r="BP59" s="216">
        <v>0.56200000000000006</v>
      </c>
      <c r="BQ59" s="216">
        <v>3.41</v>
      </c>
      <c r="BR59" s="216">
        <v>71</v>
      </c>
      <c r="BS59" s="338">
        <v>0.52800000000000002</v>
      </c>
      <c r="BT59" s="216">
        <v>3.43</v>
      </c>
      <c r="BU59" s="354">
        <v>7.15</v>
      </c>
      <c r="BV59" s="354">
        <v>1.47</v>
      </c>
      <c r="BW59" s="354">
        <v>1270</v>
      </c>
      <c r="BX59" s="354">
        <v>5.63</v>
      </c>
      <c r="BY59" s="354">
        <v>5.44</v>
      </c>
      <c r="BZ59" s="354">
        <v>4500</v>
      </c>
      <c r="CA59" s="354">
        <v>7.15</v>
      </c>
      <c r="CB59" s="354">
        <v>1.45</v>
      </c>
      <c r="CC59" s="354">
        <v>1240</v>
      </c>
      <c r="CD59" s="354">
        <v>7.06</v>
      </c>
      <c r="CE59" s="354">
        <v>3.34</v>
      </c>
      <c r="CF59" s="354">
        <v>3000</v>
      </c>
      <c r="CG59" s="354">
        <v>0</v>
      </c>
      <c r="CH59" s="354">
        <v>0</v>
      </c>
      <c r="CI59" s="354">
        <v>0</v>
      </c>
      <c r="CJ59" s="354">
        <v>0</v>
      </c>
      <c r="CK59" s="354">
        <v>0</v>
      </c>
      <c r="CL59" s="354">
        <v>0</v>
      </c>
      <c r="CM59" s="220">
        <v>76.400000000000006</v>
      </c>
      <c r="CN59" s="220">
        <v>76.099999999999994</v>
      </c>
      <c r="CO59" s="75">
        <v>4</v>
      </c>
      <c r="CP59" s="76">
        <v>7.83</v>
      </c>
      <c r="CQ59" s="76">
        <v>2.44</v>
      </c>
      <c r="CR59" s="77">
        <v>76.3</v>
      </c>
      <c r="CS59" s="76">
        <v>20.5</v>
      </c>
      <c r="CT59" s="76">
        <v>1.61</v>
      </c>
      <c r="CU59" s="78">
        <v>24.6</v>
      </c>
      <c r="CV59" s="79">
        <v>2.7</v>
      </c>
      <c r="CW59" s="79">
        <v>13</v>
      </c>
      <c r="CX59" s="79">
        <v>48</v>
      </c>
      <c r="CY59" s="75">
        <v>10</v>
      </c>
      <c r="CZ59" s="76">
        <v>7.7</v>
      </c>
      <c r="DA59" s="76">
        <v>2.5</v>
      </c>
      <c r="DB59" s="77">
        <v>74.7</v>
      </c>
      <c r="DC59" s="76">
        <v>22.6</v>
      </c>
      <c r="DD59" s="76">
        <v>1.72</v>
      </c>
      <c r="DE59" s="86">
        <v>22.5</v>
      </c>
      <c r="DF59" s="79">
        <v>2.2999999999999998</v>
      </c>
      <c r="DG59" s="79">
        <v>11</v>
      </c>
      <c r="DH59" s="117">
        <v>48</v>
      </c>
      <c r="DI59" s="121"/>
      <c r="DJ59" s="122"/>
      <c r="DK59" s="122"/>
      <c r="DL59" s="123"/>
      <c r="DM59" s="122"/>
      <c r="DN59" s="122"/>
      <c r="DO59" s="121"/>
      <c r="DP59" s="121"/>
      <c r="DQ59" s="121"/>
      <c r="DR59" s="121"/>
      <c r="DS59" s="85">
        <v>5</v>
      </c>
      <c r="DT59" s="76">
        <v>7.78</v>
      </c>
      <c r="DU59" s="76">
        <v>2.56</v>
      </c>
      <c r="DV59" s="77">
        <v>73.7</v>
      </c>
      <c r="DW59" s="76">
        <v>25.2</v>
      </c>
      <c r="DX59" s="76">
        <v>1.86</v>
      </c>
      <c r="DY59" s="86">
        <v>20.100000000000001</v>
      </c>
      <c r="DZ59" s="79">
        <v>2.1</v>
      </c>
      <c r="EA59" s="121">
        <v>12</v>
      </c>
      <c r="EB59" s="121">
        <v>7</v>
      </c>
      <c r="EC59" s="121">
        <v>7</v>
      </c>
      <c r="ED59" s="121">
        <v>3</v>
      </c>
      <c r="EE59" s="121">
        <v>10</v>
      </c>
      <c r="EF59" s="121">
        <v>9</v>
      </c>
      <c r="EG59" s="121">
        <v>5</v>
      </c>
      <c r="EH59" s="121">
        <v>82</v>
      </c>
      <c r="EI59" s="121">
        <v>12</v>
      </c>
      <c r="EJ59" s="121">
        <v>0</v>
      </c>
      <c r="EK59" s="79">
        <f>EA59+EB59+EC59+ED59+EE59+EF59+EG59+EH59+EI59+EJ59</f>
        <v>147</v>
      </c>
      <c r="EL59" s="87">
        <v>40</v>
      </c>
      <c r="EM59" s="79">
        <v>53</v>
      </c>
      <c r="EN59" s="76">
        <v>7.54</v>
      </c>
      <c r="EO59" s="76">
        <v>2.67</v>
      </c>
      <c r="EP59" s="77">
        <v>66.8</v>
      </c>
      <c r="EQ59" s="76">
        <v>27.2</v>
      </c>
      <c r="ER59" s="76">
        <v>2.31</v>
      </c>
      <c r="ES59" s="78">
        <v>15.7</v>
      </c>
      <c r="ET59" s="79">
        <v>2718</v>
      </c>
      <c r="EU59" s="79">
        <v>3912</v>
      </c>
      <c r="EV59" s="79">
        <v>0</v>
      </c>
      <c r="EW59" s="79">
        <f t="shared" si="8"/>
        <v>6630</v>
      </c>
      <c r="EX59" s="121">
        <v>53</v>
      </c>
      <c r="EY59" s="341">
        <f>EW59+EW60+EW61+EW62</f>
        <v>26562</v>
      </c>
    </row>
    <row r="60" spans="1:155" ht="17.100000000000001" customHeight="1">
      <c r="A60" s="174"/>
      <c r="B60" s="397" t="s">
        <v>258</v>
      </c>
      <c r="C60" s="202" t="s">
        <v>96</v>
      </c>
      <c r="D60" s="317">
        <f t="shared" si="0"/>
        <v>0</v>
      </c>
      <c r="E60" s="320">
        <f t="shared" si="1"/>
        <v>100</v>
      </c>
      <c r="F60" s="320">
        <f t="shared" si="2"/>
        <v>0</v>
      </c>
      <c r="G60" s="323">
        <f t="shared" si="3"/>
        <v>0</v>
      </c>
      <c r="H60" s="306"/>
      <c r="I60" s="309">
        <v>0</v>
      </c>
      <c r="J60" s="309">
        <v>8.6</v>
      </c>
      <c r="K60" s="309">
        <v>0</v>
      </c>
      <c r="L60" s="309">
        <v>0</v>
      </c>
      <c r="M60" s="309"/>
      <c r="N60" s="309"/>
      <c r="O60" s="309"/>
      <c r="P60" s="211"/>
      <c r="Q60" s="214"/>
      <c r="R60" s="306"/>
      <c r="S60" s="309"/>
      <c r="T60" s="309"/>
      <c r="U60" s="309"/>
      <c r="V60" s="309"/>
      <c r="W60" s="309"/>
      <c r="X60" s="336"/>
      <c r="Y60" s="306">
        <f t="shared" si="78"/>
        <v>0</v>
      </c>
      <c r="Z60" s="309">
        <f t="shared" si="78"/>
        <v>0</v>
      </c>
      <c r="AA60" s="309">
        <f t="shared" si="78"/>
        <v>0</v>
      </c>
      <c r="AB60" s="309">
        <f t="shared" si="78"/>
        <v>0</v>
      </c>
      <c r="AC60" s="309">
        <f t="shared" si="78"/>
        <v>0</v>
      </c>
      <c r="AD60" s="309">
        <f t="shared" si="78"/>
        <v>0</v>
      </c>
      <c r="AE60" s="336">
        <f>N60*X60*10</f>
        <v>0</v>
      </c>
      <c r="AF60" s="306"/>
      <c r="AG60" s="211"/>
      <c r="AH60" s="211"/>
      <c r="AI60" s="211"/>
      <c r="AJ60" s="211"/>
      <c r="AK60" s="211"/>
      <c r="AL60" s="214"/>
      <c r="AM60" s="333"/>
      <c r="AN60" s="211"/>
      <c r="AO60" s="211"/>
      <c r="AP60" s="211"/>
      <c r="AQ60" s="211"/>
      <c r="AR60" s="211"/>
      <c r="AS60" s="211"/>
      <c r="AT60" s="306"/>
      <c r="AU60" s="309"/>
      <c r="AV60" s="309"/>
      <c r="AW60" s="309"/>
      <c r="AX60" s="309"/>
      <c r="AY60" s="309"/>
      <c r="AZ60" s="336"/>
      <c r="BA60" s="333"/>
      <c r="BB60" s="333"/>
      <c r="BC60" s="333"/>
      <c r="BD60" s="333"/>
      <c r="BE60" s="333"/>
      <c r="BF60" s="333"/>
      <c r="BG60" s="333"/>
      <c r="BH60" s="333"/>
      <c r="BI60" s="211"/>
      <c r="BJ60" s="211"/>
      <c r="BK60" s="211"/>
      <c r="BL60" s="211"/>
      <c r="BM60" s="211"/>
      <c r="BN60" s="214"/>
      <c r="BO60" s="196">
        <v>72.2</v>
      </c>
      <c r="BP60" s="196">
        <v>0.45800000000000002</v>
      </c>
      <c r="BQ60" s="196">
        <v>4.57</v>
      </c>
      <c r="BR60" s="196">
        <v>72</v>
      </c>
      <c r="BS60" s="339">
        <v>0.374</v>
      </c>
      <c r="BT60" s="196">
        <v>5.0999999999999996</v>
      </c>
      <c r="BU60" s="355">
        <v>7.15</v>
      </c>
      <c r="BV60" s="355">
        <v>1.47</v>
      </c>
      <c r="BW60" s="355">
        <v>1270</v>
      </c>
      <c r="BX60" s="355">
        <v>5.63</v>
      </c>
      <c r="BY60" s="355">
        <v>5.44</v>
      </c>
      <c r="BZ60" s="355">
        <v>4500</v>
      </c>
      <c r="CA60" s="355">
        <v>7.15</v>
      </c>
      <c r="CB60" s="355">
        <v>1.45</v>
      </c>
      <c r="CC60" s="355">
        <v>1240</v>
      </c>
      <c r="CD60" s="355">
        <v>7.06</v>
      </c>
      <c r="CE60" s="355">
        <v>3.34</v>
      </c>
      <c r="CF60" s="355">
        <v>3000</v>
      </c>
      <c r="CG60" s="355">
        <v>0</v>
      </c>
      <c r="CH60" s="355">
        <v>0</v>
      </c>
      <c r="CI60" s="355">
        <v>0</v>
      </c>
      <c r="CJ60" s="355">
        <v>0</v>
      </c>
      <c r="CK60" s="355">
        <v>0</v>
      </c>
      <c r="CL60" s="355">
        <v>0</v>
      </c>
      <c r="CM60" s="205"/>
      <c r="CN60" s="205"/>
      <c r="CO60" s="13">
        <v>3</v>
      </c>
      <c r="CP60" s="10">
        <v>7.83</v>
      </c>
      <c r="CQ60" s="10">
        <v>2.44</v>
      </c>
      <c r="CR60" s="11">
        <v>76.3</v>
      </c>
      <c r="CS60" s="10">
        <v>20.5</v>
      </c>
      <c r="CT60" s="10">
        <v>1.61</v>
      </c>
      <c r="CU60" s="12">
        <v>24.6</v>
      </c>
      <c r="CV60" s="8">
        <v>2.7</v>
      </c>
      <c r="CW60" s="8">
        <v>11</v>
      </c>
      <c r="CX60" s="29">
        <v>54</v>
      </c>
      <c r="CY60" s="13">
        <v>11</v>
      </c>
      <c r="CZ60" s="10">
        <v>7.7</v>
      </c>
      <c r="DA60" s="10">
        <v>2.5</v>
      </c>
      <c r="DB60" s="11">
        <v>74.7</v>
      </c>
      <c r="DC60" s="10">
        <v>22.6</v>
      </c>
      <c r="DD60" s="10">
        <v>1.72</v>
      </c>
      <c r="DE60" s="20">
        <v>22.5</v>
      </c>
      <c r="DF60" s="8">
        <v>2.2999999999999998</v>
      </c>
      <c r="DG60" s="8">
        <v>16</v>
      </c>
      <c r="DH60" s="29">
        <v>44</v>
      </c>
      <c r="DI60" s="23"/>
      <c r="DJ60" s="21"/>
      <c r="DK60" s="21"/>
      <c r="DL60" s="22"/>
      <c r="DM60" s="21"/>
      <c r="DN60" s="21"/>
      <c r="DO60" s="23"/>
      <c r="DP60" s="23"/>
      <c r="DQ60" s="23"/>
      <c r="DR60" s="23"/>
      <c r="DS60" s="19">
        <v>10</v>
      </c>
      <c r="DT60" s="10">
        <v>7.78</v>
      </c>
      <c r="DU60" s="10">
        <v>2.56</v>
      </c>
      <c r="DV60" s="11">
        <v>73.7</v>
      </c>
      <c r="DW60" s="10">
        <v>25.2</v>
      </c>
      <c r="DX60" s="10">
        <v>1.86</v>
      </c>
      <c r="DY60" s="20">
        <v>20.100000000000001</v>
      </c>
      <c r="DZ60" s="8">
        <v>2.25</v>
      </c>
      <c r="EA60" s="23">
        <v>6</v>
      </c>
      <c r="EB60" s="23">
        <v>14</v>
      </c>
      <c r="EC60" s="23">
        <v>12</v>
      </c>
      <c r="ED60" s="23">
        <v>2</v>
      </c>
      <c r="EE60" s="23">
        <v>14</v>
      </c>
      <c r="EF60" s="23">
        <v>9</v>
      </c>
      <c r="EG60" s="23">
        <v>5</v>
      </c>
      <c r="EH60" s="23">
        <v>84</v>
      </c>
      <c r="EI60" s="23">
        <v>15</v>
      </c>
      <c r="EJ60" s="23">
        <v>3</v>
      </c>
      <c r="EK60" s="8">
        <f t="shared" ref="EK60:EK61" si="138">EA60+EB60+EC60+ED60+EE60+EF60+EG60+EH60+EI60+EJ60</f>
        <v>164</v>
      </c>
      <c r="EL60" s="9">
        <v>41</v>
      </c>
      <c r="EM60" s="8">
        <v>33</v>
      </c>
      <c r="EN60" s="10">
        <v>7.57</v>
      </c>
      <c r="EO60" s="10">
        <v>2.72</v>
      </c>
      <c r="EP60" s="11">
        <v>68</v>
      </c>
      <c r="EQ60" s="10">
        <v>26.8</v>
      </c>
      <c r="ER60" s="10">
        <v>2.2000000000000002</v>
      </c>
      <c r="ES60" s="12">
        <v>16.600000000000001</v>
      </c>
      <c r="ET60" s="8">
        <v>3876</v>
      </c>
      <c r="EU60" s="8">
        <v>3930</v>
      </c>
      <c r="EV60" s="8">
        <v>0</v>
      </c>
      <c r="EW60" s="8">
        <f t="shared" si="8"/>
        <v>7806</v>
      </c>
      <c r="EX60" s="23">
        <v>51</v>
      </c>
      <c r="EY60" s="342"/>
    </row>
    <row r="61" spans="1:155" ht="17.100000000000001" customHeight="1">
      <c r="A61" s="174"/>
      <c r="B61" s="397" t="s">
        <v>258</v>
      </c>
      <c r="C61" s="202" t="s">
        <v>96</v>
      </c>
      <c r="D61" s="317">
        <f t="shared" si="0"/>
        <v>0</v>
      </c>
      <c r="E61" s="320">
        <f t="shared" si="1"/>
        <v>100</v>
      </c>
      <c r="F61" s="320">
        <f t="shared" si="2"/>
        <v>0</v>
      </c>
      <c r="G61" s="323">
        <f t="shared" si="3"/>
        <v>0</v>
      </c>
      <c r="H61" s="306"/>
      <c r="I61" s="309">
        <v>0</v>
      </c>
      <c r="J61" s="309">
        <v>8.6</v>
      </c>
      <c r="K61" s="309">
        <v>0</v>
      </c>
      <c r="L61" s="309">
        <v>0</v>
      </c>
      <c r="M61" s="309"/>
      <c r="N61" s="309"/>
      <c r="O61" s="309"/>
      <c r="P61" s="211"/>
      <c r="Q61" s="214"/>
      <c r="R61" s="306"/>
      <c r="S61" s="309"/>
      <c r="T61" s="309"/>
      <c r="U61" s="309"/>
      <c r="V61" s="309"/>
      <c r="W61" s="309"/>
      <c r="X61" s="336"/>
      <c r="Y61" s="306">
        <f t="shared" si="78"/>
        <v>0</v>
      </c>
      <c r="Z61" s="309">
        <f t="shared" si="78"/>
        <v>0</v>
      </c>
      <c r="AA61" s="309">
        <f t="shared" si="78"/>
        <v>0</v>
      </c>
      <c r="AB61" s="309">
        <f t="shared" si="78"/>
        <v>0</v>
      </c>
      <c r="AC61" s="309">
        <f t="shared" si="78"/>
        <v>0</v>
      </c>
      <c r="AD61" s="309">
        <f t="shared" si="78"/>
        <v>0</v>
      </c>
      <c r="AE61" s="336">
        <f>N61*X61*10</f>
        <v>0</v>
      </c>
      <c r="AF61" s="306"/>
      <c r="AG61" s="211"/>
      <c r="AH61" s="211"/>
      <c r="AI61" s="211"/>
      <c r="AJ61" s="211"/>
      <c r="AK61" s="211"/>
      <c r="AL61" s="214"/>
      <c r="AM61" s="333"/>
      <c r="AN61" s="211"/>
      <c r="AO61" s="211"/>
      <c r="AP61" s="211"/>
      <c r="AQ61" s="211"/>
      <c r="AR61" s="211"/>
      <c r="AS61" s="211"/>
      <c r="AT61" s="306"/>
      <c r="AU61" s="309"/>
      <c r="AV61" s="309"/>
      <c r="AW61" s="309"/>
      <c r="AX61" s="309"/>
      <c r="AY61" s="309"/>
      <c r="AZ61" s="336"/>
      <c r="BA61" s="333"/>
      <c r="BB61" s="333"/>
      <c r="BC61" s="333"/>
      <c r="BD61" s="333"/>
      <c r="BE61" s="333"/>
      <c r="BF61" s="333"/>
      <c r="BG61" s="333"/>
      <c r="BH61" s="333"/>
      <c r="BI61" s="211"/>
      <c r="BJ61" s="211"/>
      <c r="BK61" s="211"/>
      <c r="BL61" s="211"/>
      <c r="BM61" s="211"/>
      <c r="BN61" s="214"/>
      <c r="BO61" s="196">
        <v>72</v>
      </c>
      <c r="BP61" s="196">
        <v>0.56200000000000006</v>
      </c>
      <c r="BQ61" s="196">
        <v>3.41</v>
      </c>
      <c r="BR61" s="196">
        <v>71</v>
      </c>
      <c r="BS61" s="339">
        <v>0.52800000000000002</v>
      </c>
      <c r="BT61" s="196">
        <v>3.43</v>
      </c>
      <c r="BU61" s="355">
        <v>7.15</v>
      </c>
      <c r="BV61" s="355">
        <v>1.47</v>
      </c>
      <c r="BW61" s="355">
        <v>1270</v>
      </c>
      <c r="BX61" s="355">
        <v>5.63</v>
      </c>
      <c r="BY61" s="355">
        <v>5.44</v>
      </c>
      <c r="BZ61" s="355">
        <v>4500</v>
      </c>
      <c r="CA61" s="355">
        <v>7.15</v>
      </c>
      <c r="CB61" s="355">
        <v>1.45</v>
      </c>
      <c r="CC61" s="355">
        <v>1240</v>
      </c>
      <c r="CD61" s="355">
        <v>7.06</v>
      </c>
      <c r="CE61" s="355">
        <v>3.34</v>
      </c>
      <c r="CF61" s="355">
        <v>3000</v>
      </c>
      <c r="CG61" s="355">
        <v>0</v>
      </c>
      <c r="CH61" s="355">
        <v>0</v>
      </c>
      <c r="CI61" s="355">
        <v>0</v>
      </c>
      <c r="CJ61" s="355">
        <v>0</v>
      </c>
      <c r="CK61" s="355">
        <v>0</v>
      </c>
      <c r="CL61" s="355">
        <v>0</v>
      </c>
      <c r="CM61" s="205"/>
      <c r="CN61" s="205"/>
      <c r="CO61" s="13">
        <v>1</v>
      </c>
      <c r="CP61" s="10">
        <v>7.83</v>
      </c>
      <c r="CQ61" s="10">
        <v>2.44</v>
      </c>
      <c r="CR61" s="11">
        <v>76.3</v>
      </c>
      <c r="CS61" s="10">
        <v>20.5</v>
      </c>
      <c r="CT61" s="10">
        <v>1.61</v>
      </c>
      <c r="CU61" s="12">
        <v>24.6</v>
      </c>
      <c r="CV61" s="8">
        <v>2.7</v>
      </c>
      <c r="CW61" s="8">
        <v>10</v>
      </c>
      <c r="CX61" s="8">
        <v>49</v>
      </c>
      <c r="CY61" s="13">
        <v>6</v>
      </c>
      <c r="CZ61" s="10">
        <v>7.7</v>
      </c>
      <c r="DA61" s="10">
        <v>2.5</v>
      </c>
      <c r="DB61" s="11">
        <v>74.7</v>
      </c>
      <c r="DC61" s="10">
        <v>22.6</v>
      </c>
      <c r="DD61" s="10">
        <v>1.72</v>
      </c>
      <c r="DE61" s="20">
        <v>22.5</v>
      </c>
      <c r="DF61" s="8">
        <v>2.2999999999999998</v>
      </c>
      <c r="DG61" s="8">
        <v>13</v>
      </c>
      <c r="DH61" s="29">
        <v>42</v>
      </c>
      <c r="DI61" s="23"/>
      <c r="DJ61" s="21"/>
      <c r="DK61" s="21"/>
      <c r="DL61" s="22"/>
      <c r="DM61" s="21"/>
      <c r="DN61" s="21"/>
      <c r="DO61" s="23"/>
      <c r="DP61" s="23"/>
      <c r="DQ61" s="23"/>
      <c r="DR61" s="23"/>
      <c r="DS61" s="19">
        <v>1</v>
      </c>
      <c r="DT61" s="10">
        <v>7.78</v>
      </c>
      <c r="DU61" s="10">
        <v>2.56</v>
      </c>
      <c r="DV61" s="11">
        <v>73.7</v>
      </c>
      <c r="DW61" s="10">
        <v>25.2</v>
      </c>
      <c r="DX61" s="10">
        <v>1.86</v>
      </c>
      <c r="DY61" s="20">
        <v>20.100000000000001</v>
      </c>
      <c r="DZ61" s="8">
        <v>2</v>
      </c>
      <c r="EA61" s="23">
        <v>10</v>
      </c>
      <c r="EB61" s="23">
        <v>8</v>
      </c>
      <c r="EC61" s="23">
        <v>9</v>
      </c>
      <c r="ED61" s="23">
        <v>0</v>
      </c>
      <c r="EE61" s="23">
        <v>10</v>
      </c>
      <c r="EF61" s="23">
        <v>10</v>
      </c>
      <c r="EG61" s="23">
        <v>3</v>
      </c>
      <c r="EH61" s="23">
        <v>81</v>
      </c>
      <c r="EI61" s="23">
        <v>27</v>
      </c>
      <c r="EJ61" s="23">
        <v>0</v>
      </c>
      <c r="EK61" s="8">
        <f t="shared" si="138"/>
        <v>158</v>
      </c>
      <c r="EL61" s="9">
        <v>42</v>
      </c>
      <c r="EM61" s="8">
        <v>54</v>
      </c>
      <c r="EN61" s="10">
        <v>7.62</v>
      </c>
      <c r="EO61" s="10">
        <v>2.79</v>
      </c>
      <c r="EP61" s="11">
        <v>67.7</v>
      </c>
      <c r="EQ61" s="10">
        <v>27.8</v>
      </c>
      <c r="ER61" s="10">
        <v>2.29</v>
      </c>
      <c r="ES61" s="12">
        <v>15.7</v>
      </c>
      <c r="ET61" s="8">
        <v>3568</v>
      </c>
      <c r="EU61" s="8">
        <v>3012</v>
      </c>
      <c r="EV61" s="8">
        <v>0</v>
      </c>
      <c r="EW61" s="8">
        <f t="shared" si="8"/>
        <v>6580</v>
      </c>
      <c r="EX61" s="23">
        <v>51</v>
      </c>
      <c r="EY61" s="342"/>
    </row>
    <row r="62" spans="1:155" s="401" customFormat="1" ht="17.100000000000001" customHeight="1" thickBot="1">
      <c r="A62" s="175"/>
      <c r="B62" s="400" t="s">
        <v>258</v>
      </c>
      <c r="C62" s="203" t="s">
        <v>147</v>
      </c>
      <c r="D62" s="318">
        <f t="shared" si="0"/>
        <v>0</v>
      </c>
      <c r="E62" s="321">
        <f t="shared" si="1"/>
        <v>100</v>
      </c>
      <c r="F62" s="321">
        <f t="shared" si="2"/>
        <v>0</v>
      </c>
      <c r="G62" s="324">
        <f t="shared" si="3"/>
        <v>0</v>
      </c>
      <c r="H62" s="307"/>
      <c r="I62" s="310">
        <v>0</v>
      </c>
      <c r="J62" s="310">
        <v>8.6</v>
      </c>
      <c r="K62" s="310">
        <v>0</v>
      </c>
      <c r="L62" s="310">
        <v>0</v>
      </c>
      <c r="M62" s="310"/>
      <c r="N62" s="310"/>
      <c r="O62" s="310"/>
      <c r="P62" s="302"/>
      <c r="Q62" s="304"/>
      <c r="R62" s="307"/>
      <c r="S62" s="310"/>
      <c r="T62" s="310"/>
      <c r="U62" s="310"/>
      <c r="V62" s="310"/>
      <c r="W62" s="310"/>
      <c r="X62" s="337"/>
      <c r="Y62" s="307">
        <f t="shared" si="78"/>
        <v>0</v>
      </c>
      <c r="Z62" s="310">
        <f t="shared" si="78"/>
        <v>0</v>
      </c>
      <c r="AA62" s="310">
        <f t="shared" si="78"/>
        <v>0</v>
      </c>
      <c r="AB62" s="310">
        <f t="shared" si="78"/>
        <v>0</v>
      </c>
      <c r="AC62" s="310">
        <f t="shared" si="78"/>
        <v>0</v>
      </c>
      <c r="AD62" s="310">
        <f t="shared" si="78"/>
        <v>0</v>
      </c>
      <c r="AE62" s="337">
        <f>N62*X62*10</f>
        <v>0</v>
      </c>
      <c r="AF62" s="307"/>
      <c r="AG62" s="302"/>
      <c r="AH62" s="302"/>
      <c r="AI62" s="302"/>
      <c r="AJ62" s="302"/>
      <c r="AK62" s="302"/>
      <c r="AL62" s="304"/>
      <c r="AM62" s="334"/>
      <c r="AN62" s="302"/>
      <c r="AO62" s="302"/>
      <c r="AP62" s="302"/>
      <c r="AQ62" s="302"/>
      <c r="AR62" s="302"/>
      <c r="AS62" s="302"/>
      <c r="AT62" s="307"/>
      <c r="AU62" s="310"/>
      <c r="AV62" s="310"/>
      <c r="AW62" s="310"/>
      <c r="AX62" s="310"/>
      <c r="AY62" s="310"/>
      <c r="AZ62" s="337"/>
      <c r="BA62" s="334"/>
      <c r="BB62" s="334"/>
      <c r="BC62" s="334"/>
      <c r="BD62" s="334"/>
      <c r="BE62" s="334"/>
      <c r="BF62" s="334"/>
      <c r="BG62" s="334"/>
      <c r="BH62" s="334"/>
      <c r="BI62" s="302"/>
      <c r="BJ62" s="302"/>
      <c r="BK62" s="302"/>
      <c r="BL62" s="302"/>
      <c r="BM62" s="302"/>
      <c r="BN62" s="304"/>
      <c r="BO62" s="217">
        <v>72.2</v>
      </c>
      <c r="BP62" s="217">
        <v>0.45800000000000002</v>
      </c>
      <c r="BQ62" s="217">
        <v>4.57</v>
      </c>
      <c r="BR62" s="217">
        <v>72</v>
      </c>
      <c r="BS62" s="340">
        <v>0.374</v>
      </c>
      <c r="BT62" s="217">
        <v>5.0999999999999996</v>
      </c>
      <c r="BU62" s="312">
        <v>7.15</v>
      </c>
      <c r="BV62" s="312">
        <v>1.47</v>
      </c>
      <c r="BW62" s="312">
        <v>1270</v>
      </c>
      <c r="BX62" s="312">
        <v>5.63</v>
      </c>
      <c r="BY62" s="312">
        <v>5.44</v>
      </c>
      <c r="BZ62" s="312">
        <v>4500</v>
      </c>
      <c r="CA62" s="312">
        <v>7.15</v>
      </c>
      <c r="CB62" s="312">
        <v>1.45</v>
      </c>
      <c r="CC62" s="312">
        <v>1240</v>
      </c>
      <c r="CD62" s="312">
        <v>7.06</v>
      </c>
      <c r="CE62" s="312">
        <v>3.34</v>
      </c>
      <c r="CF62" s="312">
        <v>3000</v>
      </c>
      <c r="CG62" s="312">
        <v>0</v>
      </c>
      <c r="CH62" s="312">
        <v>0</v>
      </c>
      <c r="CI62" s="312">
        <v>0</v>
      </c>
      <c r="CJ62" s="312">
        <v>0</v>
      </c>
      <c r="CK62" s="312">
        <v>0</v>
      </c>
      <c r="CL62" s="312">
        <v>0</v>
      </c>
      <c r="CM62" s="221"/>
      <c r="CN62" s="221"/>
      <c r="CO62" s="98"/>
      <c r="CP62" s="99"/>
      <c r="CQ62" s="99"/>
      <c r="CR62" s="100"/>
      <c r="CS62" s="99"/>
      <c r="CT62" s="99"/>
      <c r="CU62" s="101"/>
      <c r="CV62" s="102"/>
      <c r="CW62" s="102"/>
      <c r="CX62" s="102"/>
      <c r="CY62" s="103"/>
      <c r="CZ62" s="99"/>
      <c r="DA62" s="99"/>
      <c r="DB62" s="100"/>
      <c r="DC62" s="99"/>
      <c r="DD62" s="99"/>
      <c r="DE62" s="104"/>
      <c r="DF62" s="102"/>
      <c r="DG62" s="102"/>
      <c r="DH62" s="119"/>
      <c r="DI62" s="101"/>
      <c r="DJ62" s="99"/>
      <c r="DK62" s="99"/>
      <c r="DL62" s="100"/>
      <c r="DM62" s="99"/>
      <c r="DN62" s="99"/>
      <c r="DO62" s="101"/>
      <c r="DP62" s="101"/>
      <c r="DQ62" s="101"/>
      <c r="DR62" s="101"/>
      <c r="DS62" s="105"/>
      <c r="DT62" s="99"/>
      <c r="DU62" s="99"/>
      <c r="DV62" s="100"/>
      <c r="DW62" s="99"/>
      <c r="DX62" s="99"/>
      <c r="DY62" s="104"/>
      <c r="DZ62" s="102"/>
      <c r="EA62" s="101"/>
      <c r="EB62" s="101"/>
      <c r="EC62" s="101"/>
      <c r="ED62" s="101"/>
      <c r="EE62" s="101"/>
      <c r="EF62" s="101"/>
      <c r="EG62" s="101"/>
      <c r="EH62" s="101"/>
      <c r="EI62" s="101"/>
      <c r="EJ62" s="101"/>
      <c r="EK62" s="102"/>
      <c r="EL62" s="129" t="s">
        <v>148</v>
      </c>
      <c r="EM62" s="102">
        <v>7</v>
      </c>
      <c r="EN62" s="107">
        <v>7.58</v>
      </c>
      <c r="EO62" s="107">
        <v>2.76</v>
      </c>
      <c r="EP62" s="108">
        <v>68.2</v>
      </c>
      <c r="EQ62" s="107">
        <v>27.2</v>
      </c>
      <c r="ER62" s="107">
        <v>2.25</v>
      </c>
      <c r="ES62" s="102" t="s">
        <v>141</v>
      </c>
      <c r="ET62" s="102">
        <v>2925</v>
      </c>
      <c r="EU62" s="102">
        <v>2621</v>
      </c>
      <c r="EV62" s="102">
        <v>0</v>
      </c>
      <c r="EW62" s="102">
        <f t="shared" si="8"/>
        <v>5546</v>
      </c>
      <c r="EX62" s="101">
        <v>51</v>
      </c>
      <c r="EY62" s="343"/>
    </row>
    <row r="63" spans="1:155" s="398" customFormat="1" ht="17.100000000000001" customHeight="1">
      <c r="A63" s="173">
        <v>15</v>
      </c>
      <c r="B63" s="397" t="s">
        <v>259</v>
      </c>
      <c r="C63" s="189" t="s">
        <v>96</v>
      </c>
      <c r="D63" s="316">
        <f t="shared" si="0"/>
        <v>61.777777777777779</v>
      </c>
      <c r="E63" s="319">
        <f t="shared" si="1"/>
        <v>38.222222222222221</v>
      </c>
      <c r="F63" s="319">
        <f t="shared" si="2"/>
        <v>0</v>
      </c>
      <c r="G63" s="322">
        <f t="shared" si="3"/>
        <v>0</v>
      </c>
      <c r="H63" s="305">
        <v>13.9</v>
      </c>
      <c r="I63" s="308">
        <v>0</v>
      </c>
      <c r="J63" s="308">
        <v>8.6</v>
      </c>
      <c r="K63" s="308">
        <v>0</v>
      </c>
      <c r="L63" s="308">
        <v>0</v>
      </c>
      <c r="M63" s="308">
        <v>8</v>
      </c>
      <c r="N63" s="308">
        <v>1.7</v>
      </c>
      <c r="O63" s="308">
        <v>0.183</v>
      </c>
      <c r="P63" s="301"/>
      <c r="Q63" s="303"/>
      <c r="R63" s="305">
        <v>0.91</v>
      </c>
      <c r="S63" s="308">
        <v>0</v>
      </c>
      <c r="T63" s="308">
        <v>0.42</v>
      </c>
      <c r="U63" s="308">
        <v>0</v>
      </c>
      <c r="V63" s="308">
        <v>0</v>
      </c>
      <c r="W63" s="308">
        <v>3.36</v>
      </c>
      <c r="X63" s="335">
        <v>20.5</v>
      </c>
      <c r="Y63" s="305">
        <f>H63*R63*10</f>
        <v>126.49000000000001</v>
      </c>
      <c r="Z63" s="308">
        <f t="shared" ref="Z63:AD63" si="139">I63*S63*10</f>
        <v>0</v>
      </c>
      <c r="AA63" s="308">
        <f t="shared" si="139"/>
        <v>36.119999999999997</v>
      </c>
      <c r="AB63" s="308">
        <f t="shared" si="139"/>
        <v>0</v>
      </c>
      <c r="AC63" s="308">
        <f t="shared" si="139"/>
        <v>0</v>
      </c>
      <c r="AD63" s="308">
        <f t="shared" si="139"/>
        <v>268.8</v>
      </c>
      <c r="AE63" s="347">
        <f>O63*X63*10</f>
        <v>37.515000000000001</v>
      </c>
      <c r="AF63" s="305">
        <v>11.5</v>
      </c>
      <c r="AG63" s="301">
        <v>0</v>
      </c>
      <c r="AH63" s="301">
        <v>1.8</v>
      </c>
      <c r="AI63" s="301">
        <v>0</v>
      </c>
      <c r="AJ63" s="301">
        <v>0</v>
      </c>
      <c r="AK63" s="301">
        <v>30.3</v>
      </c>
      <c r="AL63" s="303">
        <v>85.3</v>
      </c>
      <c r="AM63" s="332">
        <f>AF63*H63*10</f>
        <v>1598.5</v>
      </c>
      <c r="AN63" s="301">
        <f t="shared" ref="AN63" si="140">I63*AG63*10</f>
        <v>0</v>
      </c>
      <c r="AO63" s="301">
        <f>AH63*J63*10</f>
        <v>154.80000000000001</v>
      </c>
      <c r="AP63" s="301">
        <f t="shared" ref="AP63:AS63" si="141">AI63*K63*10</f>
        <v>0</v>
      </c>
      <c r="AQ63" s="301">
        <f t="shared" si="141"/>
        <v>0</v>
      </c>
      <c r="AR63" s="301">
        <f t="shared" si="141"/>
        <v>2424</v>
      </c>
      <c r="AS63" s="301">
        <f t="shared" si="141"/>
        <v>1450.1</v>
      </c>
      <c r="AT63" s="332">
        <v>12.6</v>
      </c>
      <c r="AU63" s="301">
        <v>0</v>
      </c>
      <c r="AV63" s="308">
        <v>56.1</v>
      </c>
      <c r="AW63" s="301">
        <v>0</v>
      </c>
      <c r="AX63" s="301">
        <v>0</v>
      </c>
      <c r="AY63" s="308">
        <v>22.9</v>
      </c>
      <c r="AZ63" s="335">
        <v>29.4</v>
      </c>
      <c r="BA63" s="332">
        <f t="shared" ref="BA63:BG63" si="142">(H63*3*1000)/(1-AT63/100)</f>
        <v>47711.670480549197</v>
      </c>
      <c r="BB63" s="332">
        <f t="shared" si="142"/>
        <v>0</v>
      </c>
      <c r="BC63" s="332">
        <f t="shared" si="142"/>
        <v>58769.931662870156</v>
      </c>
      <c r="BD63" s="332">
        <f t="shared" si="142"/>
        <v>0</v>
      </c>
      <c r="BE63" s="332">
        <f t="shared" si="142"/>
        <v>0</v>
      </c>
      <c r="BF63" s="332">
        <f t="shared" si="142"/>
        <v>31128.404669260701</v>
      </c>
      <c r="BG63" s="332">
        <f t="shared" si="142"/>
        <v>7223.7960339943347</v>
      </c>
      <c r="BH63" s="332">
        <f t="shared" ref="BH63" si="143">H63+I63+J63+K63+L63</f>
        <v>22.5</v>
      </c>
      <c r="BI63" s="301">
        <f t="shared" ref="BI63" si="144">M63+N63+O63</f>
        <v>9.8829999999999991</v>
      </c>
      <c r="BJ63" s="301">
        <f t="shared" ref="BJ63" si="145">BH63+BI63</f>
        <v>32.382999999999996</v>
      </c>
      <c r="BK63" s="350">
        <f t="shared" ref="BK63" si="146">Y63+Z63+AA63+AB63+AC63+AD63+AE63</f>
        <v>468.92500000000001</v>
      </c>
      <c r="BL63" s="301">
        <f t="shared" ref="BL63" si="147">AM63+AN63+AO63+AP63+AQ63+AR63+AS63</f>
        <v>5627.4</v>
      </c>
      <c r="BM63" s="301">
        <f t="shared" ref="BM63" si="148">BJ63*3*1000</f>
        <v>97148.999999999985</v>
      </c>
      <c r="BN63" s="303">
        <f t="shared" ref="BN63" si="149">BA63+BB63+BC63+BD63+BE63+BF63+BG63</f>
        <v>144833.80284667437</v>
      </c>
      <c r="BO63" s="216">
        <v>71.599999999999994</v>
      </c>
      <c r="BP63" s="216">
        <v>0.78400000000000003</v>
      </c>
      <c r="BQ63" s="216">
        <v>4.95</v>
      </c>
      <c r="BR63" s="216">
        <v>68.400000000000006</v>
      </c>
      <c r="BS63" s="338">
        <v>0.67200000000000004</v>
      </c>
      <c r="BT63" s="216">
        <v>5.43</v>
      </c>
      <c r="BU63" s="354">
        <v>7.2</v>
      </c>
      <c r="BV63" s="354">
        <v>1.48</v>
      </c>
      <c r="BW63" s="354">
        <v>1640</v>
      </c>
      <c r="BX63" s="354">
        <v>5.48</v>
      </c>
      <c r="BY63" s="354">
        <v>8.17</v>
      </c>
      <c r="BZ63" s="354">
        <v>6900</v>
      </c>
      <c r="CA63" s="354">
        <v>7.37</v>
      </c>
      <c r="CB63" s="354">
        <v>1.53</v>
      </c>
      <c r="CC63" s="354">
        <v>1790</v>
      </c>
      <c r="CD63" s="354">
        <v>6.36</v>
      </c>
      <c r="CE63" s="354">
        <v>4.1500000000000004</v>
      </c>
      <c r="CF63" s="354">
        <v>3100</v>
      </c>
      <c r="CG63" s="354">
        <v>7.23</v>
      </c>
      <c r="CH63" s="354">
        <v>1.4</v>
      </c>
      <c r="CI63" s="354">
        <v>1240</v>
      </c>
      <c r="CJ63" s="354">
        <v>7.31</v>
      </c>
      <c r="CK63" s="354">
        <v>2.73</v>
      </c>
      <c r="CL63" s="354">
        <v>2400</v>
      </c>
      <c r="CM63" s="220">
        <v>77</v>
      </c>
      <c r="CN63" s="220">
        <v>76.7</v>
      </c>
      <c r="CO63" s="75">
        <v>7</v>
      </c>
      <c r="CP63" s="76">
        <v>7.97</v>
      </c>
      <c r="CQ63" s="76">
        <v>2.4700000000000002</v>
      </c>
      <c r="CR63" s="77">
        <v>76.7</v>
      </c>
      <c r="CS63" s="76">
        <v>18</v>
      </c>
      <c r="CT63" s="76">
        <v>1.61</v>
      </c>
      <c r="CU63" s="78" t="s">
        <v>149</v>
      </c>
      <c r="CV63" s="79">
        <v>2.9</v>
      </c>
      <c r="CW63" s="79">
        <v>5</v>
      </c>
      <c r="CX63" s="79">
        <v>43</v>
      </c>
      <c r="CY63" s="75">
        <v>4</v>
      </c>
      <c r="CZ63" s="76">
        <v>7.95</v>
      </c>
      <c r="DA63" s="76">
        <v>2.4</v>
      </c>
      <c r="DB63" s="80">
        <v>75</v>
      </c>
      <c r="DC63" s="81"/>
      <c r="DD63" s="81"/>
      <c r="DE63" s="82"/>
      <c r="DF63" s="79">
        <v>2.7</v>
      </c>
      <c r="DG63" s="79">
        <v>11</v>
      </c>
      <c r="DH63" s="117">
        <v>54</v>
      </c>
      <c r="DI63" s="121"/>
      <c r="DJ63" s="122"/>
      <c r="DK63" s="122"/>
      <c r="DL63" s="123"/>
      <c r="DM63" s="122"/>
      <c r="DN63" s="122"/>
      <c r="DO63" s="121"/>
      <c r="DP63" s="121"/>
      <c r="DQ63" s="121"/>
      <c r="DR63" s="121"/>
      <c r="DS63" s="85">
        <v>2</v>
      </c>
      <c r="DT63" s="76">
        <v>7.83</v>
      </c>
      <c r="DU63" s="76">
        <v>2.62</v>
      </c>
      <c r="DV63" s="77">
        <v>74.2</v>
      </c>
      <c r="DW63" s="76">
        <v>24.6</v>
      </c>
      <c r="DX63" s="76">
        <v>1.86</v>
      </c>
      <c r="DY63" s="86">
        <v>20.7</v>
      </c>
      <c r="DZ63" s="79">
        <v>1.9</v>
      </c>
      <c r="EA63" s="79">
        <v>12</v>
      </c>
      <c r="EB63" s="79">
        <v>7</v>
      </c>
      <c r="EC63" s="79">
        <v>7</v>
      </c>
      <c r="ED63" s="79">
        <v>3</v>
      </c>
      <c r="EE63" s="79">
        <v>10</v>
      </c>
      <c r="EF63" s="79">
        <v>9</v>
      </c>
      <c r="EG63" s="79">
        <v>5</v>
      </c>
      <c r="EH63" s="79">
        <v>82</v>
      </c>
      <c r="EI63" s="79">
        <v>12</v>
      </c>
      <c r="EJ63" s="79">
        <v>0</v>
      </c>
      <c r="EK63" s="79">
        <f t="shared" ref="EK63:EK65" si="150">EA63+EB63+EC63+ED63+EE63+EF63+EG63+EH63+EI63+EJ63</f>
        <v>147</v>
      </c>
      <c r="EL63" s="87">
        <v>43</v>
      </c>
      <c r="EM63" s="79">
        <v>37</v>
      </c>
      <c r="EN63" s="76">
        <v>7.53</v>
      </c>
      <c r="EO63" s="76">
        <v>2.68</v>
      </c>
      <c r="EP63" s="77">
        <v>67.599999999999994</v>
      </c>
      <c r="EQ63" s="76">
        <v>26.4</v>
      </c>
      <c r="ER63" s="76">
        <v>2.21</v>
      </c>
      <c r="ES63" s="78" t="s">
        <v>130</v>
      </c>
      <c r="ET63" s="79">
        <v>2877</v>
      </c>
      <c r="EU63" s="79">
        <v>3628</v>
      </c>
      <c r="EV63" s="79">
        <v>0</v>
      </c>
      <c r="EW63" s="79">
        <f t="shared" si="8"/>
        <v>6505</v>
      </c>
      <c r="EX63" s="121">
        <v>49</v>
      </c>
      <c r="EY63" s="341">
        <f>EW63+EW64+EW65+EW66+EW67</f>
        <v>33979</v>
      </c>
    </row>
    <row r="64" spans="1:155" ht="17.100000000000001" customHeight="1">
      <c r="A64" s="174"/>
      <c r="B64" s="397" t="s">
        <v>259</v>
      </c>
      <c r="C64" s="190"/>
      <c r="D64" s="317" t="e">
        <f t="shared" si="0"/>
        <v>#DIV/0!</v>
      </c>
      <c r="E64" s="320" t="e">
        <f t="shared" si="1"/>
        <v>#DIV/0!</v>
      </c>
      <c r="F64" s="320" t="e">
        <f t="shared" si="2"/>
        <v>#DIV/0!</v>
      </c>
      <c r="G64" s="323" t="e">
        <f t="shared" si="3"/>
        <v>#DIV/0!</v>
      </c>
      <c r="H64" s="306"/>
      <c r="I64" s="309"/>
      <c r="J64" s="309"/>
      <c r="K64" s="309"/>
      <c r="L64" s="309"/>
      <c r="M64" s="309"/>
      <c r="N64" s="309"/>
      <c r="O64" s="309"/>
      <c r="P64" s="211"/>
      <c r="Q64" s="214"/>
      <c r="R64" s="306"/>
      <c r="S64" s="309"/>
      <c r="T64" s="309"/>
      <c r="U64" s="309"/>
      <c r="V64" s="309"/>
      <c r="W64" s="309"/>
      <c r="X64" s="336"/>
      <c r="Y64" s="306"/>
      <c r="Z64" s="309"/>
      <c r="AA64" s="309"/>
      <c r="AB64" s="309"/>
      <c r="AC64" s="309"/>
      <c r="AD64" s="309"/>
      <c r="AE64" s="348"/>
      <c r="AF64" s="306"/>
      <c r="AG64" s="211"/>
      <c r="AH64" s="211"/>
      <c r="AI64" s="211"/>
      <c r="AJ64" s="211"/>
      <c r="AK64" s="211"/>
      <c r="AL64" s="214"/>
      <c r="AM64" s="333"/>
      <c r="AN64" s="211"/>
      <c r="AO64" s="211"/>
      <c r="AP64" s="211"/>
      <c r="AQ64" s="211"/>
      <c r="AR64" s="211"/>
      <c r="AS64" s="211"/>
      <c r="AT64" s="333"/>
      <c r="AU64" s="211"/>
      <c r="AV64" s="309"/>
      <c r="AW64" s="211"/>
      <c r="AX64" s="211"/>
      <c r="AY64" s="309"/>
      <c r="AZ64" s="336"/>
      <c r="BA64" s="333"/>
      <c r="BB64" s="333"/>
      <c r="BC64" s="333"/>
      <c r="BD64" s="333"/>
      <c r="BE64" s="333"/>
      <c r="BF64" s="333"/>
      <c r="BG64" s="333"/>
      <c r="BH64" s="333"/>
      <c r="BI64" s="211"/>
      <c r="BJ64" s="211"/>
      <c r="BK64" s="351"/>
      <c r="BL64" s="211"/>
      <c r="BM64" s="211"/>
      <c r="BN64" s="214"/>
      <c r="BO64" s="196">
        <v>71.599999999999994</v>
      </c>
      <c r="BP64" s="196">
        <v>0.78400000000000003</v>
      </c>
      <c r="BQ64" s="196">
        <v>4.95</v>
      </c>
      <c r="BR64" s="196">
        <v>68.400000000000006</v>
      </c>
      <c r="BS64" s="339">
        <v>0.67200000000000004</v>
      </c>
      <c r="BT64" s="196">
        <v>5.43</v>
      </c>
      <c r="BU64" s="355">
        <v>7.2</v>
      </c>
      <c r="BV64" s="355">
        <v>1.48</v>
      </c>
      <c r="BW64" s="355">
        <v>1640</v>
      </c>
      <c r="BX64" s="355">
        <v>5.48</v>
      </c>
      <c r="BY64" s="355">
        <v>8.17</v>
      </c>
      <c r="BZ64" s="355">
        <v>6900</v>
      </c>
      <c r="CA64" s="355">
        <v>7.37</v>
      </c>
      <c r="CB64" s="355">
        <v>1.53</v>
      </c>
      <c r="CC64" s="355">
        <v>1790</v>
      </c>
      <c r="CD64" s="355">
        <v>6.36</v>
      </c>
      <c r="CE64" s="355">
        <v>4.1500000000000004</v>
      </c>
      <c r="CF64" s="355">
        <v>3100</v>
      </c>
      <c r="CG64" s="355">
        <v>7.23</v>
      </c>
      <c r="CH64" s="355">
        <v>1.4</v>
      </c>
      <c r="CI64" s="355">
        <v>1240</v>
      </c>
      <c r="CJ64" s="355">
        <v>7.31</v>
      </c>
      <c r="CK64" s="355">
        <v>2.73</v>
      </c>
      <c r="CL64" s="355">
        <v>2400</v>
      </c>
      <c r="CM64" s="205"/>
      <c r="CN64" s="205"/>
      <c r="CO64" s="13">
        <v>8</v>
      </c>
      <c r="CP64" s="10">
        <v>7.97</v>
      </c>
      <c r="CQ64" s="10">
        <v>2.4700000000000002</v>
      </c>
      <c r="CR64" s="11">
        <v>76.7</v>
      </c>
      <c r="CS64" s="10">
        <v>18</v>
      </c>
      <c r="CT64" s="10">
        <v>1.61</v>
      </c>
      <c r="CU64" s="12" t="s">
        <v>149</v>
      </c>
      <c r="CV64" s="8">
        <v>2.9</v>
      </c>
      <c r="CW64" s="8">
        <v>9</v>
      </c>
      <c r="CX64" s="8">
        <v>46</v>
      </c>
      <c r="CY64" s="13">
        <v>5</v>
      </c>
      <c r="CZ64" s="10">
        <v>7.95</v>
      </c>
      <c r="DA64" s="10">
        <v>2.4</v>
      </c>
      <c r="DB64" s="14">
        <v>75</v>
      </c>
      <c r="DC64" s="15"/>
      <c r="DD64" s="15"/>
      <c r="DE64" s="16"/>
      <c r="DF64" s="8">
        <v>2.7</v>
      </c>
      <c r="DG64" s="8">
        <v>17</v>
      </c>
      <c r="DH64" s="8">
        <v>34</v>
      </c>
      <c r="DI64" s="23"/>
      <c r="DJ64" s="21"/>
      <c r="DK64" s="21"/>
      <c r="DL64" s="22"/>
      <c r="DM64" s="21"/>
      <c r="DN64" s="21"/>
      <c r="DO64" s="23"/>
      <c r="DP64" s="23"/>
      <c r="DQ64" s="23"/>
      <c r="DR64" s="23"/>
      <c r="DS64" s="19">
        <v>6</v>
      </c>
      <c r="DT64" s="10">
        <v>7.83</v>
      </c>
      <c r="DU64" s="10">
        <v>2.62</v>
      </c>
      <c r="DV64" s="11">
        <v>74.2</v>
      </c>
      <c r="DW64" s="10">
        <v>24.6</v>
      </c>
      <c r="DX64" s="10">
        <v>1.86</v>
      </c>
      <c r="DY64" s="20">
        <v>20.7</v>
      </c>
      <c r="DZ64" s="8">
        <v>2.15</v>
      </c>
      <c r="EA64" s="8">
        <v>6</v>
      </c>
      <c r="EB64" s="8">
        <v>14</v>
      </c>
      <c r="EC64" s="8">
        <v>12</v>
      </c>
      <c r="ED64" s="8">
        <v>2</v>
      </c>
      <c r="EE64" s="8">
        <v>14</v>
      </c>
      <c r="EF64" s="8">
        <v>9</v>
      </c>
      <c r="EG64" s="8">
        <v>5</v>
      </c>
      <c r="EH64" s="8">
        <v>84</v>
      </c>
      <c r="EI64" s="8">
        <v>15</v>
      </c>
      <c r="EJ64" s="8">
        <v>3</v>
      </c>
      <c r="EK64" s="8">
        <f t="shared" si="150"/>
        <v>164</v>
      </c>
      <c r="EL64" s="9">
        <v>44</v>
      </c>
      <c r="EM64" s="8">
        <v>19</v>
      </c>
      <c r="EN64" s="10">
        <v>7.6</v>
      </c>
      <c r="EO64" s="10">
        <v>2.63</v>
      </c>
      <c r="EP64" s="11">
        <v>68.2</v>
      </c>
      <c r="EQ64" s="10">
        <v>27.4</v>
      </c>
      <c r="ER64" s="10">
        <v>2.14</v>
      </c>
      <c r="ES64" s="12">
        <v>16.899999999999999</v>
      </c>
      <c r="ET64" s="8">
        <v>2848</v>
      </c>
      <c r="EU64" s="8">
        <v>2732</v>
      </c>
      <c r="EV64" s="8">
        <v>1592</v>
      </c>
      <c r="EW64" s="8">
        <f t="shared" si="8"/>
        <v>7172</v>
      </c>
      <c r="EX64" s="23">
        <v>55</v>
      </c>
      <c r="EY64" s="342"/>
    </row>
    <row r="65" spans="1:155" ht="17.100000000000001" customHeight="1">
      <c r="A65" s="174"/>
      <c r="B65" s="397" t="s">
        <v>259</v>
      </c>
      <c r="C65" s="190"/>
      <c r="D65" s="317" t="e">
        <f t="shared" si="0"/>
        <v>#DIV/0!</v>
      </c>
      <c r="E65" s="320" t="e">
        <f t="shared" si="1"/>
        <v>#DIV/0!</v>
      </c>
      <c r="F65" s="320" t="e">
        <f t="shared" si="2"/>
        <v>#DIV/0!</v>
      </c>
      <c r="G65" s="323" t="e">
        <f t="shared" si="3"/>
        <v>#DIV/0!</v>
      </c>
      <c r="H65" s="306"/>
      <c r="I65" s="309"/>
      <c r="J65" s="309"/>
      <c r="K65" s="309"/>
      <c r="L65" s="309"/>
      <c r="M65" s="309"/>
      <c r="N65" s="309"/>
      <c r="O65" s="309"/>
      <c r="P65" s="211"/>
      <c r="Q65" s="214"/>
      <c r="R65" s="306"/>
      <c r="S65" s="309"/>
      <c r="T65" s="309"/>
      <c r="U65" s="309"/>
      <c r="V65" s="309"/>
      <c r="W65" s="309"/>
      <c r="X65" s="336"/>
      <c r="Y65" s="306"/>
      <c r="Z65" s="309"/>
      <c r="AA65" s="309"/>
      <c r="AB65" s="309"/>
      <c r="AC65" s="309"/>
      <c r="AD65" s="309"/>
      <c r="AE65" s="348"/>
      <c r="AF65" s="306"/>
      <c r="AG65" s="211"/>
      <c r="AH65" s="211"/>
      <c r="AI65" s="211"/>
      <c r="AJ65" s="211"/>
      <c r="AK65" s="211"/>
      <c r="AL65" s="214"/>
      <c r="AM65" s="333"/>
      <c r="AN65" s="211"/>
      <c r="AO65" s="211"/>
      <c r="AP65" s="211"/>
      <c r="AQ65" s="211"/>
      <c r="AR65" s="211"/>
      <c r="AS65" s="211"/>
      <c r="AT65" s="333"/>
      <c r="AU65" s="211"/>
      <c r="AV65" s="309"/>
      <c r="AW65" s="211"/>
      <c r="AX65" s="211"/>
      <c r="AY65" s="309"/>
      <c r="AZ65" s="336"/>
      <c r="BA65" s="333"/>
      <c r="BB65" s="333"/>
      <c r="BC65" s="333"/>
      <c r="BD65" s="333"/>
      <c r="BE65" s="333"/>
      <c r="BF65" s="333"/>
      <c r="BG65" s="333"/>
      <c r="BH65" s="333"/>
      <c r="BI65" s="211"/>
      <c r="BJ65" s="211"/>
      <c r="BK65" s="351"/>
      <c r="BL65" s="211"/>
      <c r="BM65" s="211"/>
      <c r="BN65" s="214"/>
      <c r="BO65" s="196">
        <v>71.599999999999994</v>
      </c>
      <c r="BP65" s="196">
        <v>0.78400000000000003</v>
      </c>
      <c r="BQ65" s="196">
        <v>4.95</v>
      </c>
      <c r="BR65" s="196">
        <v>68.400000000000006</v>
      </c>
      <c r="BS65" s="339">
        <v>0.67200000000000004</v>
      </c>
      <c r="BT65" s="196">
        <v>5.43</v>
      </c>
      <c r="BU65" s="355">
        <v>7.2</v>
      </c>
      <c r="BV65" s="355">
        <v>1.48</v>
      </c>
      <c r="BW65" s="355">
        <v>1640</v>
      </c>
      <c r="BX65" s="355">
        <v>5.48</v>
      </c>
      <c r="BY65" s="355">
        <v>8.17</v>
      </c>
      <c r="BZ65" s="355">
        <v>6900</v>
      </c>
      <c r="CA65" s="355">
        <v>7.37</v>
      </c>
      <c r="CB65" s="355">
        <v>1.53</v>
      </c>
      <c r="CC65" s="355">
        <v>1790</v>
      </c>
      <c r="CD65" s="355">
        <v>6.36</v>
      </c>
      <c r="CE65" s="355">
        <v>4.1500000000000004</v>
      </c>
      <c r="CF65" s="355">
        <v>3100</v>
      </c>
      <c r="CG65" s="355">
        <v>7.23</v>
      </c>
      <c r="CH65" s="355">
        <v>1.4</v>
      </c>
      <c r="CI65" s="355">
        <v>1240</v>
      </c>
      <c r="CJ65" s="355">
        <v>7.31</v>
      </c>
      <c r="CK65" s="355">
        <v>2.73</v>
      </c>
      <c r="CL65" s="355">
        <v>2400</v>
      </c>
      <c r="CM65" s="205"/>
      <c r="CN65" s="205"/>
      <c r="CO65" s="13">
        <v>9</v>
      </c>
      <c r="CP65" s="10">
        <v>7.97</v>
      </c>
      <c r="CQ65" s="10">
        <v>2.4700000000000002</v>
      </c>
      <c r="CR65" s="11">
        <v>76.7</v>
      </c>
      <c r="CS65" s="10">
        <v>18</v>
      </c>
      <c r="CT65" s="10">
        <v>1.61</v>
      </c>
      <c r="CU65" s="12" t="s">
        <v>149</v>
      </c>
      <c r="CV65" s="8">
        <v>2.9</v>
      </c>
      <c r="CW65" s="8">
        <v>8</v>
      </c>
      <c r="CX65" s="8">
        <v>50</v>
      </c>
      <c r="CY65" s="13">
        <v>7</v>
      </c>
      <c r="CZ65" s="10">
        <v>7.95</v>
      </c>
      <c r="DA65" s="10">
        <v>2.4</v>
      </c>
      <c r="DB65" s="14">
        <v>75</v>
      </c>
      <c r="DC65" s="15"/>
      <c r="DD65" s="15"/>
      <c r="DE65" s="16"/>
      <c r="DF65" s="8">
        <v>2.7</v>
      </c>
      <c r="DG65" s="8">
        <v>8</v>
      </c>
      <c r="DH65" s="8">
        <v>36</v>
      </c>
      <c r="DI65" s="23"/>
      <c r="DJ65" s="21"/>
      <c r="DK65" s="21"/>
      <c r="DL65" s="22"/>
      <c r="DM65" s="21"/>
      <c r="DN65" s="21"/>
      <c r="DO65" s="23"/>
      <c r="DP65" s="23"/>
      <c r="DQ65" s="23"/>
      <c r="DR65" s="23"/>
      <c r="DS65" s="19">
        <v>11</v>
      </c>
      <c r="DT65" s="10">
        <v>7.9</v>
      </c>
      <c r="DU65" s="10">
        <v>2.54</v>
      </c>
      <c r="DV65" s="11">
        <v>74</v>
      </c>
      <c r="DW65" s="10">
        <v>24.2</v>
      </c>
      <c r="DX65" s="10">
        <v>1.82</v>
      </c>
      <c r="DY65" s="20">
        <v>20.8</v>
      </c>
      <c r="DZ65" s="8">
        <v>2.6</v>
      </c>
      <c r="EA65" s="8">
        <v>10</v>
      </c>
      <c r="EB65" s="8">
        <v>8</v>
      </c>
      <c r="EC65" s="8">
        <v>9</v>
      </c>
      <c r="ED65" s="8">
        <v>0</v>
      </c>
      <c r="EE65" s="8">
        <v>10</v>
      </c>
      <c r="EF65" s="8">
        <v>10</v>
      </c>
      <c r="EG65" s="8">
        <v>3</v>
      </c>
      <c r="EH65" s="8">
        <v>81</v>
      </c>
      <c r="EI65" s="8">
        <v>17</v>
      </c>
      <c r="EJ65" s="8">
        <v>10</v>
      </c>
      <c r="EK65" s="8">
        <f t="shared" si="150"/>
        <v>158</v>
      </c>
      <c r="EL65" s="9">
        <v>45</v>
      </c>
      <c r="EM65" s="8">
        <v>24</v>
      </c>
      <c r="EN65" s="10">
        <v>7.63</v>
      </c>
      <c r="EO65" s="10">
        <v>2.65</v>
      </c>
      <c r="EP65" s="11">
        <v>69</v>
      </c>
      <c r="EQ65" s="10">
        <v>26.9</v>
      </c>
      <c r="ER65" s="10">
        <v>2.19</v>
      </c>
      <c r="ES65" s="12">
        <v>16.600000000000001</v>
      </c>
      <c r="ET65" s="8">
        <v>3300</v>
      </c>
      <c r="EU65" s="8">
        <v>3000</v>
      </c>
      <c r="EV65" s="8">
        <v>0</v>
      </c>
      <c r="EW65" s="8">
        <f t="shared" si="8"/>
        <v>6300</v>
      </c>
      <c r="EX65" s="23">
        <v>52</v>
      </c>
      <c r="EY65" s="342"/>
    </row>
    <row r="66" spans="1:155" ht="17.100000000000001" customHeight="1">
      <c r="A66" s="174"/>
      <c r="B66" s="397" t="s">
        <v>259</v>
      </c>
      <c r="C66" s="190"/>
      <c r="D66" s="317" t="e">
        <f t="shared" si="0"/>
        <v>#DIV/0!</v>
      </c>
      <c r="E66" s="320" t="e">
        <f t="shared" si="1"/>
        <v>#DIV/0!</v>
      </c>
      <c r="F66" s="356" t="e">
        <f t="shared" si="2"/>
        <v>#DIV/0!</v>
      </c>
      <c r="G66" s="357" t="e">
        <f t="shared" si="3"/>
        <v>#DIV/0!</v>
      </c>
      <c r="H66" s="306"/>
      <c r="I66" s="309"/>
      <c r="J66" s="309"/>
      <c r="K66" s="309"/>
      <c r="L66" s="309"/>
      <c r="M66" s="309"/>
      <c r="N66" s="309"/>
      <c r="O66" s="309"/>
      <c r="P66" s="211"/>
      <c r="Q66" s="214"/>
      <c r="R66" s="306"/>
      <c r="S66" s="309"/>
      <c r="T66" s="358"/>
      <c r="U66" s="309"/>
      <c r="V66" s="309"/>
      <c r="W66" s="309"/>
      <c r="X66" s="336"/>
      <c r="Y66" s="306"/>
      <c r="Z66" s="309"/>
      <c r="AA66" s="309"/>
      <c r="AB66" s="309"/>
      <c r="AC66" s="309"/>
      <c r="AD66" s="309"/>
      <c r="AE66" s="348"/>
      <c r="AF66" s="306"/>
      <c r="AG66" s="211"/>
      <c r="AH66" s="211"/>
      <c r="AI66" s="211"/>
      <c r="AJ66" s="211"/>
      <c r="AK66" s="211"/>
      <c r="AL66" s="214"/>
      <c r="AM66" s="333"/>
      <c r="AN66" s="212"/>
      <c r="AO66" s="211"/>
      <c r="AP66" s="211"/>
      <c r="AQ66" s="211"/>
      <c r="AR66" s="211"/>
      <c r="AS66" s="211"/>
      <c r="AT66" s="333"/>
      <c r="AU66" s="211"/>
      <c r="AV66" s="309"/>
      <c r="AW66" s="211"/>
      <c r="AX66" s="211"/>
      <c r="AY66" s="309"/>
      <c r="AZ66" s="336"/>
      <c r="BA66" s="359"/>
      <c r="BB66" s="359"/>
      <c r="BC66" s="359"/>
      <c r="BD66" s="359"/>
      <c r="BE66" s="359"/>
      <c r="BF66" s="359"/>
      <c r="BG66" s="359"/>
      <c r="BH66" s="359"/>
      <c r="BI66" s="212"/>
      <c r="BJ66" s="212"/>
      <c r="BK66" s="360"/>
      <c r="BL66" s="212"/>
      <c r="BM66" s="212"/>
      <c r="BN66" s="215"/>
      <c r="BO66" s="196">
        <v>71.599999999999994</v>
      </c>
      <c r="BP66" s="196">
        <v>0.78400000000000003</v>
      </c>
      <c r="BQ66" s="196">
        <v>4.95</v>
      </c>
      <c r="BR66" s="196">
        <v>68.400000000000006</v>
      </c>
      <c r="BS66" s="339">
        <v>0.67200000000000004</v>
      </c>
      <c r="BT66" s="196">
        <v>5.43</v>
      </c>
      <c r="BU66" s="355">
        <v>7.2</v>
      </c>
      <c r="BV66" s="355">
        <v>1.48</v>
      </c>
      <c r="BW66" s="355">
        <v>1640</v>
      </c>
      <c r="BX66" s="355">
        <v>5.48</v>
      </c>
      <c r="BY66" s="355">
        <v>8.17</v>
      </c>
      <c r="BZ66" s="355">
        <v>6900</v>
      </c>
      <c r="CA66" s="355">
        <v>7.37</v>
      </c>
      <c r="CB66" s="355">
        <v>1.53</v>
      </c>
      <c r="CC66" s="355">
        <v>1790</v>
      </c>
      <c r="CD66" s="355">
        <v>6.36</v>
      </c>
      <c r="CE66" s="355">
        <v>4.1500000000000004</v>
      </c>
      <c r="CF66" s="355">
        <v>3100</v>
      </c>
      <c r="CG66" s="355">
        <v>7.23</v>
      </c>
      <c r="CH66" s="355">
        <v>1.4</v>
      </c>
      <c r="CI66" s="355">
        <v>1240</v>
      </c>
      <c r="CJ66" s="355">
        <v>7.31</v>
      </c>
      <c r="CK66" s="355">
        <v>2.73</v>
      </c>
      <c r="CL66" s="355">
        <v>2400</v>
      </c>
      <c r="CM66" s="205"/>
      <c r="CN66" s="205"/>
      <c r="CO66" s="13"/>
      <c r="CP66" s="10"/>
      <c r="CQ66" s="10"/>
      <c r="CR66" s="11"/>
      <c r="CS66" s="10"/>
      <c r="CT66" s="10"/>
      <c r="CU66" s="12"/>
      <c r="CV66" s="8"/>
      <c r="CW66" s="8"/>
      <c r="CX66" s="8"/>
      <c r="CY66" s="13"/>
      <c r="CZ66" s="10"/>
      <c r="DA66" s="10"/>
      <c r="DB66" s="14"/>
      <c r="DC66" s="15"/>
      <c r="DD66" s="15"/>
      <c r="DE66" s="16"/>
      <c r="DF66" s="8"/>
      <c r="DG66" s="8"/>
      <c r="DH66" s="8"/>
      <c r="DI66" s="23"/>
      <c r="DJ66" s="21"/>
      <c r="DK66" s="21"/>
      <c r="DL66" s="22"/>
      <c r="DM66" s="21"/>
      <c r="DN66" s="21"/>
      <c r="DO66" s="23"/>
      <c r="DP66" s="23"/>
      <c r="DQ66" s="23"/>
      <c r="DR66" s="23"/>
      <c r="DS66" s="19"/>
      <c r="DT66" s="10"/>
      <c r="DU66" s="10"/>
      <c r="DV66" s="11"/>
      <c r="DW66" s="10"/>
      <c r="DX66" s="10"/>
      <c r="DY66" s="20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9" t="s">
        <v>150</v>
      </c>
      <c r="EM66" s="8">
        <v>20</v>
      </c>
      <c r="EN66" s="10">
        <v>7.59</v>
      </c>
      <c r="EO66" s="10">
        <v>2.73</v>
      </c>
      <c r="EP66" s="11">
        <v>68.400000000000006</v>
      </c>
      <c r="EQ66" s="10">
        <v>26</v>
      </c>
      <c r="ER66" s="10">
        <v>2.2400000000000002</v>
      </c>
      <c r="ES66" s="12" t="s">
        <v>151</v>
      </c>
      <c r="ET66" s="8">
        <v>2875</v>
      </c>
      <c r="EU66" s="8">
        <v>2398</v>
      </c>
      <c r="EV66" s="8">
        <v>1227</v>
      </c>
      <c r="EW66" s="8">
        <f t="shared" si="8"/>
        <v>6500</v>
      </c>
      <c r="EX66" s="23">
        <v>56</v>
      </c>
      <c r="EY66" s="342"/>
    </row>
    <row r="67" spans="1:155" s="401" customFormat="1" ht="17.100000000000001" customHeight="1" thickBot="1">
      <c r="A67" s="175"/>
      <c r="B67" s="400" t="s">
        <v>259</v>
      </c>
      <c r="C67" s="130"/>
      <c r="D67" s="88"/>
      <c r="E67" s="89"/>
      <c r="F67" s="89"/>
      <c r="G67" s="90"/>
      <c r="H67" s="91"/>
      <c r="I67" s="92"/>
      <c r="J67" s="92"/>
      <c r="K67" s="92"/>
      <c r="L67" s="92"/>
      <c r="M67" s="92"/>
      <c r="N67" s="92"/>
      <c r="O67" s="92"/>
      <c r="P67" s="93"/>
      <c r="Q67" s="94"/>
      <c r="R67" s="91"/>
      <c r="S67" s="92"/>
      <c r="T67" s="92"/>
      <c r="U67" s="92"/>
      <c r="V67" s="92"/>
      <c r="W67" s="92"/>
      <c r="X67" s="95"/>
      <c r="Y67" s="91"/>
      <c r="Z67" s="92"/>
      <c r="AA67" s="92"/>
      <c r="AB67" s="92"/>
      <c r="AC67" s="92"/>
      <c r="AD67" s="92"/>
      <c r="AE67" s="114"/>
      <c r="AF67" s="91"/>
      <c r="AG67" s="93"/>
      <c r="AH67" s="93"/>
      <c r="AI67" s="93"/>
      <c r="AJ67" s="93"/>
      <c r="AK67" s="93"/>
      <c r="AL67" s="94"/>
      <c r="AM67" s="96"/>
      <c r="AN67" s="93"/>
      <c r="AO67" s="93"/>
      <c r="AP67" s="93"/>
      <c r="AQ67" s="93"/>
      <c r="AR67" s="93"/>
      <c r="AS67" s="93"/>
      <c r="AT67" s="96"/>
      <c r="AU67" s="93"/>
      <c r="AV67" s="92"/>
      <c r="AW67" s="93"/>
      <c r="AX67" s="93"/>
      <c r="AY67" s="92"/>
      <c r="AZ67" s="95"/>
      <c r="BA67" s="96"/>
      <c r="BB67" s="96"/>
      <c r="BC67" s="96"/>
      <c r="BD67" s="96"/>
      <c r="BE67" s="96"/>
      <c r="BF67" s="96"/>
      <c r="BG67" s="96"/>
      <c r="BH67" s="96"/>
      <c r="BI67" s="93"/>
      <c r="BJ67" s="93"/>
      <c r="BK67" s="115"/>
      <c r="BL67" s="93"/>
      <c r="BM67" s="93"/>
      <c r="BN67" s="94"/>
      <c r="BO67" s="65"/>
      <c r="BP67" s="65"/>
      <c r="BQ67" s="65"/>
      <c r="BR67" s="65"/>
      <c r="BS67" s="97"/>
      <c r="BT67" s="65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6"/>
      <c r="CN67" s="66"/>
      <c r="CO67" s="98"/>
      <c r="CP67" s="107"/>
      <c r="CQ67" s="107"/>
      <c r="CR67" s="108"/>
      <c r="CS67" s="107"/>
      <c r="CT67" s="107"/>
      <c r="CU67" s="109"/>
      <c r="CV67" s="102"/>
      <c r="CW67" s="102"/>
      <c r="CX67" s="102"/>
      <c r="CY67" s="98"/>
      <c r="CZ67" s="107"/>
      <c r="DA67" s="107"/>
      <c r="DB67" s="131"/>
      <c r="DC67" s="132"/>
      <c r="DD67" s="132"/>
      <c r="DE67" s="133"/>
      <c r="DF67" s="102"/>
      <c r="DG67" s="102"/>
      <c r="DH67" s="102"/>
      <c r="DI67" s="101"/>
      <c r="DJ67" s="99"/>
      <c r="DK67" s="99"/>
      <c r="DL67" s="100"/>
      <c r="DM67" s="99"/>
      <c r="DN67" s="99"/>
      <c r="DO67" s="101"/>
      <c r="DP67" s="101"/>
      <c r="DQ67" s="101"/>
      <c r="DR67" s="101"/>
      <c r="DS67" s="134"/>
      <c r="DT67" s="107"/>
      <c r="DU67" s="107"/>
      <c r="DV67" s="108"/>
      <c r="DW67" s="107"/>
      <c r="DX67" s="107"/>
      <c r="DY67" s="135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6" t="s">
        <v>152</v>
      </c>
      <c r="EM67" s="102">
        <v>21</v>
      </c>
      <c r="EN67" s="107">
        <v>7.69</v>
      </c>
      <c r="EO67" s="107">
        <v>2.78</v>
      </c>
      <c r="EP67" s="108">
        <v>67.3</v>
      </c>
      <c r="EQ67" s="107">
        <v>27.5</v>
      </c>
      <c r="ER67" s="107">
        <v>2.16</v>
      </c>
      <c r="ES67" s="109" t="s">
        <v>119</v>
      </c>
      <c r="ET67" s="102">
        <v>3560</v>
      </c>
      <c r="EU67" s="102">
        <v>3190</v>
      </c>
      <c r="EV67" s="102">
        <v>752</v>
      </c>
      <c r="EW67" s="102">
        <f t="shared" si="8"/>
        <v>7502</v>
      </c>
      <c r="EX67" s="101">
        <v>55</v>
      </c>
      <c r="EY67" s="343"/>
    </row>
    <row r="68" spans="1:155" s="398" customFormat="1" ht="17.100000000000001" customHeight="1">
      <c r="A68" s="173">
        <v>16</v>
      </c>
      <c r="B68" s="397" t="s">
        <v>260</v>
      </c>
      <c r="C68" s="189" t="s">
        <v>96</v>
      </c>
      <c r="D68" s="316">
        <f t="shared" ref="D68:D95" si="151">(I68+H68)/(H68+I68+J68+K68+L68)*100</f>
        <v>68.888888888888886</v>
      </c>
      <c r="E68" s="319">
        <f t="shared" ref="E68:E95" si="152">J68/(H68+I68+J68+K68+L68)*100</f>
        <v>31.111111111111111</v>
      </c>
      <c r="F68" s="319">
        <f t="shared" ref="F68:F95" si="153">K68/(H68+I68+J68+K68+L68)*100</f>
        <v>0</v>
      </c>
      <c r="G68" s="322">
        <f t="shared" ref="G68:G95" si="154">L68/(H68+I68+J68+K68+L68)*100</f>
        <v>0</v>
      </c>
      <c r="H68" s="305">
        <v>15.5</v>
      </c>
      <c r="I68" s="308">
        <v>0</v>
      </c>
      <c r="J68" s="308">
        <v>7</v>
      </c>
      <c r="K68" s="308">
        <v>0</v>
      </c>
      <c r="L68" s="308">
        <v>0</v>
      </c>
      <c r="M68" s="308">
        <v>8</v>
      </c>
      <c r="N68" s="308">
        <v>1.7</v>
      </c>
      <c r="O68" s="308">
        <v>0.2</v>
      </c>
      <c r="P68" s="301"/>
      <c r="Q68" s="303"/>
      <c r="R68" s="305">
        <v>0.91</v>
      </c>
      <c r="S68" s="308">
        <v>0</v>
      </c>
      <c r="T68" s="308">
        <v>0.42</v>
      </c>
      <c r="U68" s="308">
        <v>0</v>
      </c>
      <c r="V68" s="308">
        <v>0</v>
      </c>
      <c r="W68" s="308">
        <v>3.19</v>
      </c>
      <c r="X68" s="335">
        <v>20.5</v>
      </c>
      <c r="Y68" s="305">
        <f t="shared" ref="Y68:AD68" si="155">H68*R68*10</f>
        <v>141.05000000000001</v>
      </c>
      <c r="Z68" s="308">
        <f t="shared" si="155"/>
        <v>0</v>
      </c>
      <c r="AA68" s="308">
        <f t="shared" si="155"/>
        <v>29.4</v>
      </c>
      <c r="AB68" s="308">
        <f t="shared" si="155"/>
        <v>0</v>
      </c>
      <c r="AC68" s="308">
        <f t="shared" si="155"/>
        <v>0</v>
      </c>
      <c r="AD68" s="308">
        <f t="shared" si="155"/>
        <v>255.2</v>
      </c>
      <c r="AE68" s="335">
        <f>O68*X68*10</f>
        <v>41.000000000000007</v>
      </c>
      <c r="AF68" s="305">
        <v>11.5</v>
      </c>
      <c r="AG68" s="301">
        <v>0</v>
      </c>
      <c r="AH68" s="301">
        <v>1.8</v>
      </c>
      <c r="AI68" s="301">
        <v>0</v>
      </c>
      <c r="AJ68" s="301">
        <v>0</v>
      </c>
      <c r="AK68" s="301">
        <v>29.4</v>
      </c>
      <c r="AL68" s="303">
        <v>85.3</v>
      </c>
      <c r="AM68" s="332">
        <f>AF68*H68*10</f>
        <v>1782.5</v>
      </c>
      <c r="AN68" s="301">
        <f t="shared" ref="AN68" si="156">I68*AG68*10</f>
        <v>0</v>
      </c>
      <c r="AO68" s="301">
        <f>AH68*J68*10</f>
        <v>126</v>
      </c>
      <c r="AP68" s="301">
        <f t="shared" ref="AP68:AS68" si="157">AI68*K68*10</f>
        <v>0</v>
      </c>
      <c r="AQ68" s="301">
        <f t="shared" si="157"/>
        <v>0</v>
      </c>
      <c r="AR68" s="301">
        <f t="shared" si="157"/>
        <v>2352</v>
      </c>
      <c r="AS68" s="301">
        <f t="shared" si="157"/>
        <v>1450.1</v>
      </c>
      <c r="AT68" s="332">
        <v>12.7</v>
      </c>
      <c r="AU68" s="301">
        <v>0</v>
      </c>
      <c r="AV68" s="308">
        <v>56</v>
      </c>
      <c r="AW68" s="301">
        <v>0</v>
      </c>
      <c r="AX68" s="301">
        <v>0</v>
      </c>
      <c r="AY68" s="308">
        <v>20.6</v>
      </c>
      <c r="AZ68" s="335">
        <v>31</v>
      </c>
      <c r="BA68" s="332">
        <f t="shared" ref="BA68:BG68" si="158">(H68*3*1000)/(1-AT68/100)</f>
        <v>53264.604810996563</v>
      </c>
      <c r="BB68" s="332">
        <f t="shared" si="158"/>
        <v>0</v>
      </c>
      <c r="BC68" s="332">
        <f t="shared" si="158"/>
        <v>47727.272727272735</v>
      </c>
      <c r="BD68" s="332">
        <f t="shared" si="158"/>
        <v>0</v>
      </c>
      <c r="BE68" s="332">
        <f t="shared" si="158"/>
        <v>0</v>
      </c>
      <c r="BF68" s="332">
        <f t="shared" si="158"/>
        <v>30226.700251889168</v>
      </c>
      <c r="BG68" s="332">
        <f t="shared" si="158"/>
        <v>7391.3043478260879</v>
      </c>
      <c r="BH68" s="332">
        <f t="shared" ref="BH68" si="159">H68+I68+J68+K68+L68</f>
        <v>22.5</v>
      </c>
      <c r="BI68" s="301">
        <f t="shared" ref="BI68" si="160">M68+N68+O68</f>
        <v>9.8999999999999986</v>
      </c>
      <c r="BJ68" s="301">
        <f t="shared" ref="BJ68" si="161">BH68+BI68</f>
        <v>32.4</v>
      </c>
      <c r="BK68" s="301">
        <f t="shared" ref="BK68" si="162">Y68+Z68+AA68+AB68+AC68+AD68+AE68</f>
        <v>466.65</v>
      </c>
      <c r="BL68" s="301">
        <f t="shared" ref="BL68" si="163">AM68+AN68+AO68+AP68+AQ68+AR68+AS68</f>
        <v>5710.6</v>
      </c>
      <c r="BM68" s="301">
        <f t="shared" ref="BM68" si="164">BJ68*3*1000</f>
        <v>97199.999999999985</v>
      </c>
      <c r="BN68" s="303">
        <f t="shared" ref="BN68" si="165">BA68+BB68+BC68+BD68+BE68+BF68+BG68</f>
        <v>138609.88213798453</v>
      </c>
      <c r="BO68" s="216">
        <v>73</v>
      </c>
      <c r="BP68" s="216">
        <v>1.4</v>
      </c>
      <c r="BQ68" s="216">
        <v>3.88</v>
      </c>
      <c r="BR68" s="216">
        <v>71.7</v>
      </c>
      <c r="BS68" s="338">
        <v>1.1000000000000001</v>
      </c>
      <c r="BT68" s="216">
        <v>4.16</v>
      </c>
      <c r="BU68" s="354">
        <v>6.69</v>
      </c>
      <c r="BV68" s="354">
        <v>1.42</v>
      </c>
      <c r="BW68" s="354">
        <v>1730</v>
      </c>
      <c r="BX68" s="354">
        <v>7.29</v>
      </c>
      <c r="BY68" s="354">
        <v>7.5</v>
      </c>
      <c r="BZ68" s="354">
        <v>6900</v>
      </c>
      <c r="CA68" s="354">
        <v>7.21</v>
      </c>
      <c r="CB68" s="354">
        <v>1.5</v>
      </c>
      <c r="CC68" s="354">
        <v>1300</v>
      </c>
      <c r="CD68" s="354">
        <v>7.11</v>
      </c>
      <c r="CE68" s="354">
        <v>3.57</v>
      </c>
      <c r="CF68" s="354">
        <v>3300</v>
      </c>
      <c r="CG68" s="354">
        <v>7.12</v>
      </c>
      <c r="CH68" s="354">
        <v>1.43</v>
      </c>
      <c r="CI68" s="354">
        <v>1230</v>
      </c>
      <c r="CJ68" s="354">
        <v>6.75</v>
      </c>
      <c r="CK68" s="354">
        <v>2.4500000000000002</v>
      </c>
      <c r="CL68" s="354">
        <v>2000</v>
      </c>
      <c r="CM68" s="220">
        <v>76.400000000000006</v>
      </c>
      <c r="CN68" s="220">
        <v>76</v>
      </c>
      <c r="CO68" s="75">
        <v>1</v>
      </c>
      <c r="CP68" s="76">
        <v>7.81</v>
      </c>
      <c r="CQ68" s="76">
        <v>2.4</v>
      </c>
      <c r="CR68" s="77">
        <v>75.900000000000006</v>
      </c>
      <c r="CS68" s="76">
        <v>19.2</v>
      </c>
      <c r="CT68" s="76">
        <v>1.64</v>
      </c>
      <c r="CU68" s="79" t="s">
        <v>153</v>
      </c>
      <c r="CV68" s="79">
        <v>2.4500000000000002</v>
      </c>
      <c r="CW68" s="79">
        <v>11</v>
      </c>
      <c r="CX68" s="79">
        <v>48</v>
      </c>
      <c r="CY68" s="75">
        <v>10</v>
      </c>
      <c r="CZ68" s="76">
        <v>7.78</v>
      </c>
      <c r="DA68" s="76">
        <v>2.4300000000000002</v>
      </c>
      <c r="DB68" s="80">
        <v>75.599999999999994</v>
      </c>
      <c r="DC68" s="81">
        <v>21.4</v>
      </c>
      <c r="DD68" s="81">
        <v>1.7</v>
      </c>
      <c r="DE68" s="136" t="s">
        <v>123</v>
      </c>
      <c r="DF68" s="79">
        <v>2.2000000000000002</v>
      </c>
      <c r="DG68" s="79">
        <v>11</v>
      </c>
      <c r="DH68" s="79">
        <v>38</v>
      </c>
      <c r="DI68" s="121"/>
      <c r="DJ68" s="122"/>
      <c r="DK68" s="122"/>
      <c r="DL68" s="123"/>
      <c r="DM68" s="122"/>
      <c r="DN68" s="122"/>
      <c r="DO68" s="121"/>
      <c r="DP68" s="121"/>
      <c r="DQ68" s="121"/>
      <c r="DR68" s="121"/>
      <c r="DS68" s="85">
        <v>12</v>
      </c>
      <c r="DT68" s="76">
        <v>7.9</v>
      </c>
      <c r="DU68" s="76">
        <v>2.7</v>
      </c>
      <c r="DV68" s="77">
        <v>73.900000000000006</v>
      </c>
      <c r="DW68" s="76">
        <v>24.5</v>
      </c>
      <c r="DX68" s="76">
        <v>1.96</v>
      </c>
      <c r="DY68" s="86" t="s">
        <v>154</v>
      </c>
      <c r="DZ68" s="79">
        <v>2.35</v>
      </c>
      <c r="EA68" s="79">
        <v>7</v>
      </c>
      <c r="EB68" s="79">
        <v>12</v>
      </c>
      <c r="EC68" s="79">
        <v>7</v>
      </c>
      <c r="ED68" s="79">
        <v>0</v>
      </c>
      <c r="EE68" s="79">
        <v>8</v>
      </c>
      <c r="EF68" s="79">
        <v>14</v>
      </c>
      <c r="EG68" s="79">
        <v>0</v>
      </c>
      <c r="EH68" s="79">
        <v>85</v>
      </c>
      <c r="EI68" s="79">
        <v>10</v>
      </c>
      <c r="EJ68" s="79">
        <v>23</v>
      </c>
      <c r="EK68" s="79">
        <f>EA68+EB68+EC68+ED68+EE68+EF68+EG68+EH68+EI68+EJ68</f>
        <v>166</v>
      </c>
      <c r="EL68" s="87">
        <v>46</v>
      </c>
      <c r="EM68" s="79">
        <v>55</v>
      </c>
      <c r="EN68" s="76">
        <v>7.52</v>
      </c>
      <c r="EO68" s="76">
        <v>2.86</v>
      </c>
      <c r="EP68" s="77">
        <v>67.599999999999994</v>
      </c>
      <c r="EQ68" s="76">
        <v>26.5</v>
      </c>
      <c r="ER68" s="76">
        <v>2.17</v>
      </c>
      <c r="ES68" s="78">
        <v>16.899999999999999</v>
      </c>
      <c r="ET68" s="79">
        <v>3200</v>
      </c>
      <c r="EU68" s="79">
        <v>2228</v>
      </c>
      <c r="EV68" s="79">
        <v>1189</v>
      </c>
      <c r="EW68" s="79">
        <f t="shared" ref="EW68" si="166">SUM(ET68:EV68)</f>
        <v>6617</v>
      </c>
      <c r="EX68" s="121">
        <v>56</v>
      </c>
      <c r="EY68" s="341">
        <f>EW68+EW69+EW70+EW71</f>
        <v>20225</v>
      </c>
    </row>
    <row r="69" spans="1:155" ht="17.100000000000001" customHeight="1">
      <c r="A69" s="174"/>
      <c r="B69" s="397" t="s">
        <v>260</v>
      </c>
      <c r="C69" s="190"/>
      <c r="D69" s="317" t="e">
        <f t="shared" si="151"/>
        <v>#DIV/0!</v>
      </c>
      <c r="E69" s="320" t="e">
        <f t="shared" si="152"/>
        <v>#DIV/0!</v>
      </c>
      <c r="F69" s="320" t="e">
        <f t="shared" si="153"/>
        <v>#DIV/0!</v>
      </c>
      <c r="G69" s="323" t="e">
        <f t="shared" si="154"/>
        <v>#DIV/0!</v>
      </c>
      <c r="H69" s="306"/>
      <c r="I69" s="309"/>
      <c r="J69" s="309"/>
      <c r="K69" s="309"/>
      <c r="L69" s="309"/>
      <c r="M69" s="309"/>
      <c r="N69" s="309"/>
      <c r="O69" s="309"/>
      <c r="P69" s="211"/>
      <c r="Q69" s="214"/>
      <c r="R69" s="306"/>
      <c r="S69" s="309"/>
      <c r="T69" s="309"/>
      <c r="U69" s="309"/>
      <c r="V69" s="309"/>
      <c r="W69" s="309"/>
      <c r="X69" s="336"/>
      <c r="Y69" s="306"/>
      <c r="Z69" s="309"/>
      <c r="AA69" s="309"/>
      <c r="AB69" s="309"/>
      <c r="AC69" s="309"/>
      <c r="AD69" s="309"/>
      <c r="AE69" s="336"/>
      <c r="AF69" s="306"/>
      <c r="AG69" s="211"/>
      <c r="AH69" s="211"/>
      <c r="AI69" s="211"/>
      <c r="AJ69" s="211"/>
      <c r="AK69" s="211"/>
      <c r="AL69" s="214"/>
      <c r="AM69" s="333"/>
      <c r="AN69" s="211"/>
      <c r="AO69" s="211"/>
      <c r="AP69" s="211"/>
      <c r="AQ69" s="211"/>
      <c r="AR69" s="211"/>
      <c r="AS69" s="211"/>
      <c r="AT69" s="333"/>
      <c r="AU69" s="211"/>
      <c r="AV69" s="309"/>
      <c r="AW69" s="211"/>
      <c r="AX69" s="211"/>
      <c r="AY69" s="309"/>
      <c r="AZ69" s="336"/>
      <c r="BA69" s="333"/>
      <c r="BB69" s="333"/>
      <c r="BC69" s="333"/>
      <c r="BD69" s="333"/>
      <c r="BE69" s="333"/>
      <c r="BF69" s="333"/>
      <c r="BG69" s="333"/>
      <c r="BH69" s="333"/>
      <c r="BI69" s="211"/>
      <c r="BJ69" s="211"/>
      <c r="BK69" s="211"/>
      <c r="BL69" s="211"/>
      <c r="BM69" s="211"/>
      <c r="BN69" s="214"/>
      <c r="BO69" s="196">
        <v>74.599999999999994</v>
      </c>
      <c r="BP69" s="196">
        <v>0.92500000000000004</v>
      </c>
      <c r="BQ69" s="196">
        <v>5.09</v>
      </c>
      <c r="BR69" s="196">
        <v>73.3</v>
      </c>
      <c r="BS69" s="339">
        <v>1.02</v>
      </c>
      <c r="BT69" s="196">
        <v>5.21</v>
      </c>
      <c r="BU69" s="355">
        <v>6.69</v>
      </c>
      <c r="BV69" s="355">
        <v>1.42</v>
      </c>
      <c r="BW69" s="355">
        <v>1730</v>
      </c>
      <c r="BX69" s="355">
        <v>7.29</v>
      </c>
      <c r="BY69" s="355">
        <v>7.5</v>
      </c>
      <c r="BZ69" s="355">
        <v>6900</v>
      </c>
      <c r="CA69" s="355">
        <v>7.21</v>
      </c>
      <c r="CB69" s="355">
        <v>1.5</v>
      </c>
      <c r="CC69" s="355">
        <v>1300</v>
      </c>
      <c r="CD69" s="355">
        <v>7.11</v>
      </c>
      <c r="CE69" s="355">
        <v>3.57</v>
      </c>
      <c r="CF69" s="355">
        <v>3300</v>
      </c>
      <c r="CG69" s="355">
        <v>7.12</v>
      </c>
      <c r="CH69" s="355">
        <v>1.43</v>
      </c>
      <c r="CI69" s="355">
        <v>1230</v>
      </c>
      <c r="CJ69" s="355">
        <v>6.75</v>
      </c>
      <c r="CK69" s="355">
        <v>2.4500000000000002</v>
      </c>
      <c r="CL69" s="355">
        <v>2000</v>
      </c>
      <c r="CM69" s="205"/>
      <c r="CN69" s="205"/>
      <c r="CO69" s="13">
        <v>2</v>
      </c>
      <c r="CP69" s="10">
        <v>7.81</v>
      </c>
      <c r="CQ69" s="10">
        <v>2.4</v>
      </c>
      <c r="CR69" s="11">
        <v>75.900000000000006</v>
      </c>
      <c r="CS69" s="10">
        <v>19.2</v>
      </c>
      <c r="CT69" s="10">
        <v>1.64</v>
      </c>
      <c r="CU69" s="8" t="s">
        <v>153</v>
      </c>
      <c r="CV69" s="8">
        <v>2.4</v>
      </c>
      <c r="CW69" s="8">
        <v>11</v>
      </c>
      <c r="CX69" s="8">
        <v>52</v>
      </c>
      <c r="CY69" s="13">
        <v>9</v>
      </c>
      <c r="CZ69" s="10">
        <v>7.74</v>
      </c>
      <c r="DA69" s="10">
        <v>2.46</v>
      </c>
      <c r="DB69" s="14">
        <v>75</v>
      </c>
      <c r="DC69" s="15">
        <v>20.6</v>
      </c>
      <c r="DD69" s="15">
        <v>1.72</v>
      </c>
      <c r="DE69" s="16" t="s">
        <v>123</v>
      </c>
      <c r="DF69" s="8">
        <v>2.2000000000000002</v>
      </c>
      <c r="DG69" s="8">
        <v>6</v>
      </c>
      <c r="DH69" s="8">
        <v>32</v>
      </c>
      <c r="DI69" s="23"/>
      <c r="DJ69" s="21"/>
      <c r="DK69" s="21"/>
      <c r="DL69" s="22"/>
      <c r="DM69" s="21"/>
      <c r="DN69" s="21"/>
      <c r="DO69" s="23"/>
      <c r="DP69" s="23"/>
      <c r="DQ69" s="23"/>
      <c r="DR69" s="23"/>
      <c r="DS69" s="19">
        <v>3</v>
      </c>
      <c r="DT69" s="10">
        <v>7.88</v>
      </c>
      <c r="DU69" s="10">
        <v>2.62</v>
      </c>
      <c r="DV69" s="11">
        <v>73.599999999999994</v>
      </c>
      <c r="DW69" s="10">
        <v>23.9</v>
      </c>
      <c r="DX69" s="10">
        <v>1.91</v>
      </c>
      <c r="DY69" s="20">
        <v>19.899999999999999</v>
      </c>
      <c r="DZ69" s="8">
        <v>2.1</v>
      </c>
      <c r="EA69" s="8">
        <v>10</v>
      </c>
      <c r="EB69" s="8">
        <v>5</v>
      </c>
      <c r="EC69" s="8">
        <v>8</v>
      </c>
      <c r="ED69" s="8">
        <v>0</v>
      </c>
      <c r="EE69" s="8">
        <v>10</v>
      </c>
      <c r="EF69" s="8">
        <v>10</v>
      </c>
      <c r="EG69" s="8">
        <v>4</v>
      </c>
      <c r="EH69" s="8">
        <v>84</v>
      </c>
      <c r="EI69" s="8">
        <v>16</v>
      </c>
      <c r="EJ69" s="8">
        <v>0</v>
      </c>
      <c r="EK69" s="8">
        <f>EA69+EB69+EC69+ED69+EE69+EF69+EG69+EH69+EI69+EJ69</f>
        <v>147</v>
      </c>
      <c r="EL69" s="9">
        <v>47</v>
      </c>
      <c r="EM69" s="8">
        <v>44</v>
      </c>
      <c r="EN69" s="10">
        <v>7.58</v>
      </c>
      <c r="EO69" s="10">
        <v>2.74</v>
      </c>
      <c r="EP69" s="11">
        <v>68</v>
      </c>
      <c r="EQ69" s="10">
        <v>27.1</v>
      </c>
      <c r="ER69" s="10">
        <v>2.1</v>
      </c>
      <c r="ES69" s="12">
        <v>17.3</v>
      </c>
      <c r="ET69" s="8">
        <v>3141</v>
      </c>
      <c r="EU69" s="8">
        <v>3466</v>
      </c>
      <c r="EV69" s="8">
        <v>0</v>
      </c>
      <c r="EW69" s="8">
        <f>SUM(ET69:EV69)</f>
        <v>6607</v>
      </c>
      <c r="EX69" s="23">
        <v>51</v>
      </c>
      <c r="EY69" s="342"/>
    </row>
    <row r="70" spans="1:155" ht="17.100000000000001" customHeight="1">
      <c r="A70" s="174"/>
      <c r="B70" s="397" t="s">
        <v>260</v>
      </c>
      <c r="C70" s="190"/>
      <c r="D70" s="317" t="e">
        <f t="shared" si="151"/>
        <v>#DIV/0!</v>
      </c>
      <c r="E70" s="320" t="e">
        <f t="shared" si="152"/>
        <v>#DIV/0!</v>
      </c>
      <c r="F70" s="320" t="e">
        <f t="shared" si="153"/>
        <v>#DIV/0!</v>
      </c>
      <c r="G70" s="323" t="e">
        <f t="shared" si="154"/>
        <v>#DIV/0!</v>
      </c>
      <c r="H70" s="306"/>
      <c r="I70" s="309"/>
      <c r="J70" s="309"/>
      <c r="K70" s="309"/>
      <c r="L70" s="309"/>
      <c r="M70" s="309"/>
      <c r="N70" s="309"/>
      <c r="O70" s="309"/>
      <c r="P70" s="211"/>
      <c r="Q70" s="214"/>
      <c r="R70" s="306"/>
      <c r="S70" s="309"/>
      <c r="T70" s="309"/>
      <c r="U70" s="309"/>
      <c r="V70" s="309"/>
      <c r="W70" s="309"/>
      <c r="X70" s="336"/>
      <c r="Y70" s="306"/>
      <c r="Z70" s="309"/>
      <c r="AA70" s="309"/>
      <c r="AB70" s="309"/>
      <c r="AC70" s="309"/>
      <c r="AD70" s="309"/>
      <c r="AE70" s="336"/>
      <c r="AF70" s="306"/>
      <c r="AG70" s="211"/>
      <c r="AH70" s="211"/>
      <c r="AI70" s="211"/>
      <c r="AJ70" s="211"/>
      <c r="AK70" s="211"/>
      <c r="AL70" s="214"/>
      <c r="AM70" s="333"/>
      <c r="AN70" s="211"/>
      <c r="AO70" s="211"/>
      <c r="AP70" s="211"/>
      <c r="AQ70" s="211"/>
      <c r="AR70" s="211"/>
      <c r="AS70" s="211"/>
      <c r="AT70" s="333"/>
      <c r="AU70" s="211"/>
      <c r="AV70" s="309"/>
      <c r="AW70" s="211"/>
      <c r="AX70" s="211"/>
      <c r="AY70" s="309"/>
      <c r="AZ70" s="336"/>
      <c r="BA70" s="333"/>
      <c r="BB70" s="333"/>
      <c r="BC70" s="333"/>
      <c r="BD70" s="333"/>
      <c r="BE70" s="333"/>
      <c r="BF70" s="333"/>
      <c r="BG70" s="333"/>
      <c r="BH70" s="333"/>
      <c r="BI70" s="211"/>
      <c r="BJ70" s="211"/>
      <c r="BK70" s="211"/>
      <c r="BL70" s="211"/>
      <c r="BM70" s="211"/>
      <c r="BN70" s="214"/>
      <c r="BO70" s="196">
        <v>76.900000000000006</v>
      </c>
      <c r="BP70" s="196">
        <v>1.87</v>
      </c>
      <c r="BQ70" s="196">
        <v>7.67</v>
      </c>
      <c r="BR70" s="196">
        <v>70.7</v>
      </c>
      <c r="BS70" s="339">
        <v>1.1200000000000001</v>
      </c>
      <c r="BT70" s="196">
        <v>8.3800000000000008</v>
      </c>
      <c r="BU70" s="355">
        <v>6.69</v>
      </c>
      <c r="BV70" s="355">
        <v>1.42</v>
      </c>
      <c r="BW70" s="355">
        <v>1730</v>
      </c>
      <c r="BX70" s="355">
        <v>7.29</v>
      </c>
      <c r="BY70" s="355">
        <v>7.5</v>
      </c>
      <c r="BZ70" s="355">
        <v>6900</v>
      </c>
      <c r="CA70" s="355">
        <v>7.21</v>
      </c>
      <c r="CB70" s="355">
        <v>1.5</v>
      </c>
      <c r="CC70" s="355">
        <v>1300</v>
      </c>
      <c r="CD70" s="355">
        <v>7.11</v>
      </c>
      <c r="CE70" s="355">
        <v>3.57</v>
      </c>
      <c r="CF70" s="355">
        <v>3300</v>
      </c>
      <c r="CG70" s="355">
        <v>7.12</v>
      </c>
      <c r="CH70" s="355">
        <v>1.43</v>
      </c>
      <c r="CI70" s="355">
        <v>1230</v>
      </c>
      <c r="CJ70" s="355">
        <v>6.75</v>
      </c>
      <c r="CK70" s="355">
        <v>2.4500000000000002</v>
      </c>
      <c r="CL70" s="355">
        <v>2000</v>
      </c>
      <c r="CM70" s="205"/>
      <c r="CN70" s="205"/>
      <c r="CO70" s="13">
        <v>8</v>
      </c>
      <c r="CP70" s="10">
        <v>7.81</v>
      </c>
      <c r="CQ70" s="10">
        <v>2.4</v>
      </c>
      <c r="CR70" s="11">
        <v>75.900000000000006</v>
      </c>
      <c r="CS70" s="10">
        <v>19.2</v>
      </c>
      <c r="CT70" s="10">
        <v>1.64</v>
      </c>
      <c r="CU70" s="8" t="s">
        <v>153</v>
      </c>
      <c r="CV70" s="8">
        <v>2.2000000000000002</v>
      </c>
      <c r="CW70" s="8">
        <v>10</v>
      </c>
      <c r="CX70" s="8">
        <v>46</v>
      </c>
      <c r="CY70" s="13">
        <v>11</v>
      </c>
      <c r="CZ70" s="10">
        <v>7.71</v>
      </c>
      <c r="DA70" s="10">
        <v>2.4300000000000002</v>
      </c>
      <c r="DB70" s="14">
        <v>74.7</v>
      </c>
      <c r="DC70" s="15">
        <v>20.399999999999999</v>
      </c>
      <c r="DD70" s="15">
        <v>1.79</v>
      </c>
      <c r="DE70" s="16" t="s">
        <v>128</v>
      </c>
      <c r="DF70" s="8">
        <v>1.9</v>
      </c>
      <c r="DG70" s="8">
        <v>15</v>
      </c>
      <c r="DH70" s="8">
        <v>38</v>
      </c>
      <c r="DI70" s="23"/>
      <c r="DJ70" s="21"/>
      <c r="DK70" s="21"/>
      <c r="DL70" s="22"/>
      <c r="DM70" s="21"/>
      <c r="DN70" s="21"/>
      <c r="DO70" s="23"/>
      <c r="DP70" s="23"/>
      <c r="DQ70" s="23"/>
      <c r="DR70" s="23"/>
      <c r="DS70" s="19">
        <v>4</v>
      </c>
      <c r="DT70" s="10">
        <v>7.5</v>
      </c>
      <c r="DU70" s="10">
        <v>2.63</v>
      </c>
      <c r="DV70" s="11">
        <v>73.3</v>
      </c>
      <c r="DW70" s="10">
        <v>24.5</v>
      </c>
      <c r="DX70" s="10">
        <v>1.94</v>
      </c>
      <c r="DY70" s="20">
        <v>19.399999999999999</v>
      </c>
      <c r="DZ70" s="8">
        <v>1.6</v>
      </c>
      <c r="EA70" s="8">
        <v>15</v>
      </c>
      <c r="EB70" s="8">
        <v>5</v>
      </c>
      <c r="EC70" s="8">
        <v>9</v>
      </c>
      <c r="ED70" s="8">
        <v>1</v>
      </c>
      <c r="EE70" s="8">
        <v>10</v>
      </c>
      <c r="EF70" s="8">
        <v>10</v>
      </c>
      <c r="EG70" s="8">
        <v>4</v>
      </c>
      <c r="EH70" s="8">
        <v>87</v>
      </c>
      <c r="EI70" s="8">
        <v>19</v>
      </c>
      <c r="EJ70" s="28">
        <v>0</v>
      </c>
      <c r="EK70" s="8">
        <f>EA70+EB70+EC70+ED70+EE70+EF70+EG70+EH70+EI70+EJ70</f>
        <v>160</v>
      </c>
      <c r="EL70" s="9">
        <v>48</v>
      </c>
      <c r="EM70" s="8">
        <v>36</v>
      </c>
      <c r="EN70" s="10">
        <v>7.65</v>
      </c>
      <c r="EO70" s="10">
        <v>2.67</v>
      </c>
      <c r="EP70" s="11">
        <v>67.400000000000006</v>
      </c>
      <c r="EQ70" s="10">
        <v>26.1</v>
      </c>
      <c r="ER70" s="10">
        <v>2.1800000000000002</v>
      </c>
      <c r="ES70" s="12">
        <v>16.899999999999999</v>
      </c>
      <c r="ET70" s="8">
        <v>2436</v>
      </c>
      <c r="EU70" s="8">
        <v>2734</v>
      </c>
      <c r="EV70" s="8">
        <v>1831</v>
      </c>
      <c r="EW70" s="8">
        <f>SUM(ET70:EV70)</f>
        <v>7001</v>
      </c>
      <c r="EX70" s="23">
        <v>55</v>
      </c>
      <c r="EY70" s="342"/>
    </row>
    <row r="71" spans="1:155" s="401" customFormat="1" ht="17.100000000000001" customHeight="1" thickBot="1">
      <c r="A71" s="175"/>
      <c r="B71" s="400" t="s">
        <v>260</v>
      </c>
      <c r="C71" s="191"/>
      <c r="D71" s="318" t="e">
        <f t="shared" si="151"/>
        <v>#DIV/0!</v>
      </c>
      <c r="E71" s="321" t="e">
        <f t="shared" si="152"/>
        <v>#DIV/0!</v>
      </c>
      <c r="F71" s="321" t="e">
        <f t="shared" si="153"/>
        <v>#DIV/0!</v>
      </c>
      <c r="G71" s="324" t="e">
        <f t="shared" si="154"/>
        <v>#DIV/0!</v>
      </c>
      <c r="H71" s="307"/>
      <c r="I71" s="310"/>
      <c r="J71" s="310"/>
      <c r="K71" s="310"/>
      <c r="L71" s="310"/>
      <c r="M71" s="310"/>
      <c r="N71" s="310"/>
      <c r="O71" s="310"/>
      <c r="P71" s="302"/>
      <c r="Q71" s="304"/>
      <c r="R71" s="307"/>
      <c r="S71" s="310"/>
      <c r="T71" s="310"/>
      <c r="U71" s="310"/>
      <c r="V71" s="310"/>
      <c r="W71" s="310"/>
      <c r="X71" s="337"/>
      <c r="Y71" s="307"/>
      <c r="Z71" s="310"/>
      <c r="AA71" s="310"/>
      <c r="AB71" s="310"/>
      <c r="AC71" s="310"/>
      <c r="AD71" s="310"/>
      <c r="AE71" s="337"/>
      <c r="AF71" s="307"/>
      <c r="AG71" s="302"/>
      <c r="AH71" s="302"/>
      <c r="AI71" s="302"/>
      <c r="AJ71" s="302"/>
      <c r="AK71" s="302"/>
      <c r="AL71" s="304"/>
      <c r="AM71" s="334"/>
      <c r="AN71" s="302"/>
      <c r="AO71" s="302"/>
      <c r="AP71" s="302"/>
      <c r="AQ71" s="302"/>
      <c r="AR71" s="302"/>
      <c r="AS71" s="302"/>
      <c r="AT71" s="334"/>
      <c r="AU71" s="302"/>
      <c r="AV71" s="310"/>
      <c r="AW71" s="302"/>
      <c r="AX71" s="302"/>
      <c r="AY71" s="310"/>
      <c r="AZ71" s="337"/>
      <c r="BA71" s="334"/>
      <c r="BB71" s="334"/>
      <c r="BC71" s="334"/>
      <c r="BD71" s="334"/>
      <c r="BE71" s="334"/>
      <c r="BF71" s="334"/>
      <c r="BG71" s="334"/>
      <c r="BH71" s="334"/>
      <c r="BI71" s="302"/>
      <c r="BJ71" s="302"/>
      <c r="BK71" s="302"/>
      <c r="BL71" s="302"/>
      <c r="BM71" s="302"/>
      <c r="BN71" s="304"/>
      <c r="BO71" s="217">
        <v>73</v>
      </c>
      <c r="BP71" s="217">
        <v>1.4</v>
      </c>
      <c r="BQ71" s="217">
        <v>3.88</v>
      </c>
      <c r="BR71" s="217">
        <v>71.7</v>
      </c>
      <c r="BS71" s="340">
        <v>1.1000000000000001</v>
      </c>
      <c r="BT71" s="217">
        <v>4.16</v>
      </c>
      <c r="BU71" s="312">
        <v>6.69</v>
      </c>
      <c r="BV71" s="312">
        <v>1.42</v>
      </c>
      <c r="BW71" s="312">
        <v>1730</v>
      </c>
      <c r="BX71" s="312">
        <v>7.29</v>
      </c>
      <c r="BY71" s="312">
        <v>7.5</v>
      </c>
      <c r="BZ71" s="312">
        <v>6900</v>
      </c>
      <c r="CA71" s="312">
        <v>7.21</v>
      </c>
      <c r="CB71" s="312">
        <v>1.5</v>
      </c>
      <c r="CC71" s="312">
        <v>1300</v>
      </c>
      <c r="CD71" s="312">
        <v>7.11</v>
      </c>
      <c r="CE71" s="312">
        <v>3.57</v>
      </c>
      <c r="CF71" s="312">
        <v>3300</v>
      </c>
      <c r="CG71" s="312">
        <v>7.12</v>
      </c>
      <c r="CH71" s="312">
        <v>1.43</v>
      </c>
      <c r="CI71" s="312">
        <v>1230</v>
      </c>
      <c r="CJ71" s="312">
        <v>6.75</v>
      </c>
      <c r="CK71" s="312">
        <v>2.4500000000000002</v>
      </c>
      <c r="CL71" s="312">
        <v>2000</v>
      </c>
      <c r="CM71" s="221"/>
      <c r="CN71" s="221"/>
      <c r="CV71" s="116"/>
      <c r="CW71" s="116"/>
      <c r="CX71" s="116"/>
      <c r="DF71" s="116"/>
      <c r="DG71" s="116"/>
      <c r="DH71" s="116"/>
      <c r="DI71" s="101"/>
      <c r="DJ71" s="99"/>
      <c r="DK71" s="99"/>
      <c r="DL71" s="100"/>
      <c r="DM71" s="99"/>
      <c r="DN71" s="99"/>
      <c r="DO71" s="101"/>
      <c r="DP71" s="101"/>
      <c r="DQ71" s="101"/>
      <c r="DR71" s="101"/>
      <c r="DS71" s="105"/>
      <c r="DT71" s="99"/>
      <c r="DU71" s="99"/>
      <c r="DV71" s="100"/>
      <c r="DW71" s="99"/>
      <c r="DX71" s="99"/>
      <c r="DY71" s="104"/>
      <c r="DZ71" s="116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6"/>
      <c r="EM71" s="101"/>
      <c r="EN71" s="99"/>
      <c r="EO71" s="99"/>
      <c r="EP71" s="100"/>
      <c r="EQ71" s="99"/>
      <c r="ER71" s="99"/>
      <c r="ES71" s="101"/>
      <c r="ET71" s="102"/>
      <c r="EU71" s="102"/>
      <c r="EV71" s="102"/>
      <c r="EX71" s="101"/>
      <c r="EY71" s="343"/>
    </row>
    <row r="72" spans="1:155" s="398" customFormat="1" ht="17.100000000000001" customHeight="1">
      <c r="A72" s="173">
        <v>17</v>
      </c>
      <c r="B72" s="397" t="s">
        <v>261</v>
      </c>
      <c r="C72" s="189" t="s">
        <v>96</v>
      </c>
      <c r="D72" s="316">
        <f t="shared" si="151"/>
        <v>75.1111111111111</v>
      </c>
      <c r="E72" s="319">
        <f t="shared" si="152"/>
        <v>24.888888888888889</v>
      </c>
      <c r="F72" s="319">
        <f t="shared" si="153"/>
        <v>0</v>
      </c>
      <c r="G72" s="322">
        <f t="shared" si="154"/>
        <v>0</v>
      </c>
      <c r="H72" s="305">
        <v>16.899999999999999</v>
      </c>
      <c r="I72" s="308">
        <v>0</v>
      </c>
      <c r="J72" s="308">
        <v>5.6</v>
      </c>
      <c r="K72" s="308">
        <v>0</v>
      </c>
      <c r="L72" s="308">
        <v>0</v>
      </c>
      <c r="M72" s="308">
        <v>8</v>
      </c>
      <c r="N72" s="308">
        <v>1.7</v>
      </c>
      <c r="O72" s="308">
        <v>0</v>
      </c>
      <c r="P72" s="301"/>
      <c r="Q72" s="303"/>
      <c r="R72" s="305">
        <v>1</v>
      </c>
      <c r="S72" s="308">
        <v>0</v>
      </c>
      <c r="T72" s="308">
        <v>0.35</v>
      </c>
      <c r="U72" s="308">
        <v>0</v>
      </c>
      <c r="V72" s="308">
        <v>0</v>
      </c>
      <c r="W72" s="308">
        <v>3.42</v>
      </c>
      <c r="X72" s="335">
        <v>20.5</v>
      </c>
      <c r="Y72" s="305">
        <f t="shared" ref="Y72:AD72" si="167">H72*R72*10</f>
        <v>169</v>
      </c>
      <c r="Z72" s="308">
        <f t="shared" si="167"/>
        <v>0</v>
      </c>
      <c r="AA72" s="308">
        <f t="shared" si="167"/>
        <v>19.599999999999998</v>
      </c>
      <c r="AB72" s="308">
        <f t="shared" si="167"/>
        <v>0</v>
      </c>
      <c r="AC72" s="308">
        <f t="shared" si="167"/>
        <v>0</v>
      </c>
      <c r="AD72" s="308">
        <f t="shared" si="167"/>
        <v>273.60000000000002</v>
      </c>
      <c r="AE72" s="335">
        <f>O72*X72*10</f>
        <v>0</v>
      </c>
      <c r="AF72" s="305">
        <v>13.2</v>
      </c>
      <c r="AG72" s="301">
        <v>0</v>
      </c>
      <c r="AH72" s="301">
        <v>1.8</v>
      </c>
      <c r="AI72" s="301">
        <v>0</v>
      </c>
      <c r="AJ72" s="301">
        <v>0</v>
      </c>
      <c r="AK72" s="301">
        <v>29.3</v>
      </c>
      <c r="AL72" s="303">
        <v>85.7</v>
      </c>
      <c r="AM72" s="332">
        <f>AF72*H72*10</f>
        <v>2230.7999999999997</v>
      </c>
      <c r="AN72" s="301">
        <f t="shared" ref="AN72" si="168">I72*AG72*10</f>
        <v>0</v>
      </c>
      <c r="AO72" s="301">
        <f t="shared" ref="AO72:AS72" si="169">AH72*J72*10</f>
        <v>100.8</v>
      </c>
      <c r="AP72" s="301">
        <f t="shared" si="169"/>
        <v>0</v>
      </c>
      <c r="AQ72" s="301">
        <f t="shared" si="169"/>
        <v>0</v>
      </c>
      <c r="AR72" s="301">
        <f t="shared" si="169"/>
        <v>2344</v>
      </c>
      <c r="AS72" s="301">
        <f t="shared" si="169"/>
        <v>1456.9</v>
      </c>
      <c r="AT72" s="332">
        <v>12.8</v>
      </c>
      <c r="AU72" s="301">
        <v>0</v>
      </c>
      <c r="AV72" s="308">
        <v>54.6</v>
      </c>
      <c r="AW72" s="301">
        <v>0</v>
      </c>
      <c r="AX72" s="301">
        <v>0</v>
      </c>
      <c r="AY72" s="308">
        <v>23.7</v>
      </c>
      <c r="AZ72" s="335">
        <v>28.4</v>
      </c>
      <c r="BA72" s="332">
        <f t="shared" ref="BA72:BG72" si="170">(H72*3*1000)/(1-AT72/100)</f>
        <v>58142.201834862375</v>
      </c>
      <c r="BB72" s="332">
        <f t="shared" si="170"/>
        <v>0</v>
      </c>
      <c r="BC72" s="332">
        <f t="shared" si="170"/>
        <v>37004.405286343608</v>
      </c>
      <c r="BD72" s="332">
        <f t="shared" si="170"/>
        <v>0</v>
      </c>
      <c r="BE72" s="332">
        <f t="shared" si="170"/>
        <v>0</v>
      </c>
      <c r="BF72" s="332">
        <f t="shared" si="170"/>
        <v>31454.78374836173</v>
      </c>
      <c r="BG72" s="332">
        <f t="shared" si="170"/>
        <v>7122.9050279329613</v>
      </c>
      <c r="BH72" s="332">
        <f t="shared" ref="BH72" si="171">H72+I72+J72+K72+L72</f>
        <v>22.5</v>
      </c>
      <c r="BI72" s="301">
        <f t="shared" ref="BI72" si="172">M72+N72+O72</f>
        <v>9.6999999999999993</v>
      </c>
      <c r="BJ72" s="301">
        <f t="shared" ref="BJ72" si="173">BH72+BI72</f>
        <v>32.200000000000003</v>
      </c>
      <c r="BK72" s="301">
        <f t="shared" ref="BK72" si="174">Y72+Z72+AA72+AB72+AC72+AD72+AE72</f>
        <v>462.20000000000005</v>
      </c>
      <c r="BL72" s="301">
        <f t="shared" ref="BL72" si="175">AM72+AN72+AO72+AP72+AQ72+AR72+AS72</f>
        <v>6132.5</v>
      </c>
      <c r="BM72" s="301">
        <f t="shared" ref="BM72" si="176">BJ72*3*1000</f>
        <v>96600.000000000015</v>
      </c>
      <c r="BN72" s="303">
        <f t="shared" ref="BN72" si="177">BA72+BB72+BC72+BD72+BE72+BF72+BG72</f>
        <v>133724.29589750068</v>
      </c>
      <c r="BO72" s="216">
        <v>74.599999999999994</v>
      </c>
      <c r="BP72" s="216">
        <v>0.92500000000000004</v>
      </c>
      <c r="BQ72" s="216">
        <v>5.09</v>
      </c>
      <c r="BR72" s="216">
        <v>73.3</v>
      </c>
      <c r="BS72" s="338">
        <v>1.02</v>
      </c>
      <c r="BT72" s="216">
        <v>5.21</v>
      </c>
      <c r="BU72" s="354">
        <v>7.34</v>
      </c>
      <c r="BV72" s="354">
        <v>1.36</v>
      </c>
      <c r="BW72" s="354">
        <v>1100</v>
      </c>
      <c r="BX72" s="354">
        <v>7.43</v>
      </c>
      <c r="BY72" s="354">
        <v>8.02</v>
      </c>
      <c r="BZ72" s="354">
        <v>6100</v>
      </c>
      <c r="CA72" s="354">
        <v>7.23</v>
      </c>
      <c r="CB72" s="354">
        <v>1.48</v>
      </c>
      <c r="CC72" s="354">
        <v>1200</v>
      </c>
      <c r="CD72" s="354">
        <v>7.55</v>
      </c>
      <c r="CE72" s="354">
        <v>3.36</v>
      </c>
      <c r="CF72" s="354">
        <v>3200</v>
      </c>
      <c r="CG72" s="354">
        <v>7.1</v>
      </c>
      <c r="CH72" s="354">
        <v>1.48</v>
      </c>
      <c r="CI72" s="354">
        <v>1100</v>
      </c>
      <c r="CJ72" s="354">
        <v>7.64</v>
      </c>
      <c r="CK72" s="354">
        <v>2.4500000000000002</v>
      </c>
      <c r="CL72" s="354">
        <v>2200</v>
      </c>
      <c r="CM72" s="220">
        <v>76.7</v>
      </c>
      <c r="CN72" s="220">
        <v>76.3</v>
      </c>
      <c r="CO72" s="75">
        <v>3</v>
      </c>
      <c r="CP72" s="76">
        <v>7.83</v>
      </c>
      <c r="CQ72" s="76">
        <v>2.2000000000000002</v>
      </c>
      <c r="CR72" s="77">
        <v>76.2</v>
      </c>
      <c r="CS72" s="76">
        <v>19.600000000000001</v>
      </c>
      <c r="CT72" s="76">
        <v>1.61</v>
      </c>
      <c r="CU72" s="79" t="s">
        <v>155</v>
      </c>
      <c r="CV72" s="79">
        <v>2.6</v>
      </c>
      <c r="CW72" s="79">
        <v>10</v>
      </c>
      <c r="CX72" s="79">
        <v>52</v>
      </c>
      <c r="CY72" s="75">
        <v>11</v>
      </c>
      <c r="CZ72" s="76">
        <v>7.94</v>
      </c>
      <c r="DA72" s="76">
        <v>2.42</v>
      </c>
      <c r="DB72" s="80">
        <v>74.599999999999994</v>
      </c>
      <c r="DC72" s="81">
        <v>21.6</v>
      </c>
      <c r="DD72" s="81">
        <v>1.82</v>
      </c>
      <c r="DE72" s="82" t="s">
        <v>156</v>
      </c>
      <c r="DF72" s="79">
        <v>2.4</v>
      </c>
      <c r="DG72" s="79">
        <v>13</v>
      </c>
      <c r="DH72" s="79">
        <v>40</v>
      </c>
      <c r="DI72" s="121"/>
      <c r="DJ72" s="122"/>
      <c r="DK72" s="122"/>
      <c r="DL72" s="123"/>
      <c r="DM72" s="122"/>
      <c r="DN72" s="122"/>
      <c r="DO72" s="121"/>
      <c r="DP72" s="121"/>
      <c r="DQ72" s="121"/>
      <c r="DR72" s="121"/>
      <c r="DS72" s="85">
        <v>8</v>
      </c>
      <c r="DT72" s="76">
        <v>7.76</v>
      </c>
      <c r="DU72" s="76">
        <v>2.31</v>
      </c>
      <c r="DV72" s="77">
        <v>75.2</v>
      </c>
      <c r="DW72" s="76">
        <v>23.9</v>
      </c>
      <c r="DX72" s="76">
        <v>1.89</v>
      </c>
      <c r="DY72" s="137" t="s">
        <v>157</v>
      </c>
      <c r="DZ72" s="79">
        <v>2.2999999999999998</v>
      </c>
      <c r="EA72" s="79">
        <v>3</v>
      </c>
      <c r="EB72" s="79">
        <v>17</v>
      </c>
      <c r="EC72" s="79">
        <v>12</v>
      </c>
      <c r="ED72" s="79">
        <v>2</v>
      </c>
      <c r="EE72" s="79">
        <v>10</v>
      </c>
      <c r="EF72" s="79">
        <v>10</v>
      </c>
      <c r="EG72" s="79">
        <v>4</v>
      </c>
      <c r="EH72" s="79">
        <v>81</v>
      </c>
      <c r="EI72" s="79">
        <v>15</v>
      </c>
      <c r="EJ72" s="79">
        <v>14</v>
      </c>
      <c r="EK72" s="79">
        <f t="shared" ref="EK72:EK74" si="178">EA72+EB72+EC72+ED72+EE72+EF72+EG72+EH72+EI72+EJ72</f>
        <v>168</v>
      </c>
      <c r="EL72" s="87">
        <v>49</v>
      </c>
      <c r="EM72" s="121">
        <v>46</v>
      </c>
      <c r="EN72" s="122">
        <v>7.6</v>
      </c>
      <c r="EO72" s="122">
        <v>2.67</v>
      </c>
      <c r="EP72" s="123">
        <v>69</v>
      </c>
      <c r="EQ72" s="122">
        <v>27.3</v>
      </c>
      <c r="ER72" s="122">
        <v>2.17</v>
      </c>
      <c r="ES72" s="121" t="s">
        <v>119</v>
      </c>
      <c r="ET72" s="79">
        <v>4421</v>
      </c>
      <c r="EU72" s="79">
        <v>3031</v>
      </c>
      <c r="EV72" s="79">
        <v>1188</v>
      </c>
      <c r="EW72" s="79">
        <f>SUM(ET72:EV72)</f>
        <v>8640</v>
      </c>
      <c r="EX72" s="121">
        <v>54</v>
      </c>
      <c r="EY72" s="341">
        <f>EW72+EW73+EW74+EW75</f>
        <v>31650</v>
      </c>
    </row>
    <row r="73" spans="1:155" ht="17.100000000000001" customHeight="1">
      <c r="A73" s="174"/>
      <c r="B73" s="397" t="s">
        <v>261</v>
      </c>
      <c r="C73" s="190"/>
      <c r="D73" s="317" t="e">
        <f t="shared" si="151"/>
        <v>#DIV/0!</v>
      </c>
      <c r="E73" s="320" t="e">
        <f t="shared" si="152"/>
        <v>#DIV/0!</v>
      </c>
      <c r="F73" s="320" t="e">
        <f t="shared" si="153"/>
        <v>#DIV/0!</v>
      </c>
      <c r="G73" s="323" t="e">
        <f t="shared" si="154"/>
        <v>#DIV/0!</v>
      </c>
      <c r="H73" s="306"/>
      <c r="I73" s="309"/>
      <c r="J73" s="309"/>
      <c r="K73" s="309"/>
      <c r="L73" s="309"/>
      <c r="M73" s="309"/>
      <c r="N73" s="309"/>
      <c r="O73" s="309"/>
      <c r="P73" s="211"/>
      <c r="Q73" s="214"/>
      <c r="R73" s="306"/>
      <c r="S73" s="309"/>
      <c r="T73" s="309"/>
      <c r="U73" s="309"/>
      <c r="V73" s="309"/>
      <c r="W73" s="309"/>
      <c r="X73" s="336"/>
      <c r="Y73" s="306"/>
      <c r="Z73" s="309"/>
      <c r="AA73" s="309"/>
      <c r="AB73" s="309"/>
      <c r="AC73" s="309"/>
      <c r="AD73" s="309"/>
      <c r="AE73" s="336"/>
      <c r="AF73" s="306"/>
      <c r="AG73" s="211"/>
      <c r="AH73" s="211"/>
      <c r="AI73" s="211"/>
      <c r="AJ73" s="211"/>
      <c r="AK73" s="211"/>
      <c r="AL73" s="214"/>
      <c r="AM73" s="333"/>
      <c r="AN73" s="211"/>
      <c r="AO73" s="211"/>
      <c r="AP73" s="211"/>
      <c r="AQ73" s="211"/>
      <c r="AR73" s="211"/>
      <c r="AS73" s="211"/>
      <c r="AT73" s="333"/>
      <c r="AU73" s="211"/>
      <c r="AV73" s="309"/>
      <c r="AW73" s="211"/>
      <c r="AX73" s="211"/>
      <c r="AY73" s="309"/>
      <c r="AZ73" s="336"/>
      <c r="BA73" s="333"/>
      <c r="BB73" s="333"/>
      <c r="BC73" s="333"/>
      <c r="BD73" s="333"/>
      <c r="BE73" s="333"/>
      <c r="BF73" s="333"/>
      <c r="BG73" s="333"/>
      <c r="BH73" s="333"/>
      <c r="BI73" s="211"/>
      <c r="BJ73" s="211"/>
      <c r="BK73" s="211"/>
      <c r="BL73" s="211"/>
      <c r="BM73" s="211"/>
      <c r="BN73" s="214"/>
      <c r="BO73" s="196">
        <v>76.900000000000006</v>
      </c>
      <c r="BP73" s="196">
        <v>1.87</v>
      </c>
      <c r="BQ73" s="196">
        <v>7.67</v>
      </c>
      <c r="BR73" s="196">
        <v>70.7</v>
      </c>
      <c r="BS73" s="339">
        <v>1.1200000000000001</v>
      </c>
      <c r="BT73" s="196">
        <v>8.3800000000000008</v>
      </c>
      <c r="BU73" s="355">
        <v>7.34</v>
      </c>
      <c r="BV73" s="355">
        <v>1.36</v>
      </c>
      <c r="BW73" s="355">
        <v>1100</v>
      </c>
      <c r="BX73" s="355">
        <v>7.43</v>
      </c>
      <c r="BY73" s="355">
        <v>8.02</v>
      </c>
      <c r="BZ73" s="355">
        <v>6100</v>
      </c>
      <c r="CA73" s="355">
        <v>7.23</v>
      </c>
      <c r="CB73" s="355">
        <v>1.48</v>
      </c>
      <c r="CC73" s="355">
        <v>1200</v>
      </c>
      <c r="CD73" s="355">
        <v>7.55</v>
      </c>
      <c r="CE73" s="355">
        <v>3.36</v>
      </c>
      <c r="CF73" s="355">
        <v>3200</v>
      </c>
      <c r="CG73" s="355">
        <v>7.1</v>
      </c>
      <c r="CH73" s="355">
        <v>1.48</v>
      </c>
      <c r="CI73" s="355">
        <v>1100</v>
      </c>
      <c r="CJ73" s="355">
        <v>7.64</v>
      </c>
      <c r="CK73" s="355">
        <v>2.4500000000000002</v>
      </c>
      <c r="CL73" s="355">
        <v>2200</v>
      </c>
      <c r="CM73" s="205"/>
      <c r="CN73" s="205"/>
      <c r="CO73" s="13">
        <v>2</v>
      </c>
      <c r="CP73" s="10">
        <v>7.79</v>
      </c>
      <c r="CQ73" s="10">
        <v>2.25</v>
      </c>
      <c r="CR73" s="11">
        <v>76.400000000000006</v>
      </c>
      <c r="CS73" s="10">
        <v>19.2</v>
      </c>
      <c r="CT73" s="10">
        <v>1.61</v>
      </c>
      <c r="CU73" s="8" t="s">
        <v>158</v>
      </c>
      <c r="CV73" s="8">
        <v>2.6</v>
      </c>
      <c r="CW73" s="8">
        <v>11</v>
      </c>
      <c r="CX73" s="8">
        <v>53</v>
      </c>
      <c r="CY73" s="13">
        <v>10</v>
      </c>
      <c r="CZ73" s="10">
        <v>7.9</v>
      </c>
      <c r="DA73" s="10">
        <v>2.4700000000000002</v>
      </c>
      <c r="DB73" s="14">
        <v>75</v>
      </c>
      <c r="DC73" s="15">
        <v>22.1</v>
      </c>
      <c r="DD73" s="15">
        <v>1.82</v>
      </c>
      <c r="DE73" s="16" t="s">
        <v>159</v>
      </c>
      <c r="DF73" s="8">
        <v>2.1</v>
      </c>
      <c r="DG73" s="8">
        <v>11</v>
      </c>
      <c r="DH73" s="8">
        <v>41</v>
      </c>
      <c r="DI73" s="23"/>
      <c r="DJ73" s="21"/>
      <c r="DK73" s="21"/>
      <c r="DL73" s="22"/>
      <c r="DM73" s="21"/>
      <c r="DN73" s="21"/>
      <c r="DO73" s="23"/>
      <c r="DP73" s="23"/>
      <c r="DQ73" s="23"/>
      <c r="DR73" s="23"/>
      <c r="DS73" s="19">
        <v>5</v>
      </c>
      <c r="DT73" s="10">
        <v>7.84</v>
      </c>
      <c r="DU73" s="10">
        <v>2.2000000000000002</v>
      </c>
      <c r="DV73" s="11">
        <v>74.5</v>
      </c>
      <c r="DW73" s="10">
        <v>24.6</v>
      </c>
      <c r="DX73" s="10">
        <v>1.92</v>
      </c>
      <c r="DY73" s="33" t="s">
        <v>160</v>
      </c>
      <c r="DZ73" s="8">
        <v>1.9</v>
      </c>
      <c r="EA73" s="8">
        <v>8</v>
      </c>
      <c r="EB73" s="8">
        <v>9</v>
      </c>
      <c r="EC73" s="8">
        <v>9</v>
      </c>
      <c r="ED73" s="8">
        <v>0</v>
      </c>
      <c r="EE73" s="8">
        <v>8</v>
      </c>
      <c r="EF73" s="8">
        <v>9</v>
      </c>
      <c r="EG73" s="8">
        <v>4</v>
      </c>
      <c r="EH73" s="8">
        <v>82</v>
      </c>
      <c r="EI73" s="8">
        <v>17</v>
      </c>
      <c r="EJ73" s="8">
        <v>28</v>
      </c>
      <c r="EK73" s="8">
        <f t="shared" si="178"/>
        <v>174</v>
      </c>
      <c r="EL73" s="9">
        <v>50</v>
      </c>
      <c r="EM73" s="23">
        <v>6</v>
      </c>
      <c r="EN73" s="21">
        <v>7.63</v>
      </c>
      <c r="EO73" s="21">
        <v>2.71</v>
      </c>
      <c r="EP73" s="22">
        <v>68.2</v>
      </c>
      <c r="EQ73" s="21">
        <v>26.4</v>
      </c>
      <c r="ER73" s="21">
        <v>2.2999999999999998</v>
      </c>
      <c r="ES73" s="23" t="s">
        <v>94</v>
      </c>
      <c r="ET73" s="8">
        <v>2888</v>
      </c>
      <c r="EU73" s="8">
        <v>2995</v>
      </c>
      <c r="EV73" s="8">
        <v>1322</v>
      </c>
      <c r="EW73" s="8">
        <f>SUM(ET73:EV73)</f>
        <v>7205</v>
      </c>
      <c r="EX73" s="23">
        <v>53</v>
      </c>
      <c r="EY73" s="342"/>
    </row>
    <row r="74" spans="1:155" ht="17.100000000000001" customHeight="1">
      <c r="A74" s="174"/>
      <c r="B74" s="397" t="s">
        <v>261</v>
      </c>
      <c r="C74" s="190"/>
      <c r="D74" s="317" t="e">
        <f t="shared" si="151"/>
        <v>#DIV/0!</v>
      </c>
      <c r="E74" s="320" t="e">
        <f t="shared" si="152"/>
        <v>#DIV/0!</v>
      </c>
      <c r="F74" s="320" t="e">
        <f t="shared" si="153"/>
        <v>#DIV/0!</v>
      </c>
      <c r="G74" s="323" t="e">
        <f t="shared" si="154"/>
        <v>#DIV/0!</v>
      </c>
      <c r="H74" s="306"/>
      <c r="I74" s="309"/>
      <c r="J74" s="309"/>
      <c r="K74" s="309"/>
      <c r="L74" s="309"/>
      <c r="M74" s="309"/>
      <c r="N74" s="309"/>
      <c r="O74" s="309"/>
      <c r="P74" s="211"/>
      <c r="Q74" s="214"/>
      <c r="R74" s="306"/>
      <c r="S74" s="309"/>
      <c r="T74" s="309"/>
      <c r="U74" s="309"/>
      <c r="V74" s="309"/>
      <c r="W74" s="309"/>
      <c r="X74" s="336"/>
      <c r="Y74" s="306"/>
      <c r="Z74" s="309"/>
      <c r="AA74" s="309"/>
      <c r="AB74" s="309"/>
      <c r="AC74" s="309"/>
      <c r="AD74" s="309"/>
      <c r="AE74" s="336"/>
      <c r="AF74" s="306"/>
      <c r="AG74" s="211"/>
      <c r="AH74" s="211"/>
      <c r="AI74" s="211"/>
      <c r="AJ74" s="211"/>
      <c r="AK74" s="211"/>
      <c r="AL74" s="214"/>
      <c r="AM74" s="333"/>
      <c r="AN74" s="211"/>
      <c r="AO74" s="211"/>
      <c r="AP74" s="211"/>
      <c r="AQ74" s="211"/>
      <c r="AR74" s="211"/>
      <c r="AS74" s="211"/>
      <c r="AT74" s="333"/>
      <c r="AU74" s="211"/>
      <c r="AV74" s="309"/>
      <c r="AW74" s="211"/>
      <c r="AX74" s="211"/>
      <c r="AY74" s="309"/>
      <c r="AZ74" s="336"/>
      <c r="BA74" s="333"/>
      <c r="BB74" s="333"/>
      <c r="BC74" s="333"/>
      <c r="BD74" s="333"/>
      <c r="BE74" s="333"/>
      <c r="BF74" s="333"/>
      <c r="BG74" s="333"/>
      <c r="BH74" s="333"/>
      <c r="BI74" s="211"/>
      <c r="BJ74" s="211"/>
      <c r="BK74" s="211"/>
      <c r="BL74" s="211"/>
      <c r="BM74" s="211"/>
      <c r="BN74" s="214"/>
      <c r="BO74" s="196">
        <v>73</v>
      </c>
      <c r="BP74" s="196">
        <v>1.4</v>
      </c>
      <c r="BQ74" s="196">
        <v>3.88</v>
      </c>
      <c r="BR74" s="196">
        <v>71.7</v>
      </c>
      <c r="BS74" s="339">
        <v>1.1000000000000001</v>
      </c>
      <c r="BT74" s="196">
        <v>4.16</v>
      </c>
      <c r="BU74" s="355">
        <v>7.34</v>
      </c>
      <c r="BV74" s="355">
        <v>1.36</v>
      </c>
      <c r="BW74" s="355">
        <v>1100</v>
      </c>
      <c r="BX74" s="355">
        <v>7.43</v>
      </c>
      <c r="BY74" s="355">
        <v>8.02</v>
      </c>
      <c r="BZ74" s="355">
        <v>6100</v>
      </c>
      <c r="CA74" s="355">
        <v>7.23</v>
      </c>
      <c r="CB74" s="355">
        <v>1.48</v>
      </c>
      <c r="CC74" s="355">
        <v>1200</v>
      </c>
      <c r="CD74" s="355">
        <v>7.55</v>
      </c>
      <c r="CE74" s="355">
        <v>3.36</v>
      </c>
      <c r="CF74" s="355">
        <v>3200</v>
      </c>
      <c r="CG74" s="355">
        <v>7.1</v>
      </c>
      <c r="CH74" s="355">
        <v>1.48</v>
      </c>
      <c r="CI74" s="355">
        <v>1100</v>
      </c>
      <c r="CJ74" s="355">
        <v>7.64</v>
      </c>
      <c r="CK74" s="355">
        <v>2.4500000000000002</v>
      </c>
      <c r="CL74" s="355">
        <v>2200</v>
      </c>
      <c r="CM74" s="205"/>
      <c r="CN74" s="205"/>
      <c r="CO74" s="13">
        <v>4</v>
      </c>
      <c r="CP74" s="10">
        <v>7.8</v>
      </c>
      <c r="CQ74" s="10">
        <v>2.2000000000000002</v>
      </c>
      <c r="CR74" s="11">
        <v>75.8</v>
      </c>
      <c r="CS74" s="10">
        <v>20.399999999999999</v>
      </c>
      <c r="CT74" s="10">
        <v>1.79</v>
      </c>
      <c r="CU74" s="8" t="s">
        <v>128</v>
      </c>
      <c r="CV74" s="8">
        <v>2.6</v>
      </c>
      <c r="CW74" s="8">
        <v>14</v>
      </c>
      <c r="CX74" s="8">
        <v>50</v>
      </c>
      <c r="CY74" s="13">
        <v>9</v>
      </c>
      <c r="CZ74" s="10">
        <v>7.8</v>
      </c>
      <c r="DA74" s="10">
        <v>1.75</v>
      </c>
      <c r="DB74" s="14">
        <v>74.599999999999994</v>
      </c>
      <c r="DC74" s="15">
        <v>22.3</v>
      </c>
      <c r="DD74" s="15">
        <v>1.8</v>
      </c>
      <c r="DE74" s="16" t="s">
        <v>156</v>
      </c>
      <c r="DF74" s="8">
        <v>2.1</v>
      </c>
      <c r="DG74" s="8">
        <v>12</v>
      </c>
      <c r="DH74" s="8">
        <v>33</v>
      </c>
      <c r="DI74" s="23"/>
      <c r="DJ74" s="21"/>
      <c r="DK74" s="21"/>
      <c r="DL74" s="22"/>
      <c r="DM74" s="21"/>
      <c r="DN74" s="21"/>
      <c r="DO74" s="23"/>
      <c r="DP74" s="23"/>
      <c r="DQ74" s="23"/>
      <c r="DR74" s="23"/>
      <c r="DS74" s="19">
        <v>7</v>
      </c>
      <c r="DT74" s="10">
        <v>7.78</v>
      </c>
      <c r="DU74" s="10">
        <v>2.2599999999999998</v>
      </c>
      <c r="DV74" s="11">
        <v>74.7</v>
      </c>
      <c r="DW74" s="10">
        <v>24.2</v>
      </c>
      <c r="DX74" s="10">
        <v>1.92</v>
      </c>
      <c r="DY74" s="33" t="s">
        <v>161</v>
      </c>
      <c r="DZ74" s="8">
        <v>2.1</v>
      </c>
      <c r="EA74" s="8">
        <v>3</v>
      </c>
      <c r="EB74" s="8">
        <v>15</v>
      </c>
      <c r="EC74" s="8">
        <v>10</v>
      </c>
      <c r="ED74" s="8">
        <v>0</v>
      </c>
      <c r="EE74" s="8">
        <v>9</v>
      </c>
      <c r="EF74" s="8">
        <v>9</v>
      </c>
      <c r="EG74" s="8">
        <v>4</v>
      </c>
      <c r="EH74" s="8">
        <v>84</v>
      </c>
      <c r="EI74" s="8">
        <v>10</v>
      </c>
      <c r="EJ74" s="8">
        <v>0</v>
      </c>
      <c r="EK74" s="8">
        <f t="shared" si="178"/>
        <v>144</v>
      </c>
      <c r="EL74" s="9">
        <v>51</v>
      </c>
      <c r="EM74" s="8">
        <v>34</v>
      </c>
      <c r="EN74" s="10">
        <v>7.59</v>
      </c>
      <c r="EO74" s="10">
        <v>2.75</v>
      </c>
      <c r="EP74" s="11">
        <v>65.8</v>
      </c>
      <c r="EQ74" s="10">
        <v>27.3</v>
      </c>
      <c r="ER74" s="10">
        <v>2.1</v>
      </c>
      <c r="ES74" s="12" t="s">
        <v>162</v>
      </c>
      <c r="ET74" s="8">
        <v>2281</v>
      </c>
      <c r="EU74" s="8">
        <v>3007</v>
      </c>
      <c r="EV74" s="8">
        <v>1727</v>
      </c>
      <c r="EW74" s="8">
        <f>SUM(ET74:EV74)</f>
        <v>7015</v>
      </c>
      <c r="EX74" s="23">
        <v>53</v>
      </c>
      <c r="EY74" s="342"/>
    </row>
    <row r="75" spans="1:155" s="401" customFormat="1" ht="17.100000000000001" customHeight="1" thickBot="1">
      <c r="A75" s="175"/>
      <c r="B75" s="400" t="s">
        <v>261</v>
      </c>
      <c r="C75" s="191"/>
      <c r="D75" s="318" t="e">
        <f t="shared" si="151"/>
        <v>#DIV/0!</v>
      </c>
      <c r="E75" s="321" t="e">
        <f t="shared" si="152"/>
        <v>#DIV/0!</v>
      </c>
      <c r="F75" s="321" t="e">
        <f t="shared" si="153"/>
        <v>#DIV/0!</v>
      </c>
      <c r="G75" s="324" t="e">
        <f t="shared" si="154"/>
        <v>#DIV/0!</v>
      </c>
      <c r="H75" s="307"/>
      <c r="I75" s="310"/>
      <c r="J75" s="310"/>
      <c r="K75" s="310"/>
      <c r="L75" s="310"/>
      <c r="M75" s="310"/>
      <c r="N75" s="310"/>
      <c r="O75" s="310"/>
      <c r="P75" s="302"/>
      <c r="Q75" s="304"/>
      <c r="R75" s="307"/>
      <c r="S75" s="310"/>
      <c r="T75" s="310"/>
      <c r="U75" s="310"/>
      <c r="V75" s="310"/>
      <c r="W75" s="310"/>
      <c r="X75" s="337"/>
      <c r="Y75" s="307"/>
      <c r="Z75" s="310"/>
      <c r="AA75" s="310"/>
      <c r="AB75" s="310"/>
      <c r="AC75" s="310"/>
      <c r="AD75" s="310"/>
      <c r="AE75" s="337"/>
      <c r="AF75" s="307"/>
      <c r="AG75" s="302"/>
      <c r="AH75" s="302"/>
      <c r="AI75" s="302"/>
      <c r="AJ75" s="302"/>
      <c r="AK75" s="302"/>
      <c r="AL75" s="304"/>
      <c r="AM75" s="334"/>
      <c r="AN75" s="302"/>
      <c r="AO75" s="302"/>
      <c r="AP75" s="302"/>
      <c r="AQ75" s="302"/>
      <c r="AR75" s="302"/>
      <c r="AS75" s="302"/>
      <c r="AT75" s="334"/>
      <c r="AU75" s="302"/>
      <c r="AV75" s="310"/>
      <c r="AW75" s="302"/>
      <c r="AX75" s="302"/>
      <c r="AY75" s="310"/>
      <c r="AZ75" s="337"/>
      <c r="BA75" s="334"/>
      <c r="BB75" s="334"/>
      <c r="BC75" s="334"/>
      <c r="BD75" s="334"/>
      <c r="BE75" s="334"/>
      <c r="BF75" s="334"/>
      <c r="BG75" s="334"/>
      <c r="BH75" s="334"/>
      <c r="BI75" s="302"/>
      <c r="BJ75" s="302"/>
      <c r="BK75" s="302"/>
      <c r="BL75" s="302"/>
      <c r="BM75" s="302"/>
      <c r="BN75" s="304"/>
      <c r="BO75" s="217">
        <v>74.599999999999994</v>
      </c>
      <c r="BP75" s="217">
        <v>0.92500000000000004</v>
      </c>
      <c r="BQ75" s="217">
        <v>5.09</v>
      </c>
      <c r="BR75" s="217">
        <v>73.3</v>
      </c>
      <c r="BS75" s="340">
        <v>1.02</v>
      </c>
      <c r="BT75" s="217">
        <v>5.21</v>
      </c>
      <c r="BU75" s="312">
        <v>7.34</v>
      </c>
      <c r="BV75" s="312">
        <v>1.36</v>
      </c>
      <c r="BW75" s="312">
        <v>1100</v>
      </c>
      <c r="BX75" s="312">
        <v>7.43</v>
      </c>
      <c r="BY75" s="312">
        <v>8.02</v>
      </c>
      <c r="BZ75" s="312">
        <v>6100</v>
      </c>
      <c r="CA75" s="312">
        <v>7.23</v>
      </c>
      <c r="CB75" s="312">
        <v>1.48</v>
      </c>
      <c r="CC75" s="312">
        <v>1200</v>
      </c>
      <c r="CD75" s="312">
        <v>7.55</v>
      </c>
      <c r="CE75" s="312">
        <v>3.36</v>
      </c>
      <c r="CF75" s="312">
        <v>3200</v>
      </c>
      <c r="CG75" s="312">
        <v>7.1</v>
      </c>
      <c r="CH75" s="312">
        <v>1.48</v>
      </c>
      <c r="CI75" s="312">
        <v>1100</v>
      </c>
      <c r="CJ75" s="312">
        <v>7.64</v>
      </c>
      <c r="CK75" s="312">
        <v>2.4500000000000002</v>
      </c>
      <c r="CL75" s="312">
        <v>2200</v>
      </c>
      <c r="CM75" s="221"/>
      <c r="CN75" s="221"/>
      <c r="CV75" s="116"/>
      <c r="CW75" s="116"/>
      <c r="CX75" s="116"/>
      <c r="DF75" s="116"/>
      <c r="DG75" s="116"/>
      <c r="DH75" s="116"/>
      <c r="DI75" s="101"/>
      <c r="DJ75" s="99"/>
      <c r="DK75" s="99"/>
      <c r="DL75" s="100"/>
      <c r="DM75" s="99"/>
      <c r="DN75" s="99"/>
      <c r="DO75" s="101"/>
      <c r="DP75" s="101"/>
      <c r="DQ75" s="101"/>
      <c r="DR75" s="101"/>
      <c r="DS75" s="105"/>
      <c r="DT75" s="99"/>
      <c r="DU75" s="99"/>
      <c r="DV75" s="100"/>
      <c r="DW75" s="99"/>
      <c r="DX75" s="99"/>
      <c r="DY75" s="104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6" t="s">
        <v>163</v>
      </c>
      <c r="EM75" s="101">
        <v>56</v>
      </c>
      <c r="EN75" s="99">
        <v>7.55</v>
      </c>
      <c r="EO75" s="99">
        <v>2.58</v>
      </c>
      <c r="EP75" s="100">
        <v>68.7</v>
      </c>
      <c r="EQ75" s="99">
        <v>26.4</v>
      </c>
      <c r="ER75" s="99">
        <v>2.2400000000000002</v>
      </c>
      <c r="ES75" s="101" t="s">
        <v>135</v>
      </c>
      <c r="ET75" s="102">
        <v>5393</v>
      </c>
      <c r="EU75" s="102">
        <v>3397</v>
      </c>
      <c r="EV75" s="102">
        <v>0</v>
      </c>
      <c r="EW75" s="102">
        <f>SUM(ET75:EV75)</f>
        <v>8790</v>
      </c>
      <c r="EX75" s="101">
        <v>51</v>
      </c>
      <c r="EY75" s="343"/>
    </row>
    <row r="76" spans="1:155" s="398" customFormat="1" ht="17.100000000000001" customHeight="1">
      <c r="A76" s="173">
        <v>18</v>
      </c>
      <c r="B76" s="397" t="s">
        <v>262</v>
      </c>
      <c r="C76" s="201" t="s">
        <v>146</v>
      </c>
      <c r="D76" s="316">
        <f t="shared" si="151"/>
        <v>80</v>
      </c>
      <c r="E76" s="319">
        <f t="shared" si="152"/>
        <v>0</v>
      </c>
      <c r="F76" s="319">
        <f t="shared" si="153"/>
        <v>0</v>
      </c>
      <c r="G76" s="322">
        <f t="shared" si="154"/>
        <v>20</v>
      </c>
      <c r="H76" s="305">
        <v>18</v>
      </c>
      <c r="I76" s="308">
        <v>0</v>
      </c>
      <c r="J76" s="308">
        <v>0</v>
      </c>
      <c r="K76" s="308">
        <v>0</v>
      </c>
      <c r="L76" s="308">
        <v>4.5</v>
      </c>
      <c r="M76" s="308">
        <v>6</v>
      </c>
      <c r="N76" s="308">
        <v>1.5</v>
      </c>
      <c r="O76" s="308">
        <v>0</v>
      </c>
      <c r="P76" s="301"/>
      <c r="Q76" s="303"/>
      <c r="R76" s="305">
        <v>1</v>
      </c>
      <c r="S76" s="308">
        <v>1.1000000000000001</v>
      </c>
      <c r="T76" s="308">
        <v>0</v>
      </c>
      <c r="U76" s="308">
        <v>0</v>
      </c>
      <c r="V76" s="308">
        <v>1.18</v>
      </c>
      <c r="W76" s="308">
        <v>3.46</v>
      </c>
      <c r="X76" s="335">
        <v>20.5</v>
      </c>
      <c r="Y76" s="305">
        <f t="shared" ref="Y76:AD76" si="179">H76*R76*10</f>
        <v>180</v>
      </c>
      <c r="Z76" s="305">
        <f t="shared" si="179"/>
        <v>0</v>
      </c>
      <c r="AA76" s="308">
        <f t="shared" si="179"/>
        <v>0</v>
      </c>
      <c r="AB76" s="308">
        <f t="shared" si="179"/>
        <v>0</v>
      </c>
      <c r="AC76" s="308">
        <f t="shared" si="179"/>
        <v>53.099999999999994</v>
      </c>
      <c r="AD76" s="308">
        <f t="shared" si="179"/>
        <v>207.59999999999997</v>
      </c>
      <c r="AE76" s="335">
        <f>O76*X76*10</f>
        <v>0</v>
      </c>
      <c r="AF76" s="305">
        <v>13.3</v>
      </c>
      <c r="AG76" s="301"/>
      <c r="AH76" s="301">
        <v>0</v>
      </c>
      <c r="AI76" s="301">
        <v>0</v>
      </c>
      <c r="AJ76" s="301">
        <v>10.5</v>
      </c>
      <c r="AK76" s="301">
        <v>28.9</v>
      </c>
      <c r="AL76" s="303">
        <v>85.3</v>
      </c>
      <c r="AM76" s="332">
        <f t="shared" ref="AM76" si="180">AF76*H76*10</f>
        <v>2394</v>
      </c>
      <c r="AN76" s="301">
        <f t="shared" ref="AN76" si="181">I76*AG76*10</f>
        <v>0</v>
      </c>
      <c r="AO76" s="301">
        <f t="shared" ref="AO76:AS76" si="182">AH76*J76*10</f>
        <v>0</v>
      </c>
      <c r="AP76" s="301">
        <f t="shared" si="182"/>
        <v>0</v>
      </c>
      <c r="AQ76" s="301">
        <f t="shared" si="182"/>
        <v>472.5</v>
      </c>
      <c r="AR76" s="301">
        <f t="shared" si="182"/>
        <v>1733.9999999999998</v>
      </c>
      <c r="AS76" s="301">
        <f t="shared" si="182"/>
        <v>1279.5</v>
      </c>
      <c r="AT76" s="332">
        <v>13.4</v>
      </c>
      <c r="AU76" s="301"/>
      <c r="AV76" s="308">
        <v>0</v>
      </c>
      <c r="AW76" s="301">
        <v>0</v>
      </c>
      <c r="AX76" s="301">
        <v>10.9</v>
      </c>
      <c r="AY76" s="308">
        <v>18.399999999999999</v>
      </c>
      <c r="AZ76" s="335">
        <v>27.8</v>
      </c>
      <c r="BA76" s="332">
        <f t="shared" ref="BA76:BG76" si="183">(H76*3*1000)/(1-AT76/100)</f>
        <v>62355.658198614321</v>
      </c>
      <c r="BB76" s="332">
        <f t="shared" si="183"/>
        <v>0</v>
      </c>
      <c r="BC76" s="332">
        <f t="shared" si="183"/>
        <v>0</v>
      </c>
      <c r="BD76" s="332">
        <f t="shared" si="183"/>
        <v>0</v>
      </c>
      <c r="BE76" s="332">
        <f t="shared" si="183"/>
        <v>15151.515151515152</v>
      </c>
      <c r="BF76" s="332">
        <f t="shared" si="183"/>
        <v>22058.823529411762</v>
      </c>
      <c r="BG76" s="332">
        <f t="shared" si="183"/>
        <v>6232.6869806094182</v>
      </c>
      <c r="BH76" s="332">
        <f t="shared" ref="BH76" si="184">H76+I76+J76+K76+L76</f>
        <v>22.5</v>
      </c>
      <c r="BI76" s="301">
        <f t="shared" ref="BI76" si="185">M76+N76+O76</f>
        <v>7.5</v>
      </c>
      <c r="BJ76" s="301">
        <f t="shared" ref="BJ76" si="186">BH76+BI76</f>
        <v>30</v>
      </c>
      <c r="BK76" s="301">
        <f t="shared" ref="BK76" si="187">Y76+Z76+AA76+AB76+AC76+AD76+AE76</f>
        <v>440.69999999999993</v>
      </c>
      <c r="BL76" s="301">
        <f t="shared" ref="BL76" si="188">AM76+AN76+AO76+AP76+AQ76+AR76+AS76</f>
        <v>5880</v>
      </c>
      <c r="BM76" s="301">
        <f t="shared" ref="BM76" si="189">BJ76*3*1000</f>
        <v>90000</v>
      </c>
      <c r="BN76" s="303">
        <f t="shared" ref="BN76" si="190">BA76+BB76+BC76+BD76+BE76+BF76+BG76</f>
        <v>105798.68386015066</v>
      </c>
      <c r="BO76" s="216">
        <v>76.900000000000006</v>
      </c>
      <c r="BP76" s="216">
        <v>1.87</v>
      </c>
      <c r="BQ76" s="216">
        <v>7.67</v>
      </c>
      <c r="BR76" s="216">
        <v>70.7</v>
      </c>
      <c r="BS76" s="338">
        <v>1.1200000000000001</v>
      </c>
      <c r="BT76" s="216">
        <v>8.3800000000000008</v>
      </c>
      <c r="BU76" s="354">
        <v>7.34</v>
      </c>
      <c r="BV76" s="354">
        <v>1.36</v>
      </c>
      <c r="BW76" s="354">
        <v>1100</v>
      </c>
      <c r="BX76" s="354">
        <v>6.78</v>
      </c>
      <c r="BY76" s="354">
        <v>5.46</v>
      </c>
      <c r="BZ76" s="354">
        <v>5100</v>
      </c>
      <c r="CA76" s="354">
        <v>7.25</v>
      </c>
      <c r="CB76" s="354">
        <v>1.4</v>
      </c>
      <c r="CC76" s="354">
        <v>1200</v>
      </c>
      <c r="CD76" s="354">
        <v>7.43</v>
      </c>
      <c r="CE76" s="354">
        <v>4.16</v>
      </c>
      <c r="CF76" s="354">
        <v>3600</v>
      </c>
      <c r="CG76" s="354">
        <v>7.2</v>
      </c>
      <c r="CH76" s="354">
        <v>1.48</v>
      </c>
      <c r="CI76" s="354">
        <v>1300</v>
      </c>
      <c r="CJ76" s="354">
        <v>7.47</v>
      </c>
      <c r="CK76" s="354">
        <v>3.26</v>
      </c>
      <c r="CL76" s="354">
        <v>2900</v>
      </c>
      <c r="CM76" s="220">
        <v>76.900000000000006</v>
      </c>
      <c r="CN76" s="220">
        <v>76.8</v>
      </c>
      <c r="CO76" s="75">
        <v>6</v>
      </c>
      <c r="CP76" s="76">
        <v>7.67</v>
      </c>
      <c r="CQ76" s="76">
        <v>1.87</v>
      </c>
      <c r="CR76" s="77">
        <v>76.900000000000006</v>
      </c>
      <c r="CS76" s="76">
        <v>18.7</v>
      </c>
      <c r="CT76" s="76">
        <v>1.54</v>
      </c>
      <c r="CU76" s="78">
        <v>26.3</v>
      </c>
      <c r="CV76" s="79">
        <v>2.8</v>
      </c>
      <c r="CW76" s="79">
        <v>36</v>
      </c>
      <c r="CX76" s="79">
        <v>36</v>
      </c>
      <c r="CY76" s="75">
        <v>3</v>
      </c>
      <c r="CZ76" s="76">
        <v>8.1199999999999992</v>
      </c>
      <c r="DA76" s="76">
        <v>1.77</v>
      </c>
      <c r="DB76" s="80">
        <v>75.5</v>
      </c>
      <c r="DC76" s="81">
        <v>21.4</v>
      </c>
      <c r="DD76" s="81">
        <v>1.89</v>
      </c>
      <c r="DE76" s="82" t="s">
        <v>124</v>
      </c>
      <c r="DF76" s="79">
        <v>2.7</v>
      </c>
      <c r="DG76" s="79">
        <v>10</v>
      </c>
      <c r="DH76" s="79">
        <v>50</v>
      </c>
      <c r="DI76" s="121"/>
      <c r="DJ76" s="122"/>
      <c r="DK76" s="122"/>
      <c r="DL76" s="123"/>
      <c r="DM76" s="122"/>
      <c r="DN76" s="122"/>
      <c r="DO76" s="121"/>
      <c r="DP76" s="121"/>
      <c r="DQ76" s="121"/>
      <c r="DR76" s="121"/>
      <c r="DS76" s="85">
        <v>2</v>
      </c>
      <c r="DT76" s="76">
        <v>8.0299999999999994</v>
      </c>
      <c r="DU76" s="76">
        <v>1.51</v>
      </c>
      <c r="DV76" s="77">
        <v>75.2</v>
      </c>
      <c r="DW76" s="76">
        <v>23.7</v>
      </c>
      <c r="DX76" s="76">
        <v>2.0299999999999998</v>
      </c>
      <c r="DY76" s="86">
        <v>18.7</v>
      </c>
      <c r="DZ76" s="79">
        <v>2</v>
      </c>
      <c r="EA76" s="79">
        <v>10</v>
      </c>
      <c r="EB76" s="79">
        <v>10</v>
      </c>
      <c r="EC76" s="79">
        <v>19</v>
      </c>
      <c r="ED76" s="79">
        <v>4</v>
      </c>
      <c r="EE76" s="79">
        <v>12</v>
      </c>
      <c r="EF76" s="79">
        <v>9</v>
      </c>
      <c r="EG76" s="79">
        <v>5</v>
      </c>
      <c r="EH76" s="79">
        <v>87</v>
      </c>
      <c r="EI76" s="79">
        <v>13</v>
      </c>
      <c r="EJ76" s="79">
        <v>6</v>
      </c>
      <c r="EK76" s="79">
        <f t="shared" ref="EK76:EK78" si="191">EA76+EB76+EC76+ED76+EE76+EF76+EG76+EH76+EI76+EJ76</f>
        <v>175</v>
      </c>
      <c r="EL76" s="87">
        <v>52</v>
      </c>
      <c r="EM76" s="79">
        <v>12</v>
      </c>
      <c r="EN76" s="76">
        <v>7.71</v>
      </c>
      <c r="EO76" s="76">
        <v>2.44</v>
      </c>
      <c r="EP76" s="77">
        <v>69</v>
      </c>
      <c r="EQ76" s="76">
        <v>26.9</v>
      </c>
      <c r="ER76" s="76">
        <v>2.25</v>
      </c>
      <c r="ES76" s="79" t="s">
        <v>143</v>
      </c>
      <c r="ET76" s="79">
        <v>3639</v>
      </c>
      <c r="EU76" s="79">
        <v>3035</v>
      </c>
      <c r="EV76" s="79">
        <v>0</v>
      </c>
      <c r="EW76" s="79">
        <f>SUM(ET76:EV76)</f>
        <v>6674</v>
      </c>
      <c r="EX76" s="121">
        <v>52</v>
      </c>
      <c r="EY76" s="341">
        <f t="shared" ref="EY76" si="192">EW76+EW77+EW78+EW79</f>
        <v>24924</v>
      </c>
    </row>
    <row r="77" spans="1:155" ht="17.100000000000001" customHeight="1">
      <c r="A77" s="174"/>
      <c r="B77" s="397" t="s">
        <v>262</v>
      </c>
      <c r="C77" s="202" t="s">
        <v>96</v>
      </c>
      <c r="D77" s="317" t="e">
        <f t="shared" si="151"/>
        <v>#DIV/0!</v>
      </c>
      <c r="E77" s="320" t="e">
        <f t="shared" si="152"/>
        <v>#DIV/0!</v>
      </c>
      <c r="F77" s="320" t="e">
        <f t="shared" si="153"/>
        <v>#DIV/0!</v>
      </c>
      <c r="G77" s="323" t="e">
        <f t="shared" si="154"/>
        <v>#DIV/0!</v>
      </c>
      <c r="H77" s="306"/>
      <c r="I77" s="309"/>
      <c r="J77" s="309"/>
      <c r="K77" s="309"/>
      <c r="L77" s="309"/>
      <c r="M77" s="309"/>
      <c r="N77" s="309"/>
      <c r="O77" s="309"/>
      <c r="P77" s="211"/>
      <c r="Q77" s="214"/>
      <c r="R77" s="306"/>
      <c r="S77" s="309"/>
      <c r="T77" s="309"/>
      <c r="U77" s="309"/>
      <c r="V77" s="309"/>
      <c r="W77" s="309"/>
      <c r="X77" s="336"/>
      <c r="Y77" s="306"/>
      <c r="Z77" s="306"/>
      <c r="AA77" s="309"/>
      <c r="AB77" s="309"/>
      <c r="AC77" s="309"/>
      <c r="AD77" s="309"/>
      <c r="AE77" s="336"/>
      <c r="AF77" s="306"/>
      <c r="AG77" s="211"/>
      <c r="AH77" s="211"/>
      <c r="AI77" s="211"/>
      <c r="AJ77" s="211"/>
      <c r="AK77" s="211"/>
      <c r="AL77" s="214"/>
      <c r="AM77" s="333"/>
      <c r="AN77" s="211"/>
      <c r="AO77" s="211"/>
      <c r="AP77" s="211"/>
      <c r="AQ77" s="211"/>
      <c r="AR77" s="211"/>
      <c r="AS77" s="211"/>
      <c r="AT77" s="333"/>
      <c r="AU77" s="211"/>
      <c r="AV77" s="309"/>
      <c r="AW77" s="211"/>
      <c r="AX77" s="211"/>
      <c r="AY77" s="309"/>
      <c r="AZ77" s="336"/>
      <c r="BA77" s="333"/>
      <c r="BB77" s="333"/>
      <c r="BC77" s="333"/>
      <c r="BD77" s="333"/>
      <c r="BE77" s="333"/>
      <c r="BF77" s="333"/>
      <c r="BG77" s="333"/>
      <c r="BH77" s="333"/>
      <c r="BI77" s="211"/>
      <c r="BJ77" s="211"/>
      <c r="BK77" s="211"/>
      <c r="BL77" s="211"/>
      <c r="BM77" s="211"/>
      <c r="BN77" s="214"/>
      <c r="BO77" s="196">
        <v>73</v>
      </c>
      <c r="BP77" s="196">
        <v>1.4</v>
      </c>
      <c r="BQ77" s="196">
        <v>3.88</v>
      </c>
      <c r="BR77" s="196">
        <v>71.7</v>
      </c>
      <c r="BS77" s="339">
        <v>1.1000000000000001</v>
      </c>
      <c r="BT77" s="196">
        <v>4.16</v>
      </c>
      <c r="BU77" s="355">
        <v>7.34</v>
      </c>
      <c r="BV77" s="355">
        <v>1.36</v>
      </c>
      <c r="BW77" s="355">
        <v>1100</v>
      </c>
      <c r="BX77" s="355">
        <v>6.78</v>
      </c>
      <c r="BY77" s="355">
        <v>5.46</v>
      </c>
      <c r="BZ77" s="355">
        <v>5100</v>
      </c>
      <c r="CA77" s="355">
        <v>7.25</v>
      </c>
      <c r="CB77" s="355">
        <v>1.4</v>
      </c>
      <c r="CC77" s="355">
        <v>1200</v>
      </c>
      <c r="CD77" s="355">
        <v>7.43</v>
      </c>
      <c r="CE77" s="355">
        <v>4.16</v>
      </c>
      <c r="CF77" s="355">
        <v>3600</v>
      </c>
      <c r="CG77" s="355">
        <v>7.2</v>
      </c>
      <c r="CH77" s="355">
        <v>1.48</v>
      </c>
      <c r="CI77" s="355">
        <v>1300</v>
      </c>
      <c r="CJ77" s="355">
        <v>7.47</v>
      </c>
      <c r="CK77" s="355">
        <v>3.26</v>
      </c>
      <c r="CL77" s="355">
        <v>2900</v>
      </c>
      <c r="CM77" s="205"/>
      <c r="CN77" s="205"/>
      <c r="CO77" s="13">
        <v>7</v>
      </c>
      <c r="CP77" s="10">
        <v>7.67</v>
      </c>
      <c r="CQ77" s="10">
        <v>1.87</v>
      </c>
      <c r="CR77" s="11">
        <v>76.900000000000006</v>
      </c>
      <c r="CS77" s="10">
        <v>18.7</v>
      </c>
      <c r="CT77" s="10">
        <v>1.54</v>
      </c>
      <c r="CU77" s="12">
        <v>26.3</v>
      </c>
      <c r="CV77" s="8">
        <v>2.7</v>
      </c>
      <c r="CW77" s="8">
        <v>35</v>
      </c>
      <c r="CX77" s="8">
        <v>35</v>
      </c>
      <c r="CY77" s="13">
        <v>2</v>
      </c>
      <c r="CZ77" s="10">
        <v>8.2100000000000009</v>
      </c>
      <c r="DA77" s="10">
        <v>1.94</v>
      </c>
      <c r="DB77" s="11">
        <v>75.3</v>
      </c>
      <c r="DC77" s="10">
        <v>21.9</v>
      </c>
      <c r="DD77" s="10">
        <v>1.88</v>
      </c>
      <c r="DE77" s="34" t="s">
        <v>164</v>
      </c>
      <c r="DF77" s="8">
        <v>2.5</v>
      </c>
      <c r="DG77" s="8">
        <v>11</v>
      </c>
      <c r="DH77" s="8">
        <v>49</v>
      </c>
      <c r="DI77" s="8">
        <v>7</v>
      </c>
      <c r="DJ77" s="21">
        <v>8.08</v>
      </c>
      <c r="DK77" s="21">
        <v>1.86</v>
      </c>
      <c r="DL77" s="22">
        <v>74.5</v>
      </c>
      <c r="DM77" s="21">
        <v>22.8</v>
      </c>
      <c r="DN77" s="21">
        <v>1.96</v>
      </c>
      <c r="DO77" s="23" t="s">
        <v>160</v>
      </c>
      <c r="DP77" s="23"/>
      <c r="DQ77" s="23"/>
      <c r="DR77" s="23"/>
      <c r="DS77" s="19">
        <v>3</v>
      </c>
      <c r="DT77" s="10">
        <v>8.1199999999999992</v>
      </c>
      <c r="DU77" s="10">
        <v>1.45</v>
      </c>
      <c r="DV77" s="11">
        <v>74.900000000000006</v>
      </c>
      <c r="DW77" s="10">
        <v>23.6</v>
      </c>
      <c r="DX77" s="10">
        <v>2.0299999999999998</v>
      </c>
      <c r="DY77" s="20">
        <v>18.8</v>
      </c>
      <c r="DZ77" s="8">
        <v>1.65</v>
      </c>
      <c r="EA77" s="8">
        <v>10</v>
      </c>
      <c r="EB77" s="8">
        <v>10</v>
      </c>
      <c r="EC77" s="8">
        <v>29</v>
      </c>
      <c r="ED77" s="8">
        <v>0</v>
      </c>
      <c r="EE77" s="8">
        <v>10</v>
      </c>
      <c r="EF77" s="8">
        <v>9</v>
      </c>
      <c r="EG77" s="8">
        <v>5</v>
      </c>
      <c r="EH77" s="8">
        <v>80</v>
      </c>
      <c r="EI77" s="8">
        <v>7</v>
      </c>
      <c r="EJ77" s="8">
        <v>0</v>
      </c>
      <c r="EK77" s="8">
        <f t="shared" si="191"/>
        <v>160</v>
      </c>
      <c r="EL77" s="9">
        <v>53</v>
      </c>
      <c r="EM77" s="8">
        <v>58</v>
      </c>
      <c r="EN77" s="10">
        <v>7.59</v>
      </c>
      <c r="EO77" s="10">
        <v>2.37</v>
      </c>
      <c r="EP77" s="11">
        <v>69.7</v>
      </c>
      <c r="EQ77" s="10">
        <v>26.6</v>
      </c>
      <c r="ER77" s="10">
        <v>2.31</v>
      </c>
      <c r="ES77" s="8" t="s">
        <v>165</v>
      </c>
      <c r="ET77" s="8">
        <v>2774</v>
      </c>
      <c r="EU77" s="8">
        <v>2278</v>
      </c>
      <c r="EV77" s="8">
        <v>1313</v>
      </c>
      <c r="EW77" s="8">
        <f t="shared" ref="EW77:EW87" si="193">SUM(ET77:EV77)</f>
        <v>6365</v>
      </c>
      <c r="EX77" s="23">
        <v>52</v>
      </c>
      <c r="EY77" s="342"/>
    </row>
    <row r="78" spans="1:155" ht="17.100000000000001" customHeight="1">
      <c r="A78" s="174"/>
      <c r="B78" s="397" t="s">
        <v>262</v>
      </c>
      <c r="C78" s="202" t="s">
        <v>96</v>
      </c>
      <c r="D78" s="317" t="e">
        <f t="shared" si="151"/>
        <v>#DIV/0!</v>
      </c>
      <c r="E78" s="320" t="e">
        <f t="shared" si="152"/>
        <v>#DIV/0!</v>
      </c>
      <c r="F78" s="320" t="e">
        <f t="shared" si="153"/>
        <v>#DIV/0!</v>
      </c>
      <c r="G78" s="323" t="e">
        <f t="shared" si="154"/>
        <v>#DIV/0!</v>
      </c>
      <c r="H78" s="306"/>
      <c r="I78" s="309"/>
      <c r="J78" s="309"/>
      <c r="K78" s="309"/>
      <c r="L78" s="309"/>
      <c r="M78" s="309"/>
      <c r="N78" s="309"/>
      <c r="O78" s="309"/>
      <c r="P78" s="211"/>
      <c r="Q78" s="214"/>
      <c r="R78" s="306"/>
      <c r="S78" s="309"/>
      <c r="T78" s="309"/>
      <c r="U78" s="309"/>
      <c r="V78" s="309"/>
      <c r="W78" s="309"/>
      <c r="X78" s="336"/>
      <c r="Y78" s="306"/>
      <c r="Z78" s="306"/>
      <c r="AA78" s="309"/>
      <c r="AB78" s="309"/>
      <c r="AC78" s="309"/>
      <c r="AD78" s="309"/>
      <c r="AE78" s="336"/>
      <c r="AF78" s="306"/>
      <c r="AG78" s="211"/>
      <c r="AH78" s="211"/>
      <c r="AI78" s="211"/>
      <c r="AJ78" s="211"/>
      <c r="AK78" s="211"/>
      <c r="AL78" s="214"/>
      <c r="AM78" s="333"/>
      <c r="AN78" s="211"/>
      <c r="AO78" s="211"/>
      <c r="AP78" s="211"/>
      <c r="AQ78" s="211"/>
      <c r="AR78" s="211"/>
      <c r="AS78" s="211"/>
      <c r="AT78" s="333"/>
      <c r="AU78" s="211"/>
      <c r="AV78" s="309"/>
      <c r="AW78" s="211"/>
      <c r="AX78" s="211"/>
      <c r="AY78" s="309"/>
      <c r="AZ78" s="336"/>
      <c r="BA78" s="333"/>
      <c r="BB78" s="333"/>
      <c r="BC78" s="333"/>
      <c r="BD78" s="333"/>
      <c r="BE78" s="333"/>
      <c r="BF78" s="333"/>
      <c r="BG78" s="333"/>
      <c r="BH78" s="333"/>
      <c r="BI78" s="211"/>
      <c r="BJ78" s="211"/>
      <c r="BK78" s="211"/>
      <c r="BL78" s="211"/>
      <c r="BM78" s="211"/>
      <c r="BN78" s="214"/>
      <c r="BO78" s="196">
        <v>74.599999999999994</v>
      </c>
      <c r="BP78" s="196">
        <v>0.92500000000000004</v>
      </c>
      <c r="BQ78" s="196">
        <v>5.09</v>
      </c>
      <c r="BR78" s="196">
        <v>73.3</v>
      </c>
      <c r="BS78" s="339">
        <v>1.02</v>
      </c>
      <c r="BT78" s="196">
        <v>5.21</v>
      </c>
      <c r="BU78" s="355">
        <v>7.34</v>
      </c>
      <c r="BV78" s="355">
        <v>1.36</v>
      </c>
      <c r="BW78" s="355">
        <v>1100</v>
      </c>
      <c r="BX78" s="355">
        <v>6.78</v>
      </c>
      <c r="BY78" s="355">
        <v>5.46</v>
      </c>
      <c r="BZ78" s="355">
        <v>5100</v>
      </c>
      <c r="CA78" s="355">
        <v>7.25</v>
      </c>
      <c r="CB78" s="355">
        <v>1.4</v>
      </c>
      <c r="CC78" s="355">
        <v>1200</v>
      </c>
      <c r="CD78" s="355">
        <v>7.43</v>
      </c>
      <c r="CE78" s="355">
        <v>4.16</v>
      </c>
      <c r="CF78" s="355">
        <v>3600</v>
      </c>
      <c r="CG78" s="355">
        <v>7.2</v>
      </c>
      <c r="CH78" s="355">
        <v>1.48</v>
      </c>
      <c r="CI78" s="355">
        <v>1300</v>
      </c>
      <c r="CJ78" s="355">
        <v>7.47</v>
      </c>
      <c r="CK78" s="355">
        <v>3.26</v>
      </c>
      <c r="CL78" s="355">
        <v>2900</v>
      </c>
      <c r="CM78" s="205"/>
      <c r="CN78" s="205"/>
      <c r="CO78" s="13">
        <v>8</v>
      </c>
      <c r="CP78" s="10">
        <v>7.67</v>
      </c>
      <c r="CQ78" s="10">
        <v>1.87</v>
      </c>
      <c r="CR78" s="11">
        <v>76.900000000000006</v>
      </c>
      <c r="CS78" s="10">
        <v>18.7</v>
      </c>
      <c r="CT78" s="10">
        <v>1.54</v>
      </c>
      <c r="CU78" s="12">
        <v>26.3</v>
      </c>
      <c r="CV78" s="7">
        <v>2.6</v>
      </c>
      <c r="CW78" s="7">
        <v>35</v>
      </c>
      <c r="CX78" s="7">
        <v>35</v>
      </c>
      <c r="CY78" s="13">
        <v>1</v>
      </c>
      <c r="CZ78" s="10">
        <v>8.17</v>
      </c>
      <c r="DA78" s="10">
        <v>1.92</v>
      </c>
      <c r="DB78" s="11">
        <v>75.7</v>
      </c>
      <c r="DC78" s="10">
        <v>21.8</v>
      </c>
      <c r="DD78" s="10">
        <v>1.82</v>
      </c>
      <c r="DE78" s="33" t="s">
        <v>159</v>
      </c>
      <c r="DF78" s="8">
        <v>2.2999999999999998</v>
      </c>
      <c r="DG78" s="8">
        <v>12</v>
      </c>
      <c r="DH78" s="8">
        <v>49</v>
      </c>
      <c r="DI78" s="8">
        <v>8</v>
      </c>
      <c r="DJ78" s="21">
        <v>8.11</v>
      </c>
      <c r="DK78" s="21">
        <v>1.77</v>
      </c>
      <c r="DL78" s="22">
        <v>74.3</v>
      </c>
      <c r="DM78" s="21">
        <v>22.6</v>
      </c>
      <c r="DN78" s="21">
        <v>1.91</v>
      </c>
      <c r="DO78" s="23" t="s">
        <v>166</v>
      </c>
      <c r="DP78" s="23"/>
      <c r="DQ78" s="23"/>
      <c r="DR78" s="23"/>
      <c r="DS78" s="19">
        <v>11</v>
      </c>
      <c r="DT78" s="10">
        <v>8.07</v>
      </c>
      <c r="DU78" s="10">
        <v>1.49</v>
      </c>
      <c r="DV78" s="11">
        <v>75.400000000000006</v>
      </c>
      <c r="DW78" s="10">
        <v>24.1</v>
      </c>
      <c r="DX78" s="10">
        <v>2.0099999999999998</v>
      </c>
      <c r="DY78" s="20">
        <v>18.8</v>
      </c>
      <c r="DZ78" s="8">
        <v>1.85</v>
      </c>
      <c r="EA78" s="8">
        <v>6</v>
      </c>
      <c r="EB78" s="8">
        <v>14</v>
      </c>
      <c r="EC78" s="8">
        <v>17</v>
      </c>
      <c r="ED78" s="8">
        <v>10</v>
      </c>
      <c r="EE78" s="8">
        <v>14</v>
      </c>
      <c r="EF78" s="8">
        <v>8</v>
      </c>
      <c r="EG78" s="8">
        <v>6</v>
      </c>
      <c r="EH78" s="8">
        <v>81</v>
      </c>
      <c r="EI78" s="8">
        <v>8</v>
      </c>
      <c r="EJ78" s="8">
        <v>21</v>
      </c>
      <c r="EK78" s="8">
        <f t="shared" si="191"/>
        <v>185</v>
      </c>
      <c r="EL78" s="9">
        <v>54</v>
      </c>
      <c r="EM78" s="8">
        <v>10</v>
      </c>
      <c r="EN78" s="10">
        <v>7.66</v>
      </c>
      <c r="EO78" s="10">
        <v>2.2599999999999998</v>
      </c>
      <c r="EP78" s="11">
        <v>70.400000000000006</v>
      </c>
      <c r="EQ78" s="10">
        <v>28.2</v>
      </c>
      <c r="ER78" s="10">
        <v>2.31</v>
      </c>
      <c r="ES78" s="8" t="s">
        <v>167</v>
      </c>
      <c r="ET78" s="8">
        <v>3249</v>
      </c>
      <c r="EU78" s="8">
        <v>2603</v>
      </c>
      <c r="EV78" s="8">
        <v>0</v>
      </c>
      <c r="EW78" s="8">
        <f t="shared" si="193"/>
        <v>5852</v>
      </c>
      <c r="EX78" s="23">
        <v>52</v>
      </c>
      <c r="EY78" s="342"/>
    </row>
    <row r="79" spans="1:155" s="401" customFormat="1" ht="17.100000000000001" customHeight="1" thickBot="1">
      <c r="A79" s="175"/>
      <c r="B79" s="400" t="s">
        <v>262</v>
      </c>
      <c r="C79" s="203" t="s">
        <v>147</v>
      </c>
      <c r="D79" s="318" t="e">
        <f t="shared" si="151"/>
        <v>#DIV/0!</v>
      </c>
      <c r="E79" s="321" t="e">
        <f t="shared" si="152"/>
        <v>#DIV/0!</v>
      </c>
      <c r="F79" s="321" t="e">
        <f t="shared" si="153"/>
        <v>#DIV/0!</v>
      </c>
      <c r="G79" s="324" t="e">
        <f t="shared" si="154"/>
        <v>#DIV/0!</v>
      </c>
      <c r="H79" s="307"/>
      <c r="I79" s="310"/>
      <c r="J79" s="310"/>
      <c r="K79" s="310"/>
      <c r="L79" s="310"/>
      <c r="M79" s="310"/>
      <c r="N79" s="310"/>
      <c r="O79" s="310"/>
      <c r="P79" s="302"/>
      <c r="Q79" s="304"/>
      <c r="R79" s="307"/>
      <c r="S79" s="310"/>
      <c r="T79" s="310"/>
      <c r="U79" s="310"/>
      <c r="V79" s="310"/>
      <c r="W79" s="310"/>
      <c r="X79" s="337"/>
      <c r="Y79" s="307"/>
      <c r="Z79" s="307"/>
      <c r="AA79" s="310"/>
      <c r="AB79" s="310"/>
      <c r="AC79" s="310"/>
      <c r="AD79" s="310"/>
      <c r="AE79" s="337"/>
      <c r="AF79" s="307"/>
      <c r="AG79" s="302"/>
      <c r="AH79" s="302"/>
      <c r="AI79" s="302"/>
      <c r="AJ79" s="302"/>
      <c r="AK79" s="302"/>
      <c r="AL79" s="304"/>
      <c r="AM79" s="334"/>
      <c r="AN79" s="302"/>
      <c r="AO79" s="302"/>
      <c r="AP79" s="302"/>
      <c r="AQ79" s="302"/>
      <c r="AR79" s="302"/>
      <c r="AS79" s="302"/>
      <c r="AT79" s="334"/>
      <c r="AU79" s="302"/>
      <c r="AV79" s="310"/>
      <c r="AW79" s="302"/>
      <c r="AX79" s="302"/>
      <c r="AY79" s="310"/>
      <c r="AZ79" s="337"/>
      <c r="BA79" s="334"/>
      <c r="BB79" s="334"/>
      <c r="BC79" s="334"/>
      <c r="BD79" s="334"/>
      <c r="BE79" s="334"/>
      <c r="BF79" s="334"/>
      <c r="BG79" s="334"/>
      <c r="BH79" s="334"/>
      <c r="BI79" s="302"/>
      <c r="BJ79" s="302"/>
      <c r="BK79" s="302"/>
      <c r="BL79" s="302"/>
      <c r="BM79" s="302"/>
      <c r="BN79" s="304"/>
      <c r="BO79" s="217">
        <v>76.900000000000006</v>
      </c>
      <c r="BP79" s="217">
        <v>1.87</v>
      </c>
      <c r="BQ79" s="217">
        <v>7.67</v>
      </c>
      <c r="BR79" s="217">
        <v>70.7</v>
      </c>
      <c r="BS79" s="340">
        <v>1.1200000000000001</v>
      </c>
      <c r="BT79" s="217">
        <v>8.3800000000000008</v>
      </c>
      <c r="BU79" s="312">
        <v>7.34</v>
      </c>
      <c r="BV79" s="312">
        <v>1.36</v>
      </c>
      <c r="BW79" s="312">
        <v>1100</v>
      </c>
      <c r="BX79" s="312">
        <v>6.78</v>
      </c>
      <c r="BY79" s="312">
        <v>5.46</v>
      </c>
      <c r="BZ79" s="312">
        <v>5100</v>
      </c>
      <c r="CA79" s="312">
        <v>7.25</v>
      </c>
      <c r="CB79" s="312">
        <v>1.4</v>
      </c>
      <c r="CC79" s="312">
        <v>1200</v>
      </c>
      <c r="CD79" s="312">
        <v>7.43</v>
      </c>
      <c r="CE79" s="312">
        <v>4.16</v>
      </c>
      <c r="CF79" s="312">
        <v>3600</v>
      </c>
      <c r="CG79" s="312">
        <v>7.2</v>
      </c>
      <c r="CH79" s="312">
        <v>1.48</v>
      </c>
      <c r="CI79" s="312">
        <v>1300</v>
      </c>
      <c r="CJ79" s="312">
        <v>7.47</v>
      </c>
      <c r="CK79" s="312">
        <v>3.26</v>
      </c>
      <c r="CL79" s="312">
        <v>2900</v>
      </c>
      <c r="CM79" s="221"/>
      <c r="CN79" s="221"/>
      <c r="CV79" s="116"/>
      <c r="CW79" s="116"/>
      <c r="CX79" s="116"/>
      <c r="DF79" s="116"/>
      <c r="DG79" s="116"/>
      <c r="DH79" s="116"/>
      <c r="DI79" s="102">
        <v>9</v>
      </c>
      <c r="DJ79" s="99">
        <v>8.16</v>
      </c>
      <c r="DK79" s="107">
        <v>1.6</v>
      </c>
      <c r="DL79" s="100">
        <v>74.5</v>
      </c>
      <c r="DM79" s="99">
        <v>20</v>
      </c>
      <c r="DN79" s="107">
        <v>1.89</v>
      </c>
      <c r="DO79" s="102" t="s">
        <v>116</v>
      </c>
      <c r="DP79" s="102"/>
      <c r="DQ79" s="102"/>
      <c r="DR79" s="102"/>
      <c r="DS79" s="105"/>
      <c r="DT79" s="99"/>
      <c r="DU79" s="99"/>
      <c r="DV79" s="100"/>
      <c r="DW79" s="99"/>
      <c r="DX79" s="99"/>
      <c r="DY79" s="104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6" t="s">
        <v>168</v>
      </c>
      <c r="EM79" s="102">
        <v>14</v>
      </c>
      <c r="EN79" s="107">
        <v>7.6</v>
      </c>
      <c r="EO79" s="107">
        <v>2.36</v>
      </c>
      <c r="EP79" s="108">
        <v>69.599999999999994</v>
      </c>
      <c r="EQ79" s="107">
        <v>27.3</v>
      </c>
      <c r="ER79" s="107">
        <v>2.2400000000000002</v>
      </c>
      <c r="ES79" s="102" t="s">
        <v>143</v>
      </c>
      <c r="ET79" s="102">
        <v>3761</v>
      </c>
      <c r="EU79" s="102">
        <v>2272</v>
      </c>
      <c r="EV79" s="102">
        <v>0</v>
      </c>
      <c r="EW79" s="102">
        <f t="shared" si="193"/>
        <v>6033</v>
      </c>
      <c r="EX79" s="101">
        <v>52</v>
      </c>
      <c r="EY79" s="343"/>
    </row>
    <row r="80" spans="1:155" s="398" customFormat="1" ht="17.100000000000001" customHeight="1">
      <c r="A80" s="173">
        <v>19</v>
      </c>
      <c r="B80" s="397" t="s">
        <v>263</v>
      </c>
      <c r="C80" s="201" t="s">
        <v>90</v>
      </c>
      <c r="D80" s="316">
        <f t="shared" si="151"/>
        <v>80</v>
      </c>
      <c r="E80" s="319">
        <f t="shared" si="152"/>
        <v>0</v>
      </c>
      <c r="F80" s="319">
        <f t="shared" si="153"/>
        <v>0</v>
      </c>
      <c r="G80" s="322">
        <f t="shared" si="154"/>
        <v>20</v>
      </c>
      <c r="H80" s="305">
        <v>0</v>
      </c>
      <c r="I80" s="308">
        <v>18.8</v>
      </c>
      <c r="J80" s="308">
        <v>0</v>
      </c>
      <c r="K80" s="308">
        <v>0</v>
      </c>
      <c r="L80" s="308">
        <v>4.7</v>
      </c>
      <c r="M80" s="308">
        <v>6</v>
      </c>
      <c r="N80" s="308">
        <v>1.5</v>
      </c>
      <c r="O80" s="308">
        <v>0</v>
      </c>
      <c r="P80" s="301"/>
      <c r="Q80" s="303"/>
      <c r="R80" s="305">
        <v>0</v>
      </c>
      <c r="S80" s="308">
        <v>1.1399999999999999</v>
      </c>
      <c r="T80" s="308">
        <v>0</v>
      </c>
      <c r="U80" s="308">
        <v>0</v>
      </c>
      <c r="V80" s="308">
        <v>1.18</v>
      </c>
      <c r="W80" s="308">
        <v>3.36</v>
      </c>
      <c r="X80" s="335">
        <v>20.5</v>
      </c>
      <c r="Y80" s="305">
        <f t="shared" ref="Y80:AD80" si="194">H80*R80*10</f>
        <v>0</v>
      </c>
      <c r="Z80" s="308">
        <f t="shared" si="194"/>
        <v>214.32</v>
      </c>
      <c r="AA80" s="308">
        <f t="shared" si="194"/>
        <v>0</v>
      </c>
      <c r="AB80" s="308">
        <f t="shared" si="194"/>
        <v>0</v>
      </c>
      <c r="AC80" s="308">
        <f t="shared" si="194"/>
        <v>55.46</v>
      </c>
      <c r="AD80" s="308">
        <f t="shared" si="194"/>
        <v>201.6</v>
      </c>
      <c r="AE80" s="335">
        <f>O80*X80*10</f>
        <v>0</v>
      </c>
      <c r="AF80" s="305">
        <v>0</v>
      </c>
      <c r="AG80" s="301">
        <v>13.7</v>
      </c>
      <c r="AH80" s="301">
        <v>0</v>
      </c>
      <c r="AI80" s="301">
        <v>0</v>
      </c>
      <c r="AJ80" s="301">
        <v>10.5</v>
      </c>
      <c r="AK80" s="301">
        <v>28.8</v>
      </c>
      <c r="AL80" s="303">
        <v>85.4</v>
      </c>
      <c r="AM80" s="332">
        <f t="shared" ref="AM80" si="195">AF80*H80*10</f>
        <v>0</v>
      </c>
      <c r="AN80" s="301">
        <f>AG80*I80*10</f>
        <v>2575.6</v>
      </c>
      <c r="AO80" s="301">
        <f t="shared" ref="AO80:AS80" si="196">AH80*J80*10</f>
        <v>0</v>
      </c>
      <c r="AP80" s="301">
        <f t="shared" si="196"/>
        <v>0</v>
      </c>
      <c r="AQ80" s="301">
        <f t="shared" si="196"/>
        <v>493.5</v>
      </c>
      <c r="AR80" s="301">
        <f t="shared" si="196"/>
        <v>1728</v>
      </c>
      <c r="AS80" s="301">
        <f t="shared" si="196"/>
        <v>1281.0000000000002</v>
      </c>
      <c r="AT80" s="332">
        <v>0</v>
      </c>
      <c r="AU80" s="301">
        <v>13.2</v>
      </c>
      <c r="AV80" s="308">
        <v>0</v>
      </c>
      <c r="AW80" s="301">
        <v>0</v>
      </c>
      <c r="AX80" s="301">
        <v>10.7</v>
      </c>
      <c r="AY80" s="308">
        <v>19.5</v>
      </c>
      <c r="AZ80" s="335">
        <v>27.1</v>
      </c>
      <c r="BA80" s="332">
        <f t="shared" ref="BA80:BG80" si="197">(H80*3*1000)/(1-AT80/100)</f>
        <v>0</v>
      </c>
      <c r="BB80" s="332">
        <f t="shared" si="197"/>
        <v>64976.958525345632</v>
      </c>
      <c r="BC80" s="332">
        <f t="shared" si="197"/>
        <v>0</v>
      </c>
      <c r="BD80" s="332">
        <f t="shared" si="197"/>
        <v>0</v>
      </c>
      <c r="BE80" s="332">
        <f t="shared" si="197"/>
        <v>15789.473684210529</v>
      </c>
      <c r="BF80" s="332">
        <f t="shared" si="197"/>
        <v>22360.248447204969</v>
      </c>
      <c r="BG80" s="332">
        <f t="shared" si="197"/>
        <v>6172.8395061728397</v>
      </c>
      <c r="BH80" s="332">
        <f t="shared" ref="BH80" si="198">H80+I80+J80+K80+L80</f>
        <v>23.5</v>
      </c>
      <c r="BI80" s="301">
        <f t="shared" ref="BI80" si="199">M80+N80+O80</f>
        <v>7.5</v>
      </c>
      <c r="BJ80" s="301">
        <f t="shared" ref="BJ80" si="200">BH80+BI80</f>
        <v>31</v>
      </c>
      <c r="BK80" s="301">
        <f t="shared" ref="BK80" si="201">Y80+Z80+AA80+AB80+AC80+AD80+AE80</f>
        <v>471.38</v>
      </c>
      <c r="BL80" s="301">
        <f t="shared" ref="BL80" si="202">AM80+AN80+AO80+AP80+AQ80+AR80+AS80</f>
        <v>6078.1</v>
      </c>
      <c r="BM80" s="301">
        <f t="shared" ref="BM80" si="203">BJ80*3*1000</f>
        <v>93000</v>
      </c>
      <c r="BN80" s="303">
        <f t="shared" ref="BN80" si="204">BA80+BB80+BC80+BD80+BE80+BF80+BG80</f>
        <v>109299.52016293397</v>
      </c>
      <c r="BO80" s="216">
        <v>70</v>
      </c>
      <c r="BP80" s="216">
        <v>2.4500000000000002</v>
      </c>
      <c r="BQ80" s="216">
        <v>7.45</v>
      </c>
      <c r="BR80" s="216">
        <v>71.599999999999994</v>
      </c>
      <c r="BS80" s="338">
        <v>1.08</v>
      </c>
      <c r="BT80" s="216">
        <v>8.01</v>
      </c>
      <c r="BU80" s="354">
        <v>6.9</v>
      </c>
      <c r="BV80" s="354">
        <v>1.49</v>
      </c>
      <c r="BW80" s="354">
        <v>1340</v>
      </c>
      <c r="BX80" s="354">
        <v>5.3</v>
      </c>
      <c r="BY80" s="354">
        <v>7.53</v>
      </c>
      <c r="BZ80" s="354">
        <v>6500</v>
      </c>
      <c r="CA80" s="354">
        <v>6.94</v>
      </c>
      <c r="CB80" s="354">
        <v>1.43</v>
      </c>
      <c r="CC80" s="354">
        <v>1200</v>
      </c>
      <c r="CD80" s="354">
        <v>6.78</v>
      </c>
      <c r="CE80" s="354">
        <v>5.17</v>
      </c>
      <c r="CF80" s="354">
        <v>4800</v>
      </c>
      <c r="CG80" s="354">
        <v>7.05</v>
      </c>
      <c r="CH80" s="354">
        <v>1.34</v>
      </c>
      <c r="CI80" s="354">
        <v>1000</v>
      </c>
      <c r="CJ80" s="354">
        <v>6.85</v>
      </c>
      <c r="CK80" s="354">
        <v>3.05</v>
      </c>
      <c r="CL80" s="354">
        <v>3000</v>
      </c>
      <c r="CM80" s="220">
        <v>77.2</v>
      </c>
      <c r="CN80" s="220">
        <v>76.400000000000006</v>
      </c>
      <c r="CO80" s="75">
        <v>4</v>
      </c>
      <c r="CP80" s="76">
        <v>8.0299999999999994</v>
      </c>
      <c r="CQ80" s="76">
        <v>1.57</v>
      </c>
      <c r="CR80" s="77">
        <v>76.7</v>
      </c>
      <c r="CS80" s="76">
        <v>20.6</v>
      </c>
      <c r="CT80" s="76">
        <v>1.68</v>
      </c>
      <c r="CU80" s="78">
        <v>23.6</v>
      </c>
      <c r="CV80" s="79">
        <v>2.9</v>
      </c>
      <c r="CW80" s="79">
        <v>13</v>
      </c>
      <c r="CX80" s="79">
        <v>48</v>
      </c>
      <c r="CY80" s="75">
        <v>3</v>
      </c>
      <c r="CZ80" s="76">
        <v>8.17</v>
      </c>
      <c r="DA80" s="76">
        <v>1.76</v>
      </c>
      <c r="DB80" s="77">
        <v>76.3</v>
      </c>
      <c r="DC80" s="76">
        <v>21.4</v>
      </c>
      <c r="DD80" s="76">
        <v>1.8</v>
      </c>
      <c r="DE80" s="86">
        <v>21.8</v>
      </c>
      <c r="DF80" s="79">
        <v>2.7</v>
      </c>
      <c r="DG80" s="79">
        <v>13</v>
      </c>
      <c r="DH80" s="79">
        <v>37</v>
      </c>
      <c r="DI80" s="121"/>
      <c r="DJ80" s="122"/>
      <c r="DK80" s="122"/>
      <c r="DL80" s="123"/>
      <c r="DM80" s="122"/>
      <c r="DN80" s="122"/>
      <c r="DP80" s="79"/>
      <c r="DQ80" s="79"/>
      <c r="DR80" s="79"/>
      <c r="DS80" s="85">
        <v>6</v>
      </c>
      <c r="DT80" s="76">
        <v>8.25</v>
      </c>
      <c r="DU80" s="76">
        <v>1.85</v>
      </c>
      <c r="DV80" s="77">
        <v>75.5</v>
      </c>
      <c r="DW80" s="76">
        <v>23.8</v>
      </c>
      <c r="DX80" s="76">
        <v>2.0099999999999998</v>
      </c>
      <c r="DY80" s="86">
        <v>18.899999999999999</v>
      </c>
      <c r="DZ80" s="79">
        <v>2.2999999999999998</v>
      </c>
      <c r="EA80" s="79">
        <v>16</v>
      </c>
      <c r="EB80" s="79">
        <v>4</v>
      </c>
      <c r="EC80" s="79">
        <v>12</v>
      </c>
      <c r="ED80" s="79">
        <v>2</v>
      </c>
      <c r="EE80" s="79">
        <v>8</v>
      </c>
      <c r="EF80" s="79">
        <v>9</v>
      </c>
      <c r="EG80" s="79">
        <v>1</v>
      </c>
      <c r="EH80" s="79">
        <v>86</v>
      </c>
      <c r="EI80" s="79">
        <v>18</v>
      </c>
      <c r="EJ80" s="79">
        <v>0</v>
      </c>
      <c r="EK80" s="79">
        <f t="shared" ref="EK80:EK82" si="205">EA80+EB80+EC80+ED80+EE80+EF80+EG80+EH80+EI80+EJ80</f>
        <v>156</v>
      </c>
      <c r="EL80" s="87">
        <v>55</v>
      </c>
      <c r="EM80" s="79">
        <v>45</v>
      </c>
      <c r="EN80" s="76">
        <v>7.74</v>
      </c>
      <c r="EO80" s="76">
        <v>2.29</v>
      </c>
      <c r="EP80" s="77">
        <v>71.099999999999994</v>
      </c>
      <c r="EQ80" s="76">
        <v>28.9</v>
      </c>
      <c r="ER80" s="76">
        <v>2.2400000000000002</v>
      </c>
      <c r="ES80" s="79" t="s">
        <v>139</v>
      </c>
      <c r="ET80" s="79">
        <v>3243</v>
      </c>
      <c r="EU80" s="79">
        <v>2464</v>
      </c>
      <c r="EV80" s="79">
        <v>0</v>
      </c>
      <c r="EW80" s="79">
        <f t="shared" si="193"/>
        <v>5707</v>
      </c>
      <c r="EX80" s="121">
        <v>51</v>
      </c>
      <c r="EY80" s="341">
        <f t="shared" ref="EY80" si="206">EW80+EW81+EW82+EW83</f>
        <v>18809</v>
      </c>
    </row>
    <row r="81" spans="1:155" ht="17.100000000000001" customHeight="1">
      <c r="A81" s="174"/>
      <c r="B81" s="397" t="s">
        <v>263</v>
      </c>
      <c r="C81" s="202" t="s">
        <v>90</v>
      </c>
      <c r="D81" s="317" t="e">
        <f t="shared" si="151"/>
        <v>#DIV/0!</v>
      </c>
      <c r="E81" s="320" t="e">
        <f t="shared" si="152"/>
        <v>#DIV/0!</v>
      </c>
      <c r="F81" s="320" t="e">
        <f t="shared" si="153"/>
        <v>#DIV/0!</v>
      </c>
      <c r="G81" s="323" t="e">
        <f t="shared" si="154"/>
        <v>#DIV/0!</v>
      </c>
      <c r="H81" s="306"/>
      <c r="I81" s="309"/>
      <c r="J81" s="309"/>
      <c r="K81" s="309"/>
      <c r="L81" s="309"/>
      <c r="M81" s="309"/>
      <c r="N81" s="309"/>
      <c r="O81" s="309"/>
      <c r="P81" s="211"/>
      <c r="Q81" s="214"/>
      <c r="R81" s="306"/>
      <c r="S81" s="309"/>
      <c r="T81" s="309"/>
      <c r="U81" s="309"/>
      <c r="V81" s="309"/>
      <c r="W81" s="309"/>
      <c r="X81" s="336"/>
      <c r="Y81" s="306"/>
      <c r="Z81" s="309"/>
      <c r="AA81" s="309"/>
      <c r="AB81" s="309"/>
      <c r="AC81" s="309"/>
      <c r="AD81" s="309"/>
      <c r="AE81" s="336"/>
      <c r="AF81" s="306"/>
      <c r="AG81" s="211"/>
      <c r="AH81" s="211"/>
      <c r="AI81" s="211"/>
      <c r="AJ81" s="211"/>
      <c r="AK81" s="211"/>
      <c r="AL81" s="214"/>
      <c r="AM81" s="333"/>
      <c r="AN81" s="211"/>
      <c r="AO81" s="211"/>
      <c r="AP81" s="211"/>
      <c r="AQ81" s="211"/>
      <c r="AR81" s="211"/>
      <c r="AS81" s="211"/>
      <c r="AT81" s="333"/>
      <c r="AU81" s="211"/>
      <c r="AV81" s="309"/>
      <c r="AW81" s="211"/>
      <c r="AX81" s="211"/>
      <c r="AY81" s="309"/>
      <c r="AZ81" s="336"/>
      <c r="BA81" s="333"/>
      <c r="BB81" s="333"/>
      <c r="BC81" s="333"/>
      <c r="BD81" s="333"/>
      <c r="BE81" s="333"/>
      <c r="BF81" s="333"/>
      <c r="BG81" s="333"/>
      <c r="BH81" s="333"/>
      <c r="BI81" s="211"/>
      <c r="BJ81" s="211"/>
      <c r="BK81" s="211"/>
      <c r="BL81" s="211"/>
      <c r="BM81" s="211"/>
      <c r="BN81" s="214"/>
      <c r="BO81" s="196">
        <v>74.599999999999994</v>
      </c>
      <c r="BP81" s="196">
        <v>0.44600000000000001</v>
      </c>
      <c r="BQ81" s="196">
        <v>4.13</v>
      </c>
      <c r="BR81" s="196">
        <v>74</v>
      </c>
      <c r="BS81" s="339">
        <v>0.67200000000000004</v>
      </c>
      <c r="BT81" s="196">
        <v>5.03</v>
      </c>
      <c r="BU81" s="355">
        <v>6.9</v>
      </c>
      <c r="BV81" s="355">
        <v>1.49</v>
      </c>
      <c r="BW81" s="355">
        <v>1340</v>
      </c>
      <c r="BX81" s="355">
        <v>5.3</v>
      </c>
      <c r="BY81" s="355">
        <v>7.53</v>
      </c>
      <c r="BZ81" s="355">
        <v>6500</v>
      </c>
      <c r="CA81" s="355">
        <v>6.94</v>
      </c>
      <c r="CB81" s="355">
        <v>1.43</v>
      </c>
      <c r="CC81" s="355">
        <v>1200</v>
      </c>
      <c r="CD81" s="355">
        <v>6.78</v>
      </c>
      <c r="CE81" s="355">
        <v>5.17</v>
      </c>
      <c r="CF81" s="355">
        <v>4800</v>
      </c>
      <c r="CG81" s="355">
        <v>7.05</v>
      </c>
      <c r="CH81" s="355">
        <v>1.34</v>
      </c>
      <c r="CI81" s="355">
        <v>1000</v>
      </c>
      <c r="CJ81" s="355">
        <v>6.85</v>
      </c>
      <c r="CK81" s="355">
        <v>3.05</v>
      </c>
      <c r="CL81" s="355">
        <v>3000</v>
      </c>
      <c r="CM81" s="205"/>
      <c r="CN81" s="205"/>
      <c r="CO81" s="13">
        <v>5</v>
      </c>
      <c r="CP81" s="10">
        <v>8.01</v>
      </c>
      <c r="CQ81" s="10">
        <v>1.61</v>
      </c>
      <c r="CR81" s="11">
        <v>77</v>
      </c>
      <c r="CS81" s="10">
        <v>21.5</v>
      </c>
      <c r="CT81" s="10">
        <v>1.61</v>
      </c>
      <c r="CU81" s="12">
        <v>24.3</v>
      </c>
      <c r="CV81" s="8">
        <v>2.9</v>
      </c>
      <c r="CW81" s="8">
        <v>21</v>
      </c>
      <c r="CX81" s="8">
        <v>49</v>
      </c>
      <c r="CY81" s="13">
        <v>2</v>
      </c>
      <c r="CZ81" s="10">
        <v>8.2799999999999994</v>
      </c>
      <c r="DA81" s="10">
        <v>1.79</v>
      </c>
      <c r="DB81" s="11">
        <v>76.3</v>
      </c>
      <c r="DC81" s="10">
        <v>21.6</v>
      </c>
      <c r="DD81" s="10">
        <v>1.82</v>
      </c>
      <c r="DE81" s="20">
        <v>21.5</v>
      </c>
      <c r="DF81" s="8">
        <v>2.7</v>
      </c>
      <c r="DG81" s="8">
        <v>15</v>
      </c>
      <c r="DH81" s="8">
        <v>35</v>
      </c>
      <c r="DI81" s="23"/>
      <c r="DJ81" s="21"/>
      <c r="DK81" s="21"/>
      <c r="DL81" s="22"/>
      <c r="DM81" s="21"/>
      <c r="DN81" s="21"/>
      <c r="DO81" s="23"/>
      <c r="DP81" s="23"/>
      <c r="DQ81" s="23"/>
      <c r="DR81" s="23"/>
      <c r="DS81" s="19">
        <v>10</v>
      </c>
      <c r="DT81" s="10">
        <v>8.1</v>
      </c>
      <c r="DU81" s="10">
        <v>1.76</v>
      </c>
      <c r="DV81" s="11">
        <v>75.3</v>
      </c>
      <c r="DW81" s="10">
        <v>24.3</v>
      </c>
      <c r="DX81" s="10">
        <v>1.98</v>
      </c>
      <c r="DY81" s="20">
        <v>19.100000000000001</v>
      </c>
      <c r="DZ81" s="8">
        <v>1.9</v>
      </c>
      <c r="EA81" s="8">
        <v>15</v>
      </c>
      <c r="EB81" s="8">
        <v>5</v>
      </c>
      <c r="EC81" s="8">
        <v>20</v>
      </c>
      <c r="ED81" s="8">
        <v>2</v>
      </c>
      <c r="EE81" s="8">
        <v>14</v>
      </c>
      <c r="EF81" s="8">
        <v>9</v>
      </c>
      <c r="EG81" s="8">
        <v>4</v>
      </c>
      <c r="EH81" s="8">
        <v>100</v>
      </c>
      <c r="EI81" s="8">
        <v>11</v>
      </c>
      <c r="EJ81" s="8">
        <v>8</v>
      </c>
      <c r="EK81" s="8">
        <f t="shared" si="205"/>
        <v>188</v>
      </c>
      <c r="EL81" s="9">
        <v>56</v>
      </c>
      <c r="EM81" s="8">
        <v>32</v>
      </c>
      <c r="EN81" s="10">
        <v>7.57</v>
      </c>
      <c r="EO81" s="10">
        <v>2.48</v>
      </c>
      <c r="EP81" s="11">
        <v>69.099999999999994</v>
      </c>
      <c r="EQ81" s="10">
        <v>26.4</v>
      </c>
      <c r="ER81" s="10">
        <v>2.17</v>
      </c>
      <c r="ES81" s="8" t="s">
        <v>117</v>
      </c>
      <c r="ET81" s="8"/>
      <c r="EU81" s="8"/>
      <c r="EV81" s="8"/>
      <c r="EW81" s="8">
        <f t="shared" si="193"/>
        <v>0</v>
      </c>
      <c r="EX81" s="23"/>
      <c r="EY81" s="342"/>
    </row>
    <row r="82" spans="1:155" ht="17.100000000000001" customHeight="1">
      <c r="A82" s="174"/>
      <c r="B82" s="397" t="s">
        <v>263</v>
      </c>
      <c r="C82" s="202" t="s">
        <v>96</v>
      </c>
      <c r="D82" s="317" t="e">
        <f t="shared" si="151"/>
        <v>#DIV/0!</v>
      </c>
      <c r="E82" s="320" t="e">
        <f t="shared" si="152"/>
        <v>#DIV/0!</v>
      </c>
      <c r="F82" s="320" t="e">
        <f t="shared" si="153"/>
        <v>#DIV/0!</v>
      </c>
      <c r="G82" s="323" t="e">
        <f t="shared" si="154"/>
        <v>#DIV/0!</v>
      </c>
      <c r="H82" s="306"/>
      <c r="I82" s="309"/>
      <c r="J82" s="309"/>
      <c r="K82" s="309"/>
      <c r="L82" s="309"/>
      <c r="M82" s="309"/>
      <c r="N82" s="309"/>
      <c r="O82" s="309"/>
      <c r="P82" s="211"/>
      <c r="Q82" s="214"/>
      <c r="R82" s="306"/>
      <c r="S82" s="309"/>
      <c r="T82" s="309"/>
      <c r="U82" s="309"/>
      <c r="V82" s="309"/>
      <c r="W82" s="309"/>
      <c r="X82" s="336"/>
      <c r="Y82" s="306"/>
      <c r="Z82" s="309"/>
      <c r="AA82" s="309"/>
      <c r="AB82" s="309"/>
      <c r="AC82" s="309"/>
      <c r="AD82" s="309"/>
      <c r="AE82" s="336"/>
      <c r="AF82" s="306"/>
      <c r="AG82" s="211"/>
      <c r="AH82" s="211"/>
      <c r="AI82" s="211"/>
      <c r="AJ82" s="211"/>
      <c r="AK82" s="211"/>
      <c r="AL82" s="214"/>
      <c r="AM82" s="333"/>
      <c r="AN82" s="211"/>
      <c r="AO82" s="211"/>
      <c r="AP82" s="211"/>
      <c r="AQ82" s="211"/>
      <c r="AR82" s="211"/>
      <c r="AS82" s="211"/>
      <c r="AT82" s="333"/>
      <c r="AU82" s="211"/>
      <c r="AV82" s="309"/>
      <c r="AW82" s="211"/>
      <c r="AX82" s="211"/>
      <c r="AY82" s="309"/>
      <c r="AZ82" s="336"/>
      <c r="BA82" s="333"/>
      <c r="BB82" s="333"/>
      <c r="BC82" s="333"/>
      <c r="BD82" s="333"/>
      <c r="BE82" s="333"/>
      <c r="BF82" s="333"/>
      <c r="BG82" s="333"/>
      <c r="BH82" s="333"/>
      <c r="BI82" s="211"/>
      <c r="BJ82" s="211"/>
      <c r="BK82" s="211"/>
      <c r="BL82" s="211"/>
      <c r="BM82" s="211"/>
      <c r="BN82" s="214"/>
      <c r="BO82" s="196">
        <v>78</v>
      </c>
      <c r="BP82" s="196">
        <v>0.68700000000000006</v>
      </c>
      <c r="BQ82" s="196">
        <v>4.28</v>
      </c>
      <c r="BR82" s="196">
        <v>72.400000000000006</v>
      </c>
      <c r="BS82" s="339">
        <v>0.58399999999999996</v>
      </c>
      <c r="BT82" s="196">
        <v>4.13</v>
      </c>
      <c r="BU82" s="355">
        <v>6.9</v>
      </c>
      <c r="BV82" s="355">
        <v>1.49</v>
      </c>
      <c r="BW82" s="355">
        <v>1340</v>
      </c>
      <c r="BX82" s="355">
        <v>5.3</v>
      </c>
      <c r="BY82" s="355">
        <v>7.53</v>
      </c>
      <c r="BZ82" s="355">
        <v>6500</v>
      </c>
      <c r="CA82" s="355">
        <v>6.94</v>
      </c>
      <c r="CB82" s="355">
        <v>1.43</v>
      </c>
      <c r="CC82" s="355">
        <v>1200</v>
      </c>
      <c r="CD82" s="355">
        <v>6.78</v>
      </c>
      <c r="CE82" s="355">
        <v>5.17</v>
      </c>
      <c r="CF82" s="355">
        <v>4800</v>
      </c>
      <c r="CG82" s="355">
        <v>7.05</v>
      </c>
      <c r="CH82" s="355">
        <v>1.34</v>
      </c>
      <c r="CI82" s="355">
        <v>1000</v>
      </c>
      <c r="CJ82" s="355">
        <v>6.85</v>
      </c>
      <c r="CK82" s="355">
        <v>3.05</v>
      </c>
      <c r="CL82" s="355">
        <v>3000</v>
      </c>
      <c r="CM82" s="205"/>
      <c r="CN82" s="205"/>
      <c r="CO82" s="13">
        <v>6</v>
      </c>
      <c r="CP82" s="10">
        <v>8.02</v>
      </c>
      <c r="CQ82" s="10">
        <v>1.64</v>
      </c>
      <c r="CR82" s="11">
        <v>76.8</v>
      </c>
      <c r="CS82" s="10">
        <v>20.8</v>
      </c>
      <c r="CT82" s="10">
        <v>1.61</v>
      </c>
      <c r="CU82" s="12">
        <v>24.5</v>
      </c>
      <c r="CV82" s="8">
        <v>2.9</v>
      </c>
      <c r="CW82" s="8">
        <v>24</v>
      </c>
      <c r="CX82" s="8">
        <v>34</v>
      </c>
      <c r="CY82" s="13">
        <v>1</v>
      </c>
      <c r="CZ82" s="10">
        <v>8.2100000000000009</v>
      </c>
      <c r="DA82" s="10">
        <v>1.83</v>
      </c>
      <c r="DB82" s="11">
        <v>76</v>
      </c>
      <c r="DC82" s="10">
        <v>22</v>
      </c>
      <c r="DD82" s="10">
        <v>1.78</v>
      </c>
      <c r="DE82" s="20">
        <v>21.9</v>
      </c>
      <c r="DF82" s="8">
        <v>2.6</v>
      </c>
      <c r="DG82" s="8">
        <v>14</v>
      </c>
      <c r="DH82" s="8">
        <v>36</v>
      </c>
      <c r="DI82" s="23"/>
      <c r="DJ82" s="21"/>
      <c r="DK82" s="21"/>
      <c r="DL82" s="22"/>
      <c r="DM82" s="21"/>
      <c r="DN82" s="21"/>
      <c r="DO82" s="23"/>
      <c r="DP82" s="23"/>
      <c r="DQ82" s="23"/>
      <c r="DR82" s="23"/>
      <c r="DS82" s="19">
        <v>9</v>
      </c>
      <c r="DT82" s="10">
        <v>8.16</v>
      </c>
      <c r="DU82" s="10">
        <v>1.79</v>
      </c>
      <c r="DV82" s="11">
        <v>75</v>
      </c>
      <c r="DW82" s="10">
        <v>24</v>
      </c>
      <c r="DX82" s="10">
        <v>1.96</v>
      </c>
      <c r="DY82" s="20">
        <v>19.3</v>
      </c>
      <c r="DZ82" s="8">
        <v>1.9</v>
      </c>
      <c r="EA82" s="8">
        <v>6</v>
      </c>
      <c r="EB82" s="8">
        <v>14</v>
      </c>
      <c r="EC82" s="8">
        <v>16</v>
      </c>
      <c r="ED82" s="8">
        <v>0</v>
      </c>
      <c r="EE82" s="8">
        <v>11</v>
      </c>
      <c r="EF82" s="8">
        <v>8</v>
      </c>
      <c r="EG82" s="8">
        <v>5</v>
      </c>
      <c r="EH82" s="8">
        <v>84</v>
      </c>
      <c r="EI82" s="8">
        <v>16</v>
      </c>
      <c r="EJ82" s="8">
        <v>4</v>
      </c>
      <c r="EK82" s="8">
        <f t="shared" si="205"/>
        <v>164</v>
      </c>
      <c r="EL82" s="9">
        <v>57</v>
      </c>
      <c r="EM82" s="8">
        <v>30</v>
      </c>
      <c r="EN82" s="10">
        <v>7.66</v>
      </c>
      <c r="EO82" s="10">
        <v>2.5299999999999998</v>
      </c>
      <c r="EP82" s="11">
        <v>69.8</v>
      </c>
      <c r="EQ82" s="10">
        <v>28.2</v>
      </c>
      <c r="ER82" s="10">
        <v>2.2599999999999998</v>
      </c>
      <c r="ES82" s="8" t="s">
        <v>165</v>
      </c>
      <c r="ET82" s="8">
        <v>3214</v>
      </c>
      <c r="EU82" s="8">
        <v>2311</v>
      </c>
      <c r="EV82" s="8"/>
      <c r="EW82" s="8">
        <f t="shared" si="193"/>
        <v>5525</v>
      </c>
      <c r="EX82" s="23">
        <v>50</v>
      </c>
      <c r="EY82" s="342"/>
    </row>
    <row r="83" spans="1:155" s="401" customFormat="1" ht="17.100000000000001" customHeight="1" thickBot="1">
      <c r="A83" s="175"/>
      <c r="B83" s="400" t="s">
        <v>263</v>
      </c>
      <c r="C83" s="203" t="s">
        <v>96</v>
      </c>
      <c r="D83" s="318" t="e">
        <f t="shared" si="151"/>
        <v>#DIV/0!</v>
      </c>
      <c r="E83" s="321" t="e">
        <f t="shared" si="152"/>
        <v>#DIV/0!</v>
      </c>
      <c r="F83" s="321" t="e">
        <f t="shared" si="153"/>
        <v>#DIV/0!</v>
      </c>
      <c r="G83" s="324" t="e">
        <f t="shared" si="154"/>
        <v>#DIV/0!</v>
      </c>
      <c r="H83" s="307"/>
      <c r="I83" s="310"/>
      <c r="J83" s="310"/>
      <c r="K83" s="310"/>
      <c r="L83" s="310"/>
      <c r="M83" s="310"/>
      <c r="N83" s="310"/>
      <c r="O83" s="310"/>
      <c r="P83" s="302"/>
      <c r="Q83" s="304"/>
      <c r="R83" s="307"/>
      <c r="S83" s="310"/>
      <c r="T83" s="310"/>
      <c r="U83" s="310"/>
      <c r="V83" s="310"/>
      <c r="W83" s="310"/>
      <c r="X83" s="337"/>
      <c r="Y83" s="307"/>
      <c r="Z83" s="310"/>
      <c r="AA83" s="310"/>
      <c r="AB83" s="310"/>
      <c r="AC83" s="310"/>
      <c r="AD83" s="310"/>
      <c r="AE83" s="337"/>
      <c r="AF83" s="307"/>
      <c r="AG83" s="302"/>
      <c r="AH83" s="302"/>
      <c r="AI83" s="302"/>
      <c r="AJ83" s="302"/>
      <c r="AK83" s="302"/>
      <c r="AL83" s="304"/>
      <c r="AM83" s="334"/>
      <c r="AN83" s="302"/>
      <c r="AO83" s="302"/>
      <c r="AP83" s="302"/>
      <c r="AQ83" s="302"/>
      <c r="AR83" s="302"/>
      <c r="AS83" s="302"/>
      <c r="AT83" s="334"/>
      <c r="AU83" s="302"/>
      <c r="AV83" s="310"/>
      <c r="AW83" s="302"/>
      <c r="AX83" s="302"/>
      <c r="AY83" s="310"/>
      <c r="AZ83" s="337"/>
      <c r="BA83" s="334"/>
      <c r="BB83" s="334"/>
      <c r="BC83" s="334"/>
      <c r="BD83" s="334"/>
      <c r="BE83" s="334"/>
      <c r="BF83" s="334"/>
      <c r="BG83" s="334"/>
      <c r="BH83" s="334"/>
      <c r="BI83" s="302"/>
      <c r="BJ83" s="302"/>
      <c r="BK83" s="302"/>
      <c r="BL83" s="302"/>
      <c r="BM83" s="302"/>
      <c r="BN83" s="304"/>
      <c r="BO83" s="217">
        <v>70</v>
      </c>
      <c r="BP83" s="217">
        <v>2.4500000000000002</v>
      </c>
      <c r="BQ83" s="217">
        <v>7.45</v>
      </c>
      <c r="BR83" s="217">
        <v>71.599999999999994</v>
      </c>
      <c r="BS83" s="340">
        <v>1.08</v>
      </c>
      <c r="BT83" s="217">
        <v>8.01</v>
      </c>
      <c r="BU83" s="312">
        <v>6.9</v>
      </c>
      <c r="BV83" s="312">
        <v>1.49</v>
      </c>
      <c r="BW83" s="312">
        <v>1340</v>
      </c>
      <c r="BX83" s="312">
        <v>5.3</v>
      </c>
      <c r="BY83" s="312">
        <v>7.53</v>
      </c>
      <c r="BZ83" s="312">
        <v>6500</v>
      </c>
      <c r="CA83" s="312">
        <v>6.94</v>
      </c>
      <c r="CB83" s="312">
        <v>1.43</v>
      </c>
      <c r="CC83" s="312">
        <v>1200</v>
      </c>
      <c r="CD83" s="312">
        <v>6.78</v>
      </c>
      <c r="CE83" s="312">
        <v>5.17</v>
      </c>
      <c r="CF83" s="312">
        <v>4800</v>
      </c>
      <c r="CG83" s="312">
        <v>7.05</v>
      </c>
      <c r="CH83" s="312">
        <v>1.34</v>
      </c>
      <c r="CI83" s="312">
        <v>1000</v>
      </c>
      <c r="CJ83" s="312">
        <v>6.85</v>
      </c>
      <c r="CK83" s="312">
        <v>3.05</v>
      </c>
      <c r="CL83" s="312">
        <v>3000</v>
      </c>
      <c r="CM83" s="221"/>
      <c r="CN83" s="221"/>
      <c r="CV83" s="116"/>
      <c r="CW83" s="116"/>
      <c r="CX83" s="116"/>
      <c r="DF83" s="116"/>
      <c r="DG83" s="116"/>
      <c r="DH83" s="116"/>
      <c r="DI83" s="101"/>
      <c r="DJ83" s="99"/>
      <c r="DK83" s="99"/>
      <c r="DL83" s="100"/>
      <c r="DM83" s="99"/>
      <c r="DN83" s="99"/>
      <c r="DO83" s="101"/>
      <c r="DP83" s="101"/>
      <c r="DQ83" s="101"/>
      <c r="DR83" s="101"/>
      <c r="DS83" s="105"/>
      <c r="DT83" s="99"/>
      <c r="DU83" s="99"/>
      <c r="DV83" s="100"/>
      <c r="DW83" s="99"/>
      <c r="DX83" s="99"/>
      <c r="DY83" s="104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6" t="s">
        <v>169</v>
      </c>
      <c r="EM83" s="102">
        <v>57</v>
      </c>
      <c r="EN83" s="107">
        <v>7.47</v>
      </c>
      <c r="EO83" s="107">
        <v>2.29</v>
      </c>
      <c r="EP83" s="108">
        <v>70</v>
      </c>
      <c r="EQ83" s="107">
        <v>26.8</v>
      </c>
      <c r="ER83" s="107">
        <v>2.2400000000000002</v>
      </c>
      <c r="ES83" s="102" t="s">
        <v>131</v>
      </c>
      <c r="ET83" s="102">
        <v>5302</v>
      </c>
      <c r="EU83" s="102">
        <v>2275</v>
      </c>
      <c r="EV83" s="102">
        <v>0</v>
      </c>
      <c r="EW83" s="102">
        <f t="shared" si="193"/>
        <v>7577</v>
      </c>
      <c r="EX83" s="101">
        <v>50</v>
      </c>
      <c r="EY83" s="343"/>
    </row>
    <row r="84" spans="1:155" s="398" customFormat="1" ht="17.100000000000001" customHeight="1">
      <c r="A84" s="173">
        <v>20</v>
      </c>
      <c r="B84" s="397" t="s">
        <v>264</v>
      </c>
      <c r="C84" s="201" t="s">
        <v>90</v>
      </c>
      <c r="D84" s="316">
        <f t="shared" si="151"/>
        <v>85.972850678733025</v>
      </c>
      <c r="E84" s="319">
        <f t="shared" si="152"/>
        <v>14.027149321266968</v>
      </c>
      <c r="F84" s="319">
        <f t="shared" si="153"/>
        <v>0</v>
      </c>
      <c r="G84" s="322">
        <f t="shared" si="154"/>
        <v>0</v>
      </c>
      <c r="H84" s="305">
        <v>0</v>
      </c>
      <c r="I84" s="308">
        <v>19</v>
      </c>
      <c r="J84" s="308">
        <v>3.1</v>
      </c>
      <c r="K84" s="308">
        <v>0</v>
      </c>
      <c r="L84" s="308">
        <v>0</v>
      </c>
      <c r="M84" s="308">
        <v>6.5</v>
      </c>
      <c r="N84" s="308">
        <v>1.5</v>
      </c>
      <c r="O84" s="308">
        <v>0</v>
      </c>
      <c r="P84" s="301"/>
      <c r="Q84" s="303"/>
      <c r="R84" s="305">
        <v>0</v>
      </c>
      <c r="S84" s="308">
        <v>1.1200000000000001</v>
      </c>
      <c r="T84" s="308">
        <v>0.32</v>
      </c>
      <c r="U84" s="308">
        <v>0</v>
      </c>
      <c r="V84" s="308">
        <v>0</v>
      </c>
      <c r="W84" s="308">
        <v>3.42</v>
      </c>
      <c r="X84" s="335">
        <v>20.5</v>
      </c>
      <c r="Y84" s="305">
        <f t="shared" ref="Y84:AD84" si="207">H84*R84*10</f>
        <v>0</v>
      </c>
      <c r="Z84" s="308">
        <f t="shared" si="207"/>
        <v>212.8</v>
      </c>
      <c r="AA84" s="308">
        <f t="shared" si="207"/>
        <v>9.9200000000000017</v>
      </c>
      <c r="AB84" s="308">
        <f t="shared" si="207"/>
        <v>0</v>
      </c>
      <c r="AC84" s="308">
        <f t="shared" si="207"/>
        <v>0</v>
      </c>
      <c r="AD84" s="308">
        <f t="shared" si="207"/>
        <v>222.3</v>
      </c>
      <c r="AE84" s="335">
        <f>O84*X84*10</f>
        <v>0</v>
      </c>
      <c r="AF84" s="305">
        <v>0</v>
      </c>
      <c r="AG84" s="301">
        <v>13.3</v>
      </c>
      <c r="AH84" s="301">
        <v>1.4</v>
      </c>
      <c r="AI84" s="301">
        <v>0</v>
      </c>
      <c r="AJ84" s="301">
        <v>0</v>
      </c>
      <c r="AK84" s="301">
        <v>29.8</v>
      </c>
      <c r="AL84" s="303">
        <v>85.3</v>
      </c>
      <c r="AM84" s="332">
        <f t="shared" ref="AM84" si="208">AF84*H84*10</f>
        <v>0</v>
      </c>
      <c r="AN84" s="301">
        <f>AG84*I84*10</f>
        <v>2527</v>
      </c>
      <c r="AO84" s="301">
        <f t="shared" ref="AO84:AS84" si="209">AH84*J84*10</f>
        <v>43.4</v>
      </c>
      <c r="AP84" s="301">
        <f t="shared" si="209"/>
        <v>0</v>
      </c>
      <c r="AQ84" s="301">
        <f t="shared" si="209"/>
        <v>0</v>
      </c>
      <c r="AR84" s="301">
        <f t="shared" si="209"/>
        <v>1937.0000000000002</v>
      </c>
      <c r="AS84" s="301">
        <f t="shared" si="209"/>
        <v>1279.5</v>
      </c>
      <c r="AT84" s="332">
        <v>0</v>
      </c>
      <c r="AU84" s="301">
        <v>13.7</v>
      </c>
      <c r="AV84" s="308">
        <v>58.6</v>
      </c>
      <c r="AW84" s="301">
        <v>0</v>
      </c>
      <c r="AX84" s="301">
        <v>0</v>
      </c>
      <c r="AY84" s="308">
        <v>19.2</v>
      </c>
      <c r="AZ84" s="335">
        <v>27.6</v>
      </c>
      <c r="BA84" s="332">
        <f t="shared" ref="BA84:BG84" si="210">(H84*3*1000)/(1-AT84/100)</f>
        <v>0</v>
      </c>
      <c r="BB84" s="332">
        <f t="shared" si="210"/>
        <v>66048.6674391657</v>
      </c>
      <c r="BC84" s="332">
        <f t="shared" si="210"/>
        <v>22463.768115942028</v>
      </c>
      <c r="BD84" s="332">
        <f t="shared" si="210"/>
        <v>0</v>
      </c>
      <c r="BE84" s="332">
        <f t="shared" si="210"/>
        <v>0</v>
      </c>
      <c r="BF84" s="332">
        <f t="shared" si="210"/>
        <v>24133.663366336634</v>
      </c>
      <c r="BG84" s="332">
        <f t="shared" si="210"/>
        <v>6215.4696132596691</v>
      </c>
      <c r="BH84" s="332">
        <f t="shared" ref="BH84" si="211">H84+I84+J84+K84+L84</f>
        <v>22.1</v>
      </c>
      <c r="BI84" s="301">
        <f t="shared" ref="BI84" si="212">M84+N84+O84</f>
        <v>8</v>
      </c>
      <c r="BJ84" s="301">
        <f t="shared" ref="BJ84" si="213">BH84+BI84</f>
        <v>30.1</v>
      </c>
      <c r="BK84" s="301">
        <f t="shared" ref="BK84" si="214">Y84+Z84+AA84+AB84+AC84+AD84+AE84</f>
        <v>445.02000000000004</v>
      </c>
      <c r="BL84" s="301">
        <f t="shared" ref="BL84" si="215">AM84+AN84+AO84+AP84+AQ84+AR84+AS84</f>
        <v>5786.9000000000005</v>
      </c>
      <c r="BM84" s="301">
        <f t="shared" ref="BM84" si="216">BJ84*3*1000</f>
        <v>90300.000000000015</v>
      </c>
      <c r="BN84" s="303">
        <f t="shared" ref="BN84" si="217">BA84+BB84+BC84+BD84+BE84+BF84+BG84</f>
        <v>118861.56853470404</v>
      </c>
      <c r="BO84" s="216">
        <v>74.599999999999994</v>
      </c>
      <c r="BP84" s="216">
        <v>0.44600000000000001</v>
      </c>
      <c r="BQ84" s="216">
        <v>4.13</v>
      </c>
      <c r="BR84" s="216">
        <v>74</v>
      </c>
      <c r="BS84" s="338">
        <v>0.67200000000000004</v>
      </c>
      <c r="BT84" s="216">
        <v>5.03</v>
      </c>
      <c r="BU84" s="354">
        <v>6.94</v>
      </c>
      <c r="BV84" s="354">
        <v>1.48</v>
      </c>
      <c r="BW84" s="354">
        <v>1240</v>
      </c>
      <c r="BX84" s="354">
        <v>6.09</v>
      </c>
      <c r="BY84" s="354">
        <v>7.3</v>
      </c>
      <c r="BZ84" s="354">
        <v>6200</v>
      </c>
      <c r="CA84" s="354">
        <v>7.2</v>
      </c>
      <c r="CB84" s="354">
        <v>1.45</v>
      </c>
      <c r="CC84" s="354">
        <v>1150</v>
      </c>
      <c r="CD84" s="354">
        <v>6.88</v>
      </c>
      <c r="CE84" s="354">
        <v>5.54</v>
      </c>
      <c r="CF84" s="354">
        <v>4700</v>
      </c>
      <c r="CG84" s="354">
        <v>7</v>
      </c>
      <c r="CH84" s="354">
        <v>1.48</v>
      </c>
      <c r="CI84" s="354">
        <v>1200</v>
      </c>
      <c r="CJ84" s="354">
        <v>6.8</v>
      </c>
      <c r="CK84" s="354">
        <v>3</v>
      </c>
      <c r="CL84" s="354">
        <v>2900</v>
      </c>
      <c r="CM84" s="220">
        <v>77.8</v>
      </c>
      <c r="CN84" s="220">
        <v>76.900000000000006</v>
      </c>
      <c r="CO84" s="75">
        <v>10</v>
      </c>
      <c r="CP84" s="76">
        <v>8.19</v>
      </c>
      <c r="CQ84" s="76">
        <v>1.72</v>
      </c>
      <c r="CR84" s="77">
        <v>77.400000000000006</v>
      </c>
      <c r="CS84" s="76">
        <v>19.5</v>
      </c>
      <c r="CT84" s="76">
        <v>1.62</v>
      </c>
      <c r="CU84" s="78">
        <v>24.8</v>
      </c>
      <c r="CV84" s="79">
        <v>2.9</v>
      </c>
      <c r="CW84" s="79">
        <v>9</v>
      </c>
      <c r="CX84" s="79">
        <v>44</v>
      </c>
      <c r="CY84" s="75">
        <v>7</v>
      </c>
      <c r="CZ84" s="76">
        <v>7.75</v>
      </c>
      <c r="DA84" s="76">
        <v>1.59</v>
      </c>
      <c r="DB84" s="80">
        <v>76.3</v>
      </c>
      <c r="DC84" s="81">
        <v>22.2</v>
      </c>
      <c r="DD84" s="81">
        <v>1.75</v>
      </c>
      <c r="DE84" s="82" t="s">
        <v>128</v>
      </c>
      <c r="DF84" s="79">
        <v>2.7</v>
      </c>
      <c r="DG84" s="79">
        <v>13</v>
      </c>
      <c r="DH84" s="79">
        <v>45</v>
      </c>
      <c r="DI84" s="121"/>
      <c r="DJ84" s="122"/>
      <c r="DK84" s="122"/>
      <c r="DL84" s="123"/>
      <c r="DM84" s="122"/>
      <c r="DN84" s="122"/>
      <c r="DO84" s="121"/>
      <c r="DP84" s="79"/>
      <c r="DQ84" s="79"/>
      <c r="DR84" s="79"/>
      <c r="DS84" s="85">
        <v>1</v>
      </c>
      <c r="DT84" s="76">
        <v>8.15</v>
      </c>
      <c r="DU84" s="76">
        <v>1.78</v>
      </c>
      <c r="DV84" s="77">
        <v>75.599999999999994</v>
      </c>
      <c r="DW84" s="76">
        <v>24.4</v>
      </c>
      <c r="DX84" s="76">
        <v>1.86</v>
      </c>
      <c r="DY84" s="86">
        <v>20.3</v>
      </c>
      <c r="DZ84" s="79">
        <v>2.15</v>
      </c>
      <c r="EA84" s="79">
        <v>5</v>
      </c>
      <c r="EB84" s="79">
        <v>15</v>
      </c>
      <c r="EC84" s="79">
        <v>11</v>
      </c>
      <c r="ED84" s="79">
        <v>1</v>
      </c>
      <c r="EE84" s="79">
        <v>10</v>
      </c>
      <c r="EF84" s="79">
        <v>12</v>
      </c>
      <c r="EG84" s="79">
        <v>2</v>
      </c>
      <c r="EH84" s="79">
        <v>81</v>
      </c>
      <c r="EI84" s="79">
        <v>16</v>
      </c>
      <c r="EJ84" s="79">
        <v>0</v>
      </c>
      <c r="EK84" s="79">
        <f t="shared" ref="EK84:EK86" si="218">EA84+EB84+EC84+ED84+EE84+EF84+EG84+EH84+EI84+EJ84</f>
        <v>153</v>
      </c>
      <c r="EL84" s="87">
        <v>58</v>
      </c>
      <c r="EM84" s="79">
        <v>43</v>
      </c>
      <c r="EN84" s="76">
        <v>7.79</v>
      </c>
      <c r="EO84" s="76">
        <v>2.2400000000000002</v>
      </c>
      <c r="EP84" s="77">
        <v>70.400000000000006</v>
      </c>
      <c r="EQ84" s="76">
        <v>27.3</v>
      </c>
      <c r="ER84" s="76">
        <v>2.2599999999999998</v>
      </c>
      <c r="ES84" s="79" t="s">
        <v>94</v>
      </c>
      <c r="ET84" s="79">
        <v>5105</v>
      </c>
      <c r="EU84" s="79">
        <v>2264</v>
      </c>
      <c r="EV84" s="79"/>
      <c r="EW84" s="79">
        <f t="shared" si="193"/>
        <v>7369</v>
      </c>
      <c r="EX84" s="121">
        <v>51</v>
      </c>
      <c r="EY84" s="341">
        <f t="shared" ref="EY84:EY88" si="219">EW84+EW85+EW86+EW87</f>
        <v>7369</v>
      </c>
    </row>
    <row r="85" spans="1:155" ht="17.100000000000001" customHeight="1">
      <c r="A85" s="174"/>
      <c r="B85" s="397" t="s">
        <v>264</v>
      </c>
      <c r="C85" s="202" t="s">
        <v>90</v>
      </c>
      <c r="D85" s="317" t="e">
        <f t="shared" si="151"/>
        <v>#DIV/0!</v>
      </c>
      <c r="E85" s="320" t="e">
        <f t="shared" si="152"/>
        <v>#DIV/0!</v>
      </c>
      <c r="F85" s="320" t="e">
        <f t="shared" si="153"/>
        <v>#DIV/0!</v>
      </c>
      <c r="G85" s="323" t="e">
        <f t="shared" si="154"/>
        <v>#DIV/0!</v>
      </c>
      <c r="H85" s="306"/>
      <c r="I85" s="309"/>
      <c r="J85" s="309"/>
      <c r="K85" s="309"/>
      <c r="L85" s="309"/>
      <c r="M85" s="309"/>
      <c r="N85" s="309"/>
      <c r="O85" s="309"/>
      <c r="P85" s="211"/>
      <c r="Q85" s="214"/>
      <c r="R85" s="306"/>
      <c r="S85" s="309"/>
      <c r="T85" s="309"/>
      <c r="U85" s="309"/>
      <c r="V85" s="309"/>
      <c r="W85" s="309"/>
      <c r="X85" s="336"/>
      <c r="Y85" s="306"/>
      <c r="Z85" s="309"/>
      <c r="AA85" s="309"/>
      <c r="AB85" s="309"/>
      <c r="AC85" s="309"/>
      <c r="AD85" s="309"/>
      <c r="AE85" s="336"/>
      <c r="AF85" s="306"/>
      <c r="AG85" s="211"/>
      <c r="AH85" s="211"/>
      <c r="AI85" s="211"/>
      <c r="AJ85" s="211"/>
      <c r="AK85" s="211"/>
      <c r="AL85" s="214"/>
      <c r="AM85" s="333"/>
      <c r="AN85" s="211"/>
      <c r="AO85" s="211"/>
      <c r="AP85" s="211"/>
      <c r="AQ85" s="211"/>
      <c r="AR85" s="211"/>
      <c r="AS85" s="211"/>
      <c r="AT85" s="333"/>
      <c r="AU85" s="211"/>
      <c r="AV85" s="309"/>
      <c r="AW85" s="211"/>
      <c r="AX85" s="211"/>
      <c r="AY85" s="309"/>
      <c r="AZ85" s="336"/>
      <c r="BA85" s="333"/>
      <c r="BB85" s="333"/>
      <c r="BC85" s="333"/>
      <c r="BD85" s="333"/>
      <c r="BE85" s="333"/>
      <c r="BF85" s="333"/>
      <c r="BG85" s="333"/>
      <c r="BH85" s="333"/>
      <c r="BI85" s="211"/>
      <c r="BJ85" s="211"/>
      <c r="BK85" s="211"/>
      <c r="BL85" s="211"/>
      <c r="BM85" s="211"/>
      <c r="BN85" s="214"/>
      <c r="BO85" s="196">
        <v>78</v>
      </c>
      <c r="BP85" s="196">
        <v>0.68700000000000006</v>
      </c>
      <c r="BQ85" s="196">
        <v>4.28</v>
      </c>
      <c r="BR85" s="196">
        <v>72.400000000000006</v>
      </c>
      <c r="BS85" s="339">
        <v>0.58399999999999996</v>
      </c>
      <c r="BT85" s="196">
        <v>4.13</v>
      </c>
      <c r="BU85" s="355">
        <v>6.94</v>
      </c>
      <c r="BV85" s="355">
        <v>1.48</v>
      </c>
      <c r="BW85" s="355">
        <v>1.24</v>
      </c>
      <c r="BX85" s="355">
        <v>6.09</v>
      </c>
      <c r="BY85" s="355">
        <v>7.3</v>
      </c>
      <c r="BZ85" s="355">
        <v>6200</v>
      </c>
      <c r="CA85" s="355">
        <v>7.2</v>
      </c>
      <c r="CB85" s="355">
        <v>1.45</v>
      </c>
      <c r="CC85" s="355">
        <v>1150</v>
      </c>
      <c r="CD85" s="355">
        <v>6.88</v>
      </c>
      <c r="CE85" s="355">
        <v>5.54</v>
      </c>
      <c r="CF85" s="355">
        <v>4700</v>
      </c>
      <c r="CG85" s="355">
        <v>7</v>
      </c>
      <c r="CH85" s="355">
        <v>1.48</v>
      </c>
      <c r="CI85" s="355">
        <v>1200</v>
      </c>
      <c r="CJ85" s="355">
        <v>6.8</v>
      </c>
      <c r="CK85" s="355">
        <v>3</v>
      </c>
      <c r="CL85" s="355">
        <v>2900</v>
      </c>
      <c r="CM85" s="205"/>
      <c r="CN85" s="205"/>
      <c r="CO85" s="13">
        <v>11</v>
      </c>
      <c r="CP85" s="10">
        <v>8.23</v>
      </c>
      <c r="CQ85" s="10">
        <v>1.66</v>
      </c>
      <c r="CR85" s="11">
        <v>77.099999999999994</v>
      </c>
      <c r="CS85" s="10">
        <v>20.2</v>
      </c>
      <c r="CT85" s="10">
        <v>1.6</v>
      </c>
      <c r="CU85" s="12">
        <v>24.9</v>
      </c>
      <c r="CV85" s="8">
        <v>2.9</v>
      </c>
      <c r="CW85" s="8">
        <v>22</v>
      </c>
      <c r="CX85" s="8">
        <v>48</v>
      </c>
      <c r="CY85" s="13">
        <v>8</v>
      </c>
      <c r="CZ85" s="10">
        <v>8.4499999999999993</v>
      </c>
      <c r="DA85" s="10">
        <v>1.55</v>
      </c>
      <c r="DB85" s="14">
        <v>75.8</v>
      </c>
      <c r="DC85" s="15">
        <v>22.2</v>
      </c>
      <c r="DD85" s="15">
        <v>1.76</v>
      </c>
      <c r="DE85" s="16" t="s">
        <v>170</v>
      </c>
      <c r="DF85" s="8">
        <v>2.6</v>
      </c>
      <c r="DG85" s="8">
        <v>14</v>
      </c>
      <c r="DH85" s="8">
        <v>48</v>
      </c>
      <c r="DI85" s="23"/>
      <c r="DJ85" s="21"/>
      <c r="DK85" s="21"/>
      <c r="DL85" s="22"/>
      <c r="DM85" s="21"/>
      <c r="DN85" s="21"/>
      <c r="DO85" s="23"/>
      <c r="DP85" s="23"/>
      <c r="DQ85" s="23"/>
      <c r="DR85" s="23"/>
      <c r="DS85" s="19">
        <v>8</v>
      </c>
      <c r="DT85" s="10">
        <v>7.97</v>
      </c>
      <c r="DU85" s="10">
        <v>1.83</v>
      </c>
      <c r="DV85" s="11">
        <v>75.5</v>
      </c>
      <c r="DW85" s="10">
        <v>23</v>
      </c>
      <c r="DX85" s="10">
        <v>1.91</v>
      </c>
      <c r="DY85" s="20">
        <v>20.100000000000001</v>
      </c>
      <c r="DZ85" s="8">
        <v>2.25</v>
      </c>
      <c r="EA85" s="8">
        <v>4</v>
      </c>
      <c r="EB85" s="8">
        <v>16</v>
      </c>
      <c r="EC85" s="8">
        <v>15</v>
      </c>
      <c r="ED85" s="8">
        <v>2</v>
      </c>
      <c r="EE85" s="8">
        <v>10</v>
      </c>
      <c r="EF85" s="8">
        <v>9</v>
      </c>
      <c r="EG85" s="8">
        <v>5</v>
      </c>
      <c r="EH85" s="8">
        <v>80</v>
      </c>
      <c r="EI85" s="8">
        <v>10</v>
      </c>
      <c r="EJ85" s="8">
        <v>0</v>
      </c>
      <c r="EK85" s="8">
        <f t="shared" si="218"/>
        <v>151</v>
      </c>
      <c r="EL85" s="9">
        <v>59</v>
      </c>
      <c r="EM85" s="8">
        <v>13</v>
      </c>
      <c r="EN85" s="10" t="s">
        <v>171</v>
      </c>
      <c r="EO85" s="10">
        <v>2.33</v>
      </c>
      <c r="EP85" s="11">
        <v>69.599999999999994</v>
      </c>
      <c r="EQ85" s="10">
        <v>27.1</v>
      </c>
      <c r="ER85" s="10">
        <v>2.1800000000000002</v>
      </c>
      <c r="ES85" s="8" t="s">
        <v>119</v>
      </c>
      <c r="ET85" s="8"/>
      <c r="EU85" s="8"/>
      <c r="EV85" s="8"/>
      <c r="EW85" s="8">
        <f t="shared" si="193"/>
        <v>0</v>
      </c>
      <c r="EX85" s="23"/>
      <c r="EY85" s="342"/>
    </row>
    <row r="86" spans="1:155" ht="17.100000000000001" customHeight="1">
      <c r="A86" s="174"/>
      <c r="B86" s="397" t="s">
        <v>264</v>
      </c>
      <c r="C86" s="202" t="s">
        <v>96</v>
      </c>
      <c r="D86" s="317" t="e">
        <f t="shared" si="151"/>
        <v>#DIV/0!</v>
      </c>
      <c r="E86" s="320" t="e">
        <f t="shared" si="152"/>
        <v>#DIV/0!</v>
      </c>
      <c r="F86" s="320" t="e">
        <f t="shared" si="153"/>
        <v>#DIV/0!</v>
      </c>
      <c r="G86" s="323" t="e">
        <f t="shared" si="154"/>
        <v>#DIV/0!</v>
      </c>
      <c r="H86" s="306"/>
      <c r="I86" s="309"/>
      <c r="J86" s="309"/>
      <c r="K86" s="309"/>
      <c r="L86" s="309"/>
      <c r="M86" s="309"/>
      <c r="N86" s="309"/>
      <c r="O86" s="309"/>
      <c r="P86" s="211"/>
      <c r="Q86" s="214"/>
      <c r="R86" s="306"/>
      <c r="S86" s="309"/>
      <c r="T86" s="309"/>
      <c r="U86" s="309"/>
      <c r="V86" s="309"/>
      <c r="W86" s="309"/>
      <c r="X86" s="336"/>
      <c r="Y86" s="306"/>
      <c r="Z86" s="309"/>
      <c r="AA86" s="309"/>
      <c r="AB86" s="309"/>
      <c r="AC86" s="309"/>
      <c r="AD86" s="309"/>
      <c r="AE86" s="336"/>
      <c r="AF86" s="306"/>
      <c r="AG86" s="211"/>
      <c r="AH86" s="211"/>
      <c r="AI86" s="211"/>
      <c r="AJ86" s="211"/>
      <c r="AK86" s="211"/>
      <c r="AL86" s="214"/>
      <c r="AM86" s="333"/>
      <c r="AN86" s="211"/>
      <c r="AO86" s="211"/>
      <c r="AP86" s="211"/>
      <c r="AQ86" s="211"/>
      <c r="AR86" s="211"/>
      <c r="AS86" s="211"/>
      <c r="AT86" s="333"/>
      <c r="AU86" s="211"/>
      <c r="AV86" s="309"/>
      <c r="AW86" s="211"/>
      <c r="AX86" s="211"/>
      <c r="AY86" s="309"/>
      <c r="AZ86" s="336"/>
      <c r="BA86" s="333"/>
      <c r="BB86" s="333"/>
      <c r="BC86" s="333"/>
      <c r="BD86" s="333"/>
      <c r="BE86" s="333"/>
      <c r="BF86" s="333"/>
      <c r="BG86" s="333"/>
      <c r="BH86" s="333"/>
      <c r="BI86" s="211"/>
      <c r="BJ86" s="211"/>
      <c r="BK86" s="211"/>
      <c r="BL86" s="211"/>
      <c r="BM86" s="211"/>
      <c r="BN86" s="214"/>
      <c r="BO86" s="196">
        <v>70</v>
      </c>
      <c r="BP86" s="196">
        <v>2.4500000000000002</v>
      </c>
      <c r="BQ86" s="196">
        <v>7.45</v>
      </c>
      <c r="BR86" s="196">
        <v>71.599999999999994</v>
      </c>
      <c r="BS86" s="339">
        <v>1.08</v>
      </c>
      <c r="BT86" s="196">
        <v>8.01</v>
      </c>
      <c r="BU86" s="355">
        <v>6.94</v>
      </c>
      <c r="BV86" s="355">
        <v>1.48</v>
      </c>
      <c r="BW86" s="355">
        <v>1.24</v>
      </c>
      <c r="BX86" s="355">
        <v>6.09</v>
      </c>
      <c r="BY86" s="355">
        <v>7.3</v>
      </c>
      <c r="BZ86" s="355">
        <v>6200</v>
      </c>
      <c r="CA86" s="355">
        <v>7.2</v>
      </c>
      <c r="CB86" s="355">
        <v>1.45</v>
      </c>
      <c r="CC86" s="355">
        <v>1150</v>
      </c>
      <c r="CD86" s="355">
        <v>6.88</v>
      </c>
      <c r="CE86" s="355">
        <v>5.54</v>
      </c>
      <c r="CF86" s="355">
        <v>4700</v>
      </c>
      <c r="CG86" s="355">
        <v>7</v>
      </c>
      <c r="CH86" s="355">
        <v>1.48</v>
      </c>
      <c r="CI86" s="355">
        <v>1200</v>
      </c>
      <c r="CJ86" s="355">
        <v>6.8</v>
      </c>
      <c r="CK86" s="355">
        <v>3</v>
      </c>
      <c r="CL86" s="355">
        <v>2900</v>
      </c>
      <c r="CM86" s="205"/>
      <c r="CN86" s="205"/>
      <c r="CO86" s="13">
        <v>9</v>
      </c>
      <c r="CP86" s="10">
        <v>8.2799999999999994</v>
      </c>
      <c r="CQ86" s="10">
        <v>1.66</v>
      </c>
      <c r="CR86" s="11">
        <v>77.3</v>
      </c>
      <c r="CS86" s="10">
        <v>22.2</v>
      </c>
      <c r="CT86" s="10">
        <v>1.75</v>
      </c>
      <c r="CU86" s="12">
        <v>22.2</v>
      </c>
      <c r="CV86" s="8">
        <v>2.9</v>
      </c>
      <c r="CW86" s="8">
        <v>19</v>
      </c>
      <c r="CX86" s="8">
        <v>51</v>
      </c>
      <c r="CY86" s="13">
        <v>1</v>
      </c>
      <c r="CZ86" s="10">
        <v>8.36</v>
      </c>
      <c r="DA86" s="10">
        <v>1.52</v>
      </c>
      <c r="DB86" s="14">
        <v>76</v>
      </c>
      <c r="DC86" s="15">
        <v>21.8</v>
      </c>
      <c r="DD86" s="15">
        <v>1.8</v>
      </c>
      <c r="DE86" s="16" t="s">
        <v>172</v>
      </c>
      <c r="DF86" s="8">
        <v>2.6</v>
      </c>
      <c r="DG86" s="8">
        <v>14</v>
      </c>
      <c r="DH86" s="8">
        <v>50</v>
      </c>
      <c r="DI86" s="23"/>
      <c r="DJ86" s="21"/>
      <c r="DK86" s="21"/>
      <c r="DL86" s="22"/>
      <c r="DM86" s="21"/>
      <c r="DN86" s="21"/>
      <c r="DO86" s="23"/>
      <c r="DP86" s="23"/>
      <c r="DQ86" s="23"/>
      <c r="DR86" s="23"/>
      <c r="DS86" s="19">
        <v>4</v>
      </c>
      <c r="DT86" s="10">
        <v>7.92</v>
      </c>
      <c r="DU86" s="10">
        <v>1.74</v>
      </c>
      <c r="DV86" s="11">
        <v>75.2</v>
      </c>
      <c r="DW86" s="10">
        <v>23.4</v>
      </c>
      <c r="DX86" s="10">
        <v>1.96</v>
      </c>
      <c r="DY86" s="20">
        <v>19.5</v>
      </c>
      <c r="DZ86" s="8">
        <v>2.2000000000000002</v>
      </c>
      <c r="EA86" s="8">
        <v>3</v>
      </c>
      <c r="EB86" s="8">
        <v>17</v>
      </c>
      <c r="EC86" s="8">
        <v>13</v>
      </c>
      <c r="ED86" s="8">
        <v>3</v>
      </c>
      <c r="EE86" s="8">
        <v>10</v>
      </c>
      <c r="EF86" s="8">
        <v>8</v>
      </c>
      <c r="EG86" s="8">
        <v>6</v>
      </c>
      <c r="EH86" s="8">
        <v>81</v>
      </c>
      <c r="EI86" s="8">
        <v>11</v>
      </c>
      <c r="EJ86" s="8">
        <v>15</v>
      </c>
      <c r="EK86" s="8">
        <f t="shared" si="218"/>
        <v>167</v>
      </c>
      <c r="EL86" s="9">
        <v>60</v>
      </c>
      <c r="EM86" s="8">
        <v>59</v>
      </c>
      <c r="EN86" s="10">
        <v>7.77</v>
      </c>
      <c r="EO86" s="10">
        <v>2.21</v>
      </c>
      <c r="EP86" s="11">
        <v>70.3</v>
      </c>
      <c r="EQ86" s="10">
        <v>26.6</v>
      </c>
      <c r="ER86" s="10">
        <v>2.2400000000000002</v>
      </c>
      <c r="ES86" s="8" t="s">
        <v>131</v>
      </c>
      <c r="ET86" s="8"/>
      <c r="EU86" s="8"/>
      <c r="EV86" s="8"/>
      <c r="EW86" s="8">
        <f t="shared" si="193"/>
        <v>0</v>
      </c>
      <c r="EX86" s="23"/>
      <c r="EY86" s="342"/>
    </row>
    <row r="87" spans="1:155" s="401" customFormat="1" ht="17.100000000000001" customHeight="1" thickBot="1">
      <c r="A87" s="175"/>
      <c r="B87" s="400" t="s">
        <v>264</v>
      </c>
      <c r="C87" s="203" t="s">
        <v>96</v>
      </c>
      <c r="D87" s="318" t="e">
        <f t="shared" si="151"/>
        <v>#DIV/0!</v>
      </c>
      <c r="E87" s="321" t="e">
        <f t="shared" si="152"/>
        <v>#DIV/0!</v>
      </c>
      <c r="F87" s="321" t="e">
        <f t="shared" si="153"/>
        <v>#DIV/0!</v>
      </c>
      <c r="G87" s="324" t="e">
        <f t="shared" si="154"/>
        <v>#DIV/0!</v>
      </c>
      <c r="H87" s="307"/>
      <c r="I87" s="310"/>
      <c r="J87" s="310"/>
      <c r="K87" s="310"/>
      <c r="L87" s="310"/>
      <c r="M87" s="310"/>
      <c r="N87" s="310"/>
      <c r="O87" s="310"/>
      <c r="P87" s="302"/>
      <c r="Q87" s="304"/>
      <c r="R87" s="307"/>
      <c r="S87" s="310"/>
      <c r="T87" s="310"/>
      <c r="U87" s="310"/>
      <c r="V87" s="310"/>
      <c r="W87" s="310"/>
      <c r="X87" s="337"/>
      <c r="Y87" s="307"/>
      <c r="Z87" s="310"/>
      <c r="AA87" s="310"/>
      <c r="AB87" s="310"/>
      <c r="AC87" s="310"/>
      <c r="AD87" s="310"/>
      <c r="AE87" s="337"/>
      <c r="AF87" s="307"/>
      <c r="AG87" s="302"/>
      <c r="AH87" s="302"/>
      <c r="AI87" s="302"/>
      <c r="AJ87" s="302"/>
      <c r="AK87" s="302"/>
      <c r="AL87" s="304"/>
      <c r="AM87" s="334"/>
      <c r="AN87" s="302"/>
      <c r="AO87" s="302"/>
      <c r="AP87" s="302"/>
      <c r="AQ87" s="302"/>
      <c r="AR87" s="302"/>
      <c r="AS87" s="302"/>
      <c r="AT87" s="334"/>
      <c r="AU87" s="302"/>
      <c r="AV87" s="310"/>
      <c r="AW87" s="302"/>
      <c r="AX87" s="302"/>
      <c r="AY87" s="310"/>
      <c r="AZ87" s="337"/>
      <c r="BA87" s="334"/>
      <c r="BB87" s="334"/>
      <c r="BC87" s="334"/>
      <c r="BD87" s="334"/>
      <c r="BE87" s="334"/>
      <c r="BF87" s="334"/>
      <c r="BG87" s="334"/>
      <c r="BH87" s="334"/>
      <c r="BI87" s="302"/>
      <c r="BJ87" s="302"/>
      <c r="BK87" s="302"/>
      <c r="BL87" s="302"/>
      <c r="BM87" s="302"/>
      <c r="BN87" s="304"/>
      <c r="BO87" s="217">
        <v>74.599999999999994</v>
      </c>
      <c r="BP87" s="217">
        <v>0.44600000000000001</v>
      </c>
      <c r="BQ87" s="217">
        <v>4.13</v>
      </c>
      <c r="BR87" s="217">
        <v>74</v>
      </c>
      <c r="BS87" s="340">
        <v>0.67200000000000004</v>
      </c>
      <c r="BT87" s="217">
        <v>5.03</v>
      </c>
      <c r="BU87" s="312">
        <v>6.94</v>
      </c>
      <c r="BV87" s="312">
        <v>1.48</v>
      </c>
      <c r="BW87" s="312">
        <v>1.24</v>
      </c>
      <c r="BX87" s="312">
        <v>6.09</v>
      </c>
      <c r="BY87" s="312">
        <v>7.3</v>
      </c>
      <c r="BZ87" s="312">
        <v>6200</v>
      </c>
      <c r="CA87" s="312">
        <v>7.2</v>
      </c>
      <c r="CB87" s="312">
        <v>1.45</v>
      </c>
      <c r="CC87" s="312">
        <v>1150</v>
      </c>
      <c r="CD87" s="312">
        <v>6.88</v>
      </c>
      <c r="CE87" s="312">
        <v>5.54</v>
      </c>
      <c r="CF87" s="312">
        <v>4700</v>
      </c>
      <c r="CG87" s="312">
        <v>7</v>
      </c>
      <c r="CH87" s="312">
        <v>1.48</v>
      </c>
      <c r="CI87" s="312">
        <v>1200</v>
      </c>
      <c r="CJ87" s="312">
        <v>6.8</v>
      </c>
      <c r="CK87" s="312">
        <v>3</v>
      </c>
      <c r="CL87" s="312">
        <v>2900</v>
      </c>
      <c r="CM87" s="221"/>
      <c r="CN87" s="221"/>
      <c r="CV87" s="116"/>
      <c r="CW87" s="116"/>
      <c r="CX87" s="116"/>
      <c r="DF87" s="116"/>
      <c r="DG87" s="116"/>
      <c r="DH87" s="116"/>
      <c r="DI87" s="101"/>
      <c r="DJ87" s="99"/>
      <c r="DK87" s="99"/>
      <c r="DL87" s="100"/>
      <c r="DM87" s="99"/>
      <c r="DN87" s="99"/>
      <c r="DO87" s="101"/>
      <c r="DP87" s="101"/>
      <c r="DQ87" s="101"/>
      <c r="DR87" s="101"/>
      <c r="DS87" s="105"/>
      <c r="DT87" s="99"/>
      <c r="DU87" s="99"/>
      <c r="DV87" s="100"/>
      <c r="DW87" s="99"/>
      <c r="DX87" s="99"/>
      <c r="DY87" s="104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6" t="s">
        <v>173</v>
      </c>
      <c r="EM87" s="102">
        <v>5</v>
      </c>
      <c r="EN87" s="107">
        <v>7.67</v>
      </c>
      <c r="EO87" s="107">
        <v>2.2999999999999998</v>
      </c>
      <c r="EP87" s="108">
        <v>70.099999999999994</v>
      </c>
      <c r="EQ87" s="107">
        <v>27.7</v>
      </c>
      <c r="ER87" s="107">
        <v>2.31</v>
      </c>
      <c r="ES87" s="102" t="s">
        <v>174</v>
      </c>
      <c r="ET87" s="102"/>
      <c r="EU87" s="102"/>
      <c r="EV87" s="102"/>
      <c r="EW87" s="102">
        <f t="shared" si="193"/>
        <v>0</v>
      </c>
      <c r="EX87" s="101"/>
      <c r="EY87" s="343"/>
    </row>
    <row r="88" spans="1:155" s="398" customFormat="1" ht="17.100000000000001" customHeight="1">
      <c r="A88" s="173">
        <v>21</v>
      </c>
      <c r="B88" s="397" t="s">
        <v>265</v>
      </c>
      <c r="C88" s="201" t="s">
        <v>90</v>
      </c>
      <c r="D88" s="316">
        <f t="shared" si="151"/>
        <v>71.038251366120221</v>
      </c>
      <c r="E88" s="319">
        <f t="shared" si="152"/>
        <v>28.961748633879779</v>
      </c>
      <c r="F88" s="319">
        <f t="shared" si="153"/>
        <v>0</v>
      </c>
      <c r="G88" s="322">
        <f t="shared" si="154"/>
        <v>0</v>
      </c>
      <c r="H88" s="305">
        <v>0</v>
      </c>
      <c r="I88" s="308">
        <v>13</v>
      </c>
      <c r="J88" s="308">
        <v>5.3</v>
      </c>
      <c r="K88" s="308">
        <v>0</v>
      </c>
      <c r="L88" s="308">
        <v>0</v>
      </c>
      <c r="M88" s="308">
        <v>6</v>
      </c>
      <c r="N88" s="308">
        <v>1.4</v>
      </c>
      <c r="O88" s="308">
        <v>0.03</v>
      </c>
      <c r="P88" s="301"/>
      <c r="Q88" s="303"/>
      <c r="R88" s="305">
        <v>0</v>
      </c>
      <c r="S88" s="308">
        <v>1.1200000000000001</v>
      </c>
      <c r="T88" s="308">
        <v>0.36</v>
      </c>
      <c r="U88" s="308">
        <v>0</v>
      </c>
      <c r="V88" s="308">
        <v>0</v>
      </c>
      <c r="W88" s="308">
        <v>3.54</v>
      </c>
      <c r="X88" s="335">
        <v>20.5</v>
      </c>
      <c r="Y88" s="305">
        <f t="shared" ref="Y88:AD88" si="220">H88*R88*10</f>
        <v>0</v>
      </c>
      <c r="Z88" s="308">
        <f t="shared" si="220"/>
        <v>145.60000000000002</v>
      </c>
      <c r="AA88" s="308">
        <f t="shared" si="220"/>
        <v>19.079999999999998</v>
      </c>
      <c r="AB88" s="308">
        <f t="shared" si="220"/>
        <v>0</v>
      </c>
      <c r="AC88" s="308">
        <f t="shared" si="220"/>
        <v>0</v>
      </c>
      <c r="AD88" s="308">
        <f t="shared" si="220"/>
        <v>212.40000000000003</v>
      </c>
      <c r="AE88" s="335">
        <f>O88*X88*10</f>
        <v>6.15</v>
      </c>
      <c r="AF88" s="305">
        <v>0</v>
      </c>
      <c r="AG88" s="301">
        <v>13.5</v>
      </c>
      <c r="AH88" s="301">
        <v>1.5</v>
      </c>
      <c r="AI88" s="301">
        <v>0</v>
      </c>
      <c r="AJ88" s="301">
        <v>0</v>
      </c>
      <c r="AK88" s="301">
        <v>28.8</v>
      </c>
      <c r="AL88" s="303">
        <v>85.5</v>
      </c>
      <c r="AM88" s="332">
        <f t="shared" ref="AM88" si="221">AF88*H88*10</f>
        <v>0</v>
      </c>
      <c r="AN88" s="301">
        <f>AG88*I88*10</f>
        <v>1755</v>
      </c>
      <c r="AO88" s="301">
        <f t="shared" ref="AO88:AS88" si="222">AH88*J88*10</f>
        <v>79.5</v>
      </c>
      <c r="AP88" s="301">
        <f t="shared" si="222"/>
        <v>0</v>
      </c>
      <c r="AQ88" s="301">
        <f t="shared" si="222"/>
        <v>0</v>
      </c>
      <c r="AR88" s="301">
        <f t="shared" si="222"/>
        <v>1728</v>
      </c>
      <c r="AS88" s="301">
        <f t="shared" si="222"/>
        <v>1197</v>
      </c>
      <c r="AT88" s="332"/>
      <c r="AU88" s="301">
        <v>13.6</v>
      </c>
      <c r="AV88" s="308">
        <v>60</v>
      </c>
      <c r="AW88" s="301">
        <v>0</v>
      </c>
      <c r="AX88" s="301">
        <v>0</v>
      </c>
      <c r="AY88" s="308">
        <v>19.399999999999999</v>
      </c>
      <c r="AZ88" s="335">
        <v>27</v>
      </c>
      <c r="BA88" s="332">
        <f t="shared" ref="BA88:BG88" si="223">(H88*3*1000)/(1-AT88/100)</f>
        <v>0</v>
      </c>
      <c r="BB88" s="332">
        <f t="shared" si="223"/>
        <v>45138.888888888891</v>
      </c>
      <c r="BC88" s="332">
        <f t="shared" si="223"/>
        <v>39749.999999999993</v>
      </c>
      <c r="BD88" s="332">
        <f t="shared" si="223"/>
        <v>0</v>
      </c>
      <c r="BE88" s="332">
        <f t="shared" si="223"/>
        <v>0</v>
      </c>
      <c r="BF88" s="332">
        <f t="shared" si="223"/>
        <v>22332.506203473946</v>
      </c>
      <c r="BG88" s="332">
        <f t="shared" si="223"/>
        <v>5753.4246575342459</v>
      </c>
      <c r="BH88" s="332">
        <f t="shared" ref="BH88" si="224">H88+I88+J88+K88+L88</f>
        <v>18.3</v>
      </c>
      <c r="BI88" s="301">
        <f t="shared" ref="BI88" si="225">M88+N88+O88</f>
        <v>7.4300000000000006</v>
      </c>
      <c r="BJ88" s="301">
        <f t="shared" ref="BJ88" si="226">BH88+BI88</f>
        <v>25.73</v>
      </c>
      <c r="BK88" s="301">
        <f t="shared" ref="BK88" si="227">Y88+Z88+AA88+AB88+AC88+AD88+AE88</f>
        <v>383.23</v>
      </c>
      <c r="BL88" s="301">
        <f t="shared" ref="BL88" si="228">AM88+AN88+AO88+AP88+AQ88+AR88+AS88</f>
        <v>4759.5</v>
      </c>
      <c r="BM88" s="301">
        <f t="shared" ref="BM88" si="229">BJ88*3*1000</f>
        <v>77190</v>
      </c>
      <c r="BN88" s="303">
        <f t="shared" ref="BN88" si="230">BA88+BB88+BC88+BD88+BE88+BF88+BG88</f>
        <v>112974.81974989707</v>
      </c>
      <c r="BO88" s="216">
        <v>78</v>
      </c>
      <c r="BP88" s="216">
        <v>0.68700000000000006</v>
      </c>
      <c r="BQ88" s="216">
        <v>4.28</v>
      </c>
      <c r="BR88" s="216">
        <v>72.400000000000006</v>
      </c>
      <c r="BS88" s="338">
        <v>0.58399999999999996</v>
      </c>
      <c r="BT88" s="216">
        <v>4.13</v>
      </c>
      <c r="BU88" s="354">
        <v>6.89</v>
      </c>
      <c r="BV88" s="354">
        <v>1.43</v>
      </c>
      <c r="BW88" s="354">
        <v>1200</v>
      </c>
      <c r="BX88" s="354">
        <v>5.93</v>
      </c>
      <c r="BY88" s="354">
        <v>6</v>
      </c>
      <c r="BZ88" s="354">
        <v>4900</v>
      </c>
      <c r="CA88" s="354">
        <v>7.23</v>
      </c>
      <c r="CB88" s="354">
        <v>1.45</v>
      </c>
      <c r="CC88" s="354">
        <v>1180</v>
      </c>
      <c r="CD88" s="354">
        <v>6.5</v>
      </c>
      <c r="CE88" s="354">
        <v>4.12</v>
      </c>
      <c r="CF88" s="354">
        <v>3700</v>
      </c>
      <c r="CG88" s="354">
        <v>7.1</v>
      </c>
      <c r="CH88" s="354">
        <v>1.49</v>
      </c>
      <c r="CI88" s="354">
        <v>1220</v>
      </c>
      <c r="CJ88" s="354">
        <v>7.34</v>
      </c>
      <c r="CK88" s="354">
        <v>2.08</v>
      </c>
      <c r="CL88" s="354">
        <v>1880</v>
      </c>
      <c r="CM88" s="220">
        <v>77.5</v>
      </c>
      <c r="CN88" s="220">
        <v>77.3</v>
      </c>
      <c r="CO88" s="75">
        <v>2</v>
      </c>
      <c r="CP88" s="76">
        <v>8.2899999999999991</v>
      </c>
      <c r="CQ88" s="76">
        <v>1.94</v>
      </c>
      <c r="CR88" s="77">
        <v>76.8</v>
      </c>
      <c r="CS88" s="76">
        <v>19.3</v>
      </c>
      <c r="CT88" s="76">
        <v>1.58</v>
      </c>
      <c r="CU88" s="79" t="s">
        <v>127</v>
      </c>
      <c r="CV88" s="79">
        <v>2.2999999999999998</v>
      </c>
      <c r="CW88" s="79">
        <v>16</v>
      </c>
      <c r="CX88" s="79">
        <v>49</v>
      </c>
      <c r="CY88" s="75">
        <v>7</v>
      </c>
      <c r="CZ88" s="76">
        <v>7.93</v>
      </c>
      <c r="DA88" s="76">
        <v>1.75</v>
      </c>
      <c r="DB88" s="77">
        <v>76</v>
      </c>
      <c r="DC88" s="76">
        <v>21.7</v>
      </c>
      <c r="DD88" s="76">
        <v>1.68</v>
      </c>
      <c r="DE88" s="86">
        <v>23.3</v>
      </c>
      <c r="DF88" s="79">
        <v>2</v>
      </c>
      <c r="DG88" s="79">
        <v>19</v>
      </c>
      <c r="DH88" s="79">
        <v>44</v>
      </c>
      <c r="DI88" s="121"/>
      <c r="DJ88" s="122"/>
      <c r="DK88" s="122"/>
      <c r="DL88" s="123"/>
      <c r="DM88" s="122"/>
      <c r="DN88" s="122"/>
      <c r="DO88" s="121"/>
      <c r="DP88" s="79"/>
      <c r="DQ88" s="79"/>
      <c r="DR88" s="79"/>
      <c r="DS88" s="85">
        <v>5</v>
      </c>
      <c r="DT88" s="76">
        <v>7.67</v>
      </c>
      <c r="DU88" s="76">
        <v>1.78</v>
      </c>
      <c r="DV88" s="77">
        <v>76.400000000000006</v>
      </c>
      <c r="DW88" s="76">
        <v>21.1</v>
      </c>
      <c r="DX88" s="76">
        <v>1.7</v>
      </c>
      <c r="DY88" s="86" t="s">
        <v>175</v>
      </c>
      <c r="DZ88" s="79">
        <v>2.1</v>
      </c>
      <c r="EA88" s="79">
        <v>3</v>
      </c>
      <c r="EB88" s="79">
        <v>17</v>
      </c>
      <c r="EC88" s="79">
        <v>12</v>
      </c>
      <c r="ED88" s="79">
        <v>2</v>
      </c>
      <c r="EE88" s="79">
        <v>8</v>
      </c>
      <c r="EF88" s="79">
        <v>9</v>
      </c>
      <c r="EG88" s="79">
        <v>5</v>
      </c>
      <c r="EH88" s="79">
        <v>81</v>
      </c>
      <c r="EI88" s="79">
        <v>9</v>
      </c>
      <c r="EJ88" s="79">
        <v>6</v>
      </c>
      <c r="EK88" s="79">
        <f t="shared" ref="EK88:EK90" si="231">EA88+EB88+EC88+ED88+EE88+EF88+EG88+EH88+EI88+EJ88</f>
        <v>152</v>
      </c>
      <c r="EL88" s="87">
        <v>61</v>
      </c>
      <c r="EM88" s="79">
        <v>28</v>
      </c>
      <c r="EN88" s="76">
        <v>7.59</v>
      </c>
      <c r="EO88" s="76">
        <v>2.2400000000000002</v>
      </c>
      <c r="EP88" s="77">
        <v>70.8</v>
      </c>
      <c r="EQ88" s="76">
        <v>26.5</v>
      </c>
      <c r="ER88" s="76">
        <v>2.16</v>
      </c>
      <c r="ES88" s="138" t="s">
        <v>176</v>
      </c>
      <c r="ET88" s="79"/>
      <c r="EU88" s="79"/>
      <c r="EV88" s="79"/>
      <c r="EW88" s="79"/>
      <c r="EX88" s="121"/>
      <c r="EY88" s="341">
        <f t="shared" si="219"/>
        <v>0</v>
      </c>
    </row>
    <row r="89" spans="1:155" ht="17.100000000000001" customHeight="1">
      <c r="A89" s="174"/>
      <c r="B89" s="397" t="s">
        <v>265</v>
      </c>
      <c r="C89" s="202" t="s">
        <v>90</v>
      </c>
      <c r="D89" s="317" t="e">
        <f t="shared" si="151"/>
        <v>#DIV/0!</v>
      </c>
      <c r="E89" s="320" t="e">
        <f t="shared" si="152"/>
        <v>#DIV/0!</v>
      </c>
      <c r="F89" s="320" t="e">
        <f t="shared" si="153"/>
        <v>#DIV/0!</v>
      </c>
      <c r="G89" s="323" t="e">
        <f t="shared" si="154"/>
        <v>#DIV/0!</v>
      </c>
      <c r="H89" s="306"/>
      <c r="I89" s="309"/>
      <c r="J89" s="309"/>
      <c r="K89" s="309"/>
      <c r="L89" s="309"/>
      <c r="M89" s="309"/>
      <c r="N89" s="309"/>
      <c r="O89" s="309"/>
      <c r="P89" s="211"/>
      <c r="Q89" s="214"/>
      <c r="R89" s="306"/>
      <c r="S89" s="309"/>
      <c r="T89" s="309"/>
      <c r="U89" s="309"/>
      <c r="V89" s="309"/>
      <c r="W89" s="309"/>
      <c r="X89" s="336"/>
      <c r="Y89" s="306"/>
      <c r="Z89" s="309"/>
      <c r="AA89" s="309"/>
      <c r="AB89" s="309"/>
      <c r="AC89" s="309"/>
      <c r="AD89" s="309"/>
      <c r="AE89" s="336"/>
      <c r="AF89" s="306"/>
      <c r="AG89" s="211"/>
      <c r="AH89" s="211"/>
      <c r="AI89" s="211"/>
      <c r="AJ89" s="211"/>
      <c r="AK89" s="211"/>
      <c r="AL89" s="214"/>
      <c r="AM89" s="333"/>
      <c r="AN89" s="211"/>
      <c r="AO89" s="211"/>
      <c r="AP89" s="211"/>
      <c r="AQ89" s="211"/>
      <c r="AR89" s="211"/>
      <c r="AS89" s="211"/>
      <c r="AT89" s="333"/>
      <c r="AU89" s="211"/>
      <c r="AV89" s="309"/>
      <c r="AW89" s="211"/>
      <c r="AX89" s="211"/>
      <c r="AY89" s="309"/>
      <c r="AZ89" s="336"/>
      <c r="BA89" s="333"/>
      <c r="BB89" s="333"/>
      <c r="BC89" s="333"/>
      <c r="BD89" s="333"/>
      <c r="BE89" s="333"/>
      <c r="BF89" s="333"/>
      <c r="BG89" s="333"/>
      <c r="BH89" s="333"/>
      <c r="BI89" s="211"/>
      <c r="BJ89" s="211"/>
      <c r="BK89" s="211"/>
      <c r="BL89" s="211"/>
      <c r="BM89" s="211"/>
      <c r="BN89" s="214"/>
      <c r="BO89" s="196">
        <v>70</v>
      </c>
      <c r="BP89" s="196">
        <v>2.4500000000000002</v>
      </c>
      <c r="BQ89" s="196">
        <v>7.45</v>
      </c>
      <c r="BR89" s="196">
        <v>71.599999999999994</v>
      </c>
      <c r="BS89" s="339">
        <v>1.08</v>
      </c>
      <c r="BT89" s="196">
        <v>8.01</v>
      </c>
      <c r="BU89" s="355">
        <v>6.89</v>
      </c>
      <c r="BV89" s="355">
        <v>1.43</v>
      </c>
      <c r="BW89" s="355">
        <v>1200</v>
      </c>
      <c r="BX89" s="355">
        <v>5.93</v>
      </c>
      <c r="BY89" s="355">
        <v>6</v>
      </c>
      <c r="BZ89" s="355">
        <v>4900</v>
      </c>
      <c r="CA89" s="355">
        <v>7.23</v>
      </c>
      <c r="CB89" s="355">
        <v>1.45</v>
      </c>
      <c r="CC89" s="355">
        <v>1180</v>
      </c>
      <c r="CD89" s="355">
        <v>6.5</v>
      </c>
      <c r="CE89" s="355">
        <v>4.12</v>
      </c>
      <c r="CF89" s="355">
        <v>3700</v>
      </c>
      <c r="CG89" s="355">
        <v>7.1</v>
      </c>
      <c r="CH89" s="355">
        <v>1.49</v>
      </c>
      <c r="CI89" s="355">
        <v>1220</v>
      </c>
      <c r="CJ89" s="355">
        <v>7.34</v>
      </c>
      <c r="CK89" s="355">
        <v>2.08</v>
      </c>
      <c r="CL89" s="355">
        <v>1880</v>
      </c>
      <c r="CM89" s="205"/>
      <c r="CN89" s="205"/>
      <c r="CO89" s="13">
        <v>9</v>
      </c>
      <c r="CP89" s="10">
        <v>8.23</v>
      </c>
      <c r="CQ89" s="10">
        <v>1.91</v>
      </c>
      <c r="CR89" s="11">
        <v>77</v>
      </c>
      <c r="CS89" s="10">
        <v>20.399999999999999</v>
      </c>
      <c r="CT89" s="10">
        <v>1.67</v>
      </c>
      <c r="CU89" s="8" t="s">
        <v>177</v>
      </c>
      <c r="CV89" s="8">
        <v>2.1</v>
      </c>
      <c r="CW89" s="8">
        <v>12</v>
      </c>
      <c r="CX89" s="8">
        <v>50</v>
      </c>
      <c r="CY89" s="13">
        <v>11</v>
      </c>
      <c r="CZ89" s="10">
        <v>8.11</v>
      </c>
      <c r="DA89" s="10">
        <v>1.65</v>
      </c>
      <c r="DB89" s="11">
        <v>76.099999999999994</v>
      </c>
      <c r="DC89" s="10">
        <v>22.4</v>
      </c>
      <c r="DD89" s="10">
        <v>1.79</v>
      </c>
      <c r="DE89" s="20" t="s">
        <v>178</v>
      </c>
      <c r="DF89" s="8">
        <v>2.1</v>
      </c>
      <c r="DG89" s="8">
        <v>26</v>
      </c>
      <c r="DH89" s="8">
        <v>45</v>
      </c>
      <c r="DI89" s="23"/>
      <c r="DJ89" s="21"/>
      <c r="DK89" s="21"/>
      <c r="DL89" s="22"/>
      <c r="DM89" s="21"/>
      <c r="DN89" s="21"/>
      <c r="DO89" s="23"/>
      <c r="DP89" s="23"/>
      <c r="DQ89" s="23"/>
      <c r="DR89" s="23"/>
      <c r="DS89" s="19">
        <v>3</v>
      </c>
      <c r="DT89" s="10">
        <v>7.87</v>
      </c>
      <c r="DU89" s="10">
        <v>1.87</v>
      </c>
      <c r="DV89" s="11">
        <v>75</v>
      </c>
      <c r="DW89" s="10">
        <v>23.7</v>
      </c>
      <c r="DX89" s="10">
        <v>1.92</v>
      </c>
      <c r="DY89" s="20" t="s">
        <v>179</v>
      </c>
      <c r="DZ89" s="8">
        <v>1.75</v>
      </c>
      <c r="EA89" s="8">
        <v>2</v>
      </c>
      <c r="EB89" s="8">
        <v>18</v>
      </c>
      <c r="EC89" s="8">
        <v>22</v>
      </c>
      <c r="ED89" s="8">
        <v>1</v>
      </c>
      <c r="EE89" s="8">
        <v>10</v>
      </c>
      <c r="EF89" s="8">
        <v>8</v>
      </c>
      <c r="EG89" s="8">
        <v>6</v>
      </c>
      <c r="EH89" s="8">
        <v>88</v>
      </c>
      <c r="EI89" s="8">
        <v>16</v>
      </c>
      <c r="EJ89" s="8">
        <v>0</v>
      </c>
      <c r="EK89" s="8">
        <f t="shared" si="231"/>
        <v>171</v>
      </c>
      <c r="EL89" s="9">
        <v>62</v>
      </c>
      <c r="EM89" s="8">
        <v>2</v>
      </c>
      <c r="EN89" s="10">
        <v>7.87</v>
      </c>
      <c r="EO89" s="10">
        <v>2.2200000000000002</v>
      </c>
      <c r="EP89" s="11">
        <v>70.400000000000006</v>
      </c>
      <c r="EQ89" s="10">
        <v>25.7</v>
      </c>
      <c r="ER89" s="10">
        <v>2.16</v>
      </c>
      <c r="ES89" s="8" t="s">
        <v>180</v>
      </c>
      <c r="ET89" s="8"/>
      <c r="EU89" s="8"/>
      <c r="EV89" s="8"/>
      <c r="EW89" s="8"/>
      <c r="EX89" s="23"/>
      <c r="EY89" s="342"/>
    </row>
    <row r="90" spans="1:155" ht="17.100000000000001" customHeight="1">
      <c r="A90" s="174"/>
      <c r="B90" s="397" t="s">
        <v>265</v>
      </c>
      <c r="C90" s="202" t="s">
        <v>96</v>
      </c>
      <c r="D90" s="317" t="e">
        <f t="shared" si="151"/>
        <v>#DIV/0!</v>
      </c>
      <c r="E90" s="320" t="e">
        <f t="shared" si="152"/>
        <v>#DIV/0!</v>
      </c>
      <c r="F90" s="320" t="e">
        <f t="shared" si="153"/>
        <v>#DIV/0!</v>
      </c>
      <c r="G90" s="323" t="e">
        <f t="shared" si="154"/>
        <v>#DIV/0!</v>
      </c>
      <c r="H90" s="306"/>
      <c r="I90" s="309"/>
      <c r="J90" s="309"/>
      <c r="K90" s="309"/>
      <c r="L90" s="309"/>
      <c r="M90" s="309"/>
      <c r="N90" s="309"/>
      <c r="O90" s="309"/>
      <c r="P90" s="211"/>
      <c r="Q90" s="214"/>
      <c r="R90" s="306"/>
      <c r="S90" s="309"/>
      <c r="T90" s="309"/>
      <c r="U90" s="309"/>
      <c r="V90" s="309"/>
      <c r="W90" s="309"/>
      <c r="X90" s="336"/>
      <c r="Y90" s="306"/>
      <c r="Z90" s="309"/>
      <c r="AA90" s="309"/>
      <c r="AB90" s="309"/>
      <c r="AC90" s="309"/>
      <c r="AD90" s="309"/>
      <c r="AE90" s="336"/>
      <c r="AF90" s="306"/>
      <c r="AG90" s="211"/>
      <c r="AH90" s="211"/>
      <c r="AI90" s="211"/>
      <c r="AJ90" s="211"/>
      <c r="AK90" s="211"/>
      <c r="AL90" s="214"/>
      <c r="AM90" s="333"/>
      <c r="AN90" s="211"/>
      <c r="AO90" s="211"/>
      <c r="AP90" s="211"/>
      <c r="AQ90" s="211"/>
      <c r="AR90" s="211"/>
      <c r="AS90" s="211"/>
      <c r="AT90" s="333"/>
      <c r="AU90" s="211"/>
      <c r="AV90" s="309"/>
      <c r="AW90" s="211"/>
      <c r="AX90" s="211"/>
      <c r="AY90" s="309"/>
      <c r="AZ90" s="336"/>
      <c r="BA90" s="333"/>
      <c r="BB90" s="333"/>
      <c r="BC90" s="333"/>
      <c r="BD90" s="333"/>
      <c r="BE90" s="333"/>
      <c r="BF90" s="333"/>
      <c r="BG90" s="333"/>
      <c r="BH90" s="333"/>
      <c r="BI90" s="211"/>
      <c r="BJ90" s="211"/>
      <c r="BK90" s="211"/>
      <c r="BL90" s="211"/>
      <c r="BM90" s="211"/>
      <c r="BN90" s="214"/>
      <c r="BO90" s="196">
        <v>74.599999999999994</v>
      </c>
      <c r="BP90" s="196">
        <v>0.44600000000000001</v>
      </c>
      <c r="BQ90" s="196">
        <v>4.13</v>
      </c>
      <c r="BR90" s="196">
        <v>74</v>
      </c>
      <c r="BS90" s="339">
        <v>0.67200000000000004</v>
      </c>
      <c r="BT90" s="196">
        <v>5.03</v>
      </c>
      <c r="BU90" s="355">
        <v>6.89</v>
      </c>
      <c r="BV90" s="355">
        <v>1.43</v>
      </c>
      <c r="BW90" s="355">
        <v>1200</v>
      </c>
      <c r="BX90" s="355">
        <v>5.93</v>
      </c>
      <c r="BY90" s="355">
        <v>6</v>
      </c>
      <c r="BZ90" s="355">
        <v>4900</v>
      </c>
      <c r="CA90" s="355">
        <v>7.23</v>
      </c>
      <c r="CB90" s="355">
        <v>1.45</v>
      </c>
      <c r="CC90" s="355">
        <v>1180</v>
      </c>
      <c r="CD90" s="355">
        <v>6.5</v>
      </c>
      <c r="CE90" s="355">
        <v>4.12</v>
      </c>
      <c r="CF90" s="355">
        <v>3700</v>
      </c>
      <c r="CG90" s="355">
        <v>7.1</v>
      </c>
      <c r="CH90" s="355">
        <v>1.49</v>
      </c>
      <c r="CI90" s="355">
        <v>1220</v>
      </c>
      <c r="CJ90" s="355">
        <v>7.34</v>
      </c>
      <c r="CK90" s="355">
        <v>2.08</v>
      </c>
      <c r="CL90" s="355">
        <v>1880</v>
      </c>
      <c r="CM90" s="205"/>
      <c r="CN90" s="205"/>
      <c r="CO90" s="13">
        <v>4</v>
      </c>
      <c r="CP90" s="10">
        <v>8.19</v>
      </c>
      <c r="CQ90" s="10">
        <v>1.86</v>
      </c>
      <c r="CR90" s="11">
        <v>76.7</v>
      </c>
      <c r="CS90" s="10">
        <v>19.7</v>
      </c>
      <c r="CT90" s="10">
        <v>1.63</v>
      </c>
      <c r="CU90" s="8" t="s">
        <v>153</v>
      </c>
      <c r="CV90" s="8">
        <v>2.1</v>
      </c>
      <c r="CW90" s="8">
        <v>14</v>
      </c>
      <c r="CX90" s="8">
        <v>48</v>
      </c>
      <c r="CY90" s="13">
        <v>10</v>
      </c>
      <c r="CZ90" s="10">
        <v>7.89</v>
      </c>
      <c r="DA90" s="10">
        <v>1.86</v>
      </c>
      <c r="DB90" s="11">
        <v>76.400000000000006</v>
      </c>
      <c r="DC90" s="10">
        <v>21.1</v>
      </c>
      <c r="DD90" s="10">
        <v>1.7</v>
      </c>
      <c r="DE90" s="20">
        <v>23.2</v>
      </c>
      <c r="DF90" s="8">
        <v>2</v>
      </c>
      <c r="DG90" s="8">
        <v>19</v>
      </c>
      <c r="DH90" s="8">
        <v>45</v>
      </c>
      <c r="DI90" s="23"/>
      <c r="DJ90" s="21"/>
      <c r="DK90" s="21"/>
      <c r="DL90" s="22"/>
      <c r="DM90" s="21"/>
      <c r="DN90" s="21"/>
      <c r="DO90" s="23"/>
      <c r="DP90" s="23"/>
      <c r="DQ90" s="23"/>
      <c r="DR90" s="23"/>
      <c r="DS90" s="19">
        <v>12</v>
      </c>
      <c r="DT90" s="10">
        <v>7.79</v>
      </c>
      <c r="DU90" s="10">
        <v>1.9</v>
      </c>
      <c r="DV90" s="11">
        <v>75.3</v>
      </c>
      <c r="DW90" s="10">
        <v>23.7</v>
      </c>
      <c r="DX90" s="10">
        <v>1.92</v>
      </c>
      <c r="DY90" s="20" t="s">
        <v>157</v>
      </c>
      <c r="DZ90" s="8">
        <v>1.95</v>
      </c>
      <c r="EA90" s="8">
        <v>8</v>
      </c>
      <c r="EB90" s="8">
        <v>12</v>
      </c>
      <c r="EC90" s="8">
        <v>17</v>
      </c>
      <c r="ED90" s="8">
        <v>0</v>
      </c>
      <c r="EE90" s="8">
        <v>8</v>
      </c>
      <c r="EF90" s="8">
        <v>8</v>
      </c>
      <c r="EG90" s="8">
        <v>4</v>
      </c>
      <c r="EH90" s="8">
        <v>83</v>
      </c>
      <c r="EI90" s="8">
        <v>5</v>
      </c>
      <c r="EJ90" s="8">
        <v>4</v>
      </c>
      <c r="EK90" s="8">
        <f t="shared" si="231"/>
        <v>149</v>
      </c>
      <c r="EL90" s="9">
        <v>63</v>
      </c>
      <c r="EM90" s="8">
        <v>3</v>
      </c>
      <c r="EN90" s="10">
        <v>7.7</v>
      </c>
      <c r="EO90" s="10">
        <v>2.34</v>
      </c>
      <c r="EP90" s="11">
        <v>69.8</v>
      </c>
      <c r="EQ90" s="10">
        <v>25.8</v>
      </c>
      <c r="ER90" s="10">
        <v>2.17</v>
      </c>
      <c r="ES90" s="8" t="s">
        <v>176</v>
      </c>
      <c r="ET90" s="8"/>
      <c r="EU90" s="8"/>
      <c r="EV90" s="8"/>
      <c r="EW90" s="8"/>
      <c r="EX90" s="23"/>
      <c r="EY90" s="342"/>
    </row>
    <row r="91" spans="1:155" s="401" customFormat="1" ht="17.100000000000001" customHeight="1" thickBot="1">
      <c r="A91" s="175"/>
      <c r="B91" s="400" t="s">
        <v>265</v>
      </c>
      <c r="C91" s="203" t="s">
        <v>96</v>
      </c>
      <c r="D91" s="318" t="e">
        <f t="shared" si="151"/>
        <v>#DIV/0!</v>
      </c>
      <c r="E91" s="321" t="e">
        <f t="shared" si="152"/>
        <v>#DIV/0!</v>
      </c>
      <c r="F91" s="321" t="e">
        <f t="shared" si="153"/>
        <v>#DIV/0!</v>
      </c>
      <c r="G91" s="324" t="e">
        <f t="shared" si="154"/>
        <v>#DIV/0!</v>
      </c>
      <c r="H91" s="307"/>
      <c r="I91" s="310"/>
      <c r="J91" s="310"/>
      <c r="K91" s="310"/>
      <c r="L91" s="310"/>
      <c r="M91" s="310"/>
      <c r="N91" s="310"/>
      <c r="O91" s="310"/>
      <c r="P91" s="302"/>
      <c r="Q91" s="304"/>
      <c r="R91" s="307"/>
      <c r="S91" s="310"/>
      <c r="T91" s="310"/>
      <c r="U91" s="310"/>
      <c r="V91" s="310"/>
      <c r="W91" s="310"/>
      <c r="X91" s="337"/>
      <c r="Y91" s="307"/>
      <c r="Z91" s="310"/>
      <c r="AA91" s="310"/>
      <c r="AB91" s="310"/>
      <c r="AC91" s="310"/>
      <c r="AD91" s="310"/>
      <c r="AE91" s="337"/>
      <c r="AF91" s="307"/>
      <c r="AG91" s="302"/>
      <c r="AH91" s="302"/>
      <c r="AI91" s="302"/>
      <c r="AJ91" s="302"/>
      <c r="AK91" s="302"/>
      <c r="AL91" s="304"/>
      <c r="AM91" s="334"/>
      <c r="AN91" s="302"/>
      <c r="AO91" s="302"/>
      <c r="AP91" s="302"/>
      <c r="AQ91" s="302"/>
      <c r="AR91" s="302"/>
      <c r="AS91" s="302"/>
      <c r="AT91" s="334"/>
      <c r="AU91" s="302"/>
      <c r="AV91" s="310"/>
      <c r="AW91" s="302"/>
      <c r="AX91" s="302"/>
      <c r="AY91" s="310"/>
      <c r="AZ91" s="337"/>
      <c r="BA91" s="334"/>
      <c r="BB91" s="334"/>
      <c r="BC91" s="334"/>
      <c r="BD91" s="334"/>
      <c r="BE91" s="334"/>
      <c r="BF91" s="334"/>
      <c r="BG91" s="334"/>
      <c r="BH91" s="334"/>
      <c r="BI91" s="302"/>
      <c r="BJ91" s="302"/>
      <c r="BK91" s="302"/>
      <c r="BL91" s="302"/>
      <c r="BM91" s="302"/>
      <c r="BN91" s="304"/>
      <c r="BO91" s="217">
        <v>78</v>
      </c>
      <c r="BP91" s="217">
        <v>0.68700000000000006</v>
      </c>
      <c r="BQ91" s="217">
        <v>4.28</v>
      </c>
      <c r="BR91" s="217">
        <v>72.400000000000006</v>
      </c>
      <c r="BS91" s="340">
        <v>0.58399999999999996</v>
      </c>
      <c r="BT91" s="217">
        <v>4.13</v>
      </c>
      <c r="BU91" s="312">
        <v>6.89</v>
      </c>
      <c r="BV91" s="312">
        <v>1.43</v>
      </c>
      <c r="BW91" s="312">
        <v>1200</v>
      </c>
      <c r="BX91" s="312">
        <v>5.93</v>
      </c>
      <c r="BY91" s="312">
        <v>6</v>
      </c>
      <c r="BZ91" s="312">
        <v>4900</v>
      </c>
      <c r="CA91" s="312">
        <v>7.23</v>
      </c>
      <c r="CB91" s="312">
        <v>1.45</v>
      </c>
      <c r="CC91" s="312">
        <v>1180</v>
      </c>
      <c r="CD91" s="312">
        <v>6.5</v>
      </c>
      <c r="CE91" s="312">
        <v>4.12</v>
      </c>
      <c r="CF91" s="312">
        <v>3700</v>
      </c>
      <c r="CG91" s="312">
        <v>7.1</v>
      </c>
      <c r="CH91" s="312">
        <v>1.49</v>
      </c>
      <c r="CI91" s="312">
        <v>1220</v>
      </c>
      <c r="CJ91" s="312">
        <v>7.34</v>
      </c>
      <c r="CK91" s="312">
        <v>2.08</v>
      </c>
      <c r="CL91" s="312">
        <v>1880</v>
      </c>
      <c r="CM91" s="221"/>
      <c r="CN91" s="221"/>
      <c r="CV91" s="116"/>
      <c r="CW91" s="116"/>
      <c r="CX91" s="116"/>
      <c r="DF91" s="116"/>
      <c r="DG91" s="116"/>
      <c r="DH91" s="116"/>
      <c r="DI91" s="101"/>
      <c r="DJ91" s="99"/>
      <c r="DK91" s="99"/>
      <c r="DL91" s="100"/>
      <c r="DM91" s="99"/>
      <c r="DN91" s="99"/>
      <c r="DO91" s="101"/>
      <c r="DP91" s="101"/>
      <c r="DQ91" s="101"/>
      <c r="DR91" s="101"/>
      <c r="DS91" s="105"/>
      <c r="DT91" s="99"/>
      <c r="DU91" s="99"/>
      <c r="DV91" s="100"/>
      <c r="DW91" s="99"/>
      <c r="DX91" s="99"/>
      <c r="DY91" s="104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6" t="s">
        <v>181</v>
      </c>
      <c r="EM91" s="102">
        <v>60</v>
      </c>
      <c r="EN91" s="107">
        <v>7.8</v>
      </c>
      <c r="EO91" s="107">
        <v>2.17</v>
      </c>
      <c r="EP91" s="108">
        <v>70</v>
      </c>
      <c r="EQ91" s="107">
        <v>26.1</v>
      </c>
      <c r="ER91" s="107">
        <v>2.1800000000000002</v>
      </c>
      <c r="ES91" s="102">
        <v>16.899999999999999</v>
      </c>
      <c r="ET91" s="102"/>
      <c r="EU91" s="102"/>
      <c r="EV91" s="102"/>
      <c r="EW91" s="102"/>
      <c r="EX91" s="101"/>
      <c r="EY91" s="343"/>
    </row>
    <row r="92" spans="1:155" s="398" customFormat="1" ht="17.100000000000001" customHeight="1">
      <c r="A92" s="173">
        <v>22</v>
      </c>
      <c r="B92" s="397" t="s">
        <v>266</v>
      </c>
      <c r="C92" s="201" t="s">
        <v>90</v>
      </c>
      <c r="D92" s="316">
        <f t="shared" si="151"/>
        <v>71.038251366120221</v>
      </c>
      <c r="E92" s="319">
        <f t="shared" si="152"/>
        <v>28.961748633879779</v>
      </c>
      <c r="F92" s="319">
        <f t="shared" si="153"/>
        <v>0</v>
      </c>
      <c r="G92" s="322">
        <f t="shared" si="154"/>
        <v>0</v>
      </c>
      <c r="H92" s="305">
        <v>0</v>
      </c>
      <c r="I92" s="308">
        <v>13</v>
      </c>
      <c r="J92" s="308">
        <v>5.3</v>
      </c>
      <c r="K92" s="308">
        <v>0</v>
      </c>
      <c r="L92" s="308">
        <v>0</v>
      </c>
      <c r="M92" s="308">
        <v>6</v>
      </c>
      <c r="N92" s="308">
        <v>1.4</v>
      </c>
      <c r="O92" s="308">
        <v>0.03</v>
      </c>
      <c r="P92" s="301"/>
      <c r="Q92" s="303"/>
      <c r="R92" s="305">
        <v>0</v>
      </c>
      <c r="S92" s="308">
        <v>1.1200000000000001</v>
      </c>
      <c r="T92" s="308">
        <v>0.36</v>
      </c>
      <c r="U92" s="308">
        <v>0</v>
      </c>
      <c r="V92" s="308">
        <v>0</v>
      </c>
      <c r="W92" s="308">
        <v>3.5</v>
      </c>
      <c r="X92" s="335">
        <v>20.5</v>
      </c>
      <c r="Y92" s="305">
        <f t="shared" ref="Y92:AD92" si="232">H92*R92*10</f>
        <v>0</v>
      </c>
      <c r="Z92" s="308">
        <f t="shared" si="232"/>
        <v>145.60000000000002</v>
      </c>
      <c r="AA92" s="308">
        <f t="shared" si="232"/>
        <v>19.079999999999998</v>
      </c>
      <c r="AB92" s="308">
        <f t="shared" si="232"/>
        <v>0</v>
      </c>
      <c r="AC92" s="308">
        <f t="shared" si="232"/>
        <v>0</v>
      </c>
      <c r="AD92" s="308">
        <f t="shared" si="232"/>
        <v>210</v>
      </c>
      <c r="AE92" s="335">
        <f>O92*X92*10</f>
        <v>6.15</v>
      </c>
      <c r="AF92" s="305">
        <v>0</v>
      </c>
      <c r="AG92" s="301">
        <v>12.6</v>
      </c>
      <c r="AH92" s="301">
        <v>1.4</v>
      </c>
      <c r="AI92" s="301">
        <v>0</v>
      </c>
      <c r="AJ92" s="301">
        <v>0</v>
      </c>
      <c r="AK92" s="301">
        <v>29.6</v>
      </c>
      <c r="AL92" s="303">
        <v>85.5</v>
      </c>
      <c r="AM92" s="332">
        <f t="shared" ref="AM92" si="233">AF92*H92*10</f>
        <v>0</v>
      </c>
      <c r="AN92" s="301">
        <f>AG92*I92*10</f>
        <v>1637.9999999999998</v>
      </c>
      <c r="AO92" s="301">
        <f t="shared" ref="AO92:AS92" si="234">AH92*J92*10</f>
        <v>74.199999999999989</v>
      </c>
      <c r="AP92" s="301">
        <f t="shared" si="234"/>
        <v>0</v>
      </c>
      <c r="AQ92" s="301">
        <f t="shared" si="234"/>
        <v>0</v>
      </c>
      <c r="AR92" s="301">
        <f t="shared" si="234"/>
        <v>1776.0000000000002</v>
      </c>
      <c r="AS92" s="301">
        <f t="shared" si="234"/>
        <v>1197</v>
      </c>
      <c r="AT92" s="332"/>
      <c r="AU92" s="301">
        <v>12.8</v>
      </c>
      <c r="AV92" s="308">
        <v>57.8</v>
      </c>
      <c r="AW92" s="301">
        <v>0</v>
      </c>
      <c r="AX92" s="301">
        <v>0</v>
      </c>
      <c r="AY92" s="308">
        <v>23.3</v>
      </c>
      <c r="AZ92" s="335">
        <v>26.7</v>
      </c>
      <c r="BA92" s="332">
        <f t="shared" ref="BA92:BG92" si="235">(H92*3*1000)/(1-AT92/100)</f>
        <v>0</v>
      </c>
      <c r="BB92" s="332">
        <f t="shared" si="235"/>
        <v>44724.770642201838</v>
      </c>
      <c r="BC92" s="332">
        <f t="shared" si="235"/>
        <v>37677.725118483402</v>
      </c>
      <c r="BD92" s="332">
        <f t="shared" si="235"/>
        <v>0</v>
      </c>
      <c r="BE92" s="332">
        <f t="shared" si="235"/>
        <v>0</v>
      </c>
      <c r="BF92" s="332">
        <f t="shared" si="235"/>
        <v>23468.057366362449</v>
      </c>
      <c r="BG92" s="332">
        <f t="shared" si="235"/>
        <v>5729.8772169167796</v>
      </c>
      <c r="BH92" s="332">
        <f t="shared" ref="BH92" si="236">H92+I92+J92+K92+L92</f>
        <v>18.3</v>
      </c>
      <c r="BI92" s="301">
        <f t="shared" ref="BI92" si="237">M92+N92+O92</f>
        <v>7.4300000000000006</v>
      </c>
      <c r="BJ92" s="301">
        <f t="shared" ref="BJ92" si="238">BH92+BI92</f>
        <v>25.73</v>
      </c>
      <c r="BK92" s="301">
        <f t="shared" ref="BK92" si="239">Y92+Z92+AA92+AB92+AC92+AD92+AE92</f>
        <v>380.83</v>
      </c>
      <c r="BL92" s="301">
        <f t="shared" ref="BL92" si="240">AM92+AN92+AO92+AP92+AQ92+AR92+AS92</f>
        <v>4685.2</v>
      </c>
      <c r="BM92" s="301">
        <f t="shared" ref="BM92" si="241">BJ92*3*1000</f>
        <v>77190</v>
      </c>
      <c r="BN92" s="303">
        <f t="shared" ref="BN92" si="242">BA92+BB92+BC92+BD92+BE92+BF92+BG92</f>
        <v>111600.43034396447</v>
      </c>
      <c r="BO92" s="216">
        <v>74.2</v>
      </c>
      <c r="BP92" s="216">
        <v>0.36799999999999999</v>
      </c>
      <c r="BQ92" s="216">
        <v>3.8</v>
      </c>
      <c r="BR92" s="216">
        <v>72.400000000000006</v>
      </c>
      <c r="BS92" s="338">
        <v>0.29099999999999998</v>
      </c>
      <c r="BT92" s="216">
        <v>3.8</v>
      </c>
      <c r="BU92" s="354">
        <v>7.28</v>
      </c>
      <c r="BV92" s="354">
        <v>1.4</v>
      </c>
      <c r="BW92" s="354">
        <v>1280</v>
      </c>
      <c r="BX92" s="354">
        <v>5.91</v>
      </c>
      <c r="BY92" s="354">
        <v>6.57</v>
      </c>
      <c r="BZ92" s="354">
        <v>5200</v>
      </c>
      <c r="CA92" s="354">
        <v>6.87</v>
      </c>
      <c r="CB92" s="354">
        <v>1.43</v>
      </c>
      <c r="CC92" s="354">
        <v>1310</v>
      </c>
      <c r="CD92" s="354">
        <v>6.73</v>
      </c>
      <c r="CE92" s="354">
        <v>3.62</v>
      </c>
      <c r="CF92" s="354">
        <v>2700</v>
      </c>
      <c r="CG92" s="354">
        <v>7.51</v>
      </c>
      <c r="CH92" s="354">
        <v>0.97</v>
      </c>
      <c r="CI92" s="354">
        <v>670</v>
      </c>
      <c r="CJ92" s="354">
        <v>8.26</v>
      </c>
      <c r="CK92" s="354">
        <v>1.92</v>
      </c>
      <c r="CL92" s="354">
        <v>1660</v>
      </c>
      <c r="CM92" s="220">
        <v>77.099999999999994</v>
      </c>
      <c r="CN92" s="220">
        <v>76.599999999999994</v>
      </c>
      <c r="CO92" s="75"/>
      <c r="CP92" s="122"/>
      <c r="CQ92" s="122"/>
      <c r="CR92" s="123"/>
      <c r="CS92" s="122"/>
      <c r="CT92" s="122"/>
      <c r="CU92" s="121"/>
      <c r="CV92" s="79"/>
      <c r="CW92" s="79"/>
      <c r="CX92" s="79"/>
      <c r="CY92" s="139"/>
      <c r="CZ92" s="122"/>
      <c r="DA92" s="122"/>
      <c r="DB92" s="123"/>
      <c r="DC92" s="122"/>
      <c r="DD92" s="122"/>
      <c r="DE92" s="140"/>
      <c r="DF92" s="79"/>
      <c r="DG92" s="79"/>
      <c r="DH92" s="79"/>
      <c r="DI92" s="121"/>
      <c r="DJ92" s="122"/>
      <c r="DK92" s="122"/>
      <c r="DL92" s="123"/>
      <c r="DM92" s="122"/>
      <c r="DN92" s="122"/>
      <c r="DO92" s="121"/>
      <c r="DP92" s="79"/>
      <c r="DQ92" s="79"/>
      <c r="DR92" s="79"/>
      <c r="DS92" s="141">
        <v>6</v>
      </c>
      <c r="DT92" s="142">
        <v>7.87</v>
      </c>
      <c r="DU92" s="142">
        <v>2.11</v>
      </c>
      <c r="DV92" s="143">
        <v>74.8</v>
      </c>
      <c r="DW92" s="142">
        <v>23.6</v>
      </c>
      <c r="DX92" s="142">
        <v>1.94</v>
      </c>
      <c r="DY92" s="144" t="s">
        <v>160</v>
      </c>
      <c r="DZ92" s="79">
        <v>1.55</v>
      </c>
      <c r="EA92" s="79">
        <v>10</v>
      </c>
      <c r="EB92" s="79">
        <v>4</v>
      </c>
      <c r="EC92" s="79">
        <v>22</v>
      </c>
      <c r="ED92" s="79">
        <v>0</v>
      </c>
      <c r="EE92" s="79">
        <v>12</v>
      </c>
      <c r="EF92" s="79">
        <v>9</v>
      </c>
      <c r="EG92" s="79">
        <v>5</v>
      </c>
      <c r="EH92" s="79">
        <v>80</v>
      </c>
      <c r="EI92" s="79">
        <v>6</v>
      </c>
      <c r="EJ92" s="79">
        <v>4</v>
      </c>
      <c r="EK92" s="79">
        <f t="shared" ref="EK92:EK94" si="243">EA92+EB92+EC92+ED92+EE92+EF92+EG92+EH92+EI92+EJ92</f>
        <v>152</v>
      </c>
      <c r="EL92" s="87">
        <v>64</v>
      </c>
      <c r="EM92" s="79">
        <v>31</v>
      </c>
      <c r="EN92" s="76">
        <v>7.61</v>
      </c>
      <c r="EO92" s="76">
        <v>2.52</v>
      </c>
      <c r="EP92" s="77">
        <v>69.2</v>
      </c>
      <c r="EQ92" s="76">
        <v>27.5</v>
      </c>
      <c r="ER92" s="76">
        <v>2.09</v>
      </c>
      <c r="ES92" s="79" t="s">
        <v>162</v>
      </c>
      <c r="ET92" s="79"/>
      <c r="EU92" s="79"/>
      <c r="EV92" s="79"/>
      <c r="EW92" s="79"/>
      <c r="EX92" s="121"/>
      <c r="EY92" s="341">
        <f t="shared" ref="EY92" si="244">EW92+EW93+EW94+EW95</f>
        <v>0</v>
      </c>
    </row>
    <row r="93" spans="1:155" ht="17.100000000000001" customHeight="1">
      <c r="A93" s="174"/>
      <c r="B93" s="397" t="s">
        <v>266</v>
      </c>
      <c r="C93" s="202" t="s">
        <v>90</v>
      </c>
      <c r="D93" s="317" t="e">
        <f t="shared" si="151"/>
        <v>#DIV/0!</v>
      </c>
      <c r="E93" s="320" t="e">
        <f t="shared" si="152"/>
        <v>#DIV/0!</v>
      </c>
      <c r="F93" s="320" t="e">
        <f t="shared" si="153"/>
        <v>#DIV/0!</v>
      </c>
      <c r="G93" s="323" t="e">
        <f t="shared" si="154"/>
        <v>#DIV/0!</v>
      </c>
      <c r="H93" s="306"/>
      <c r="I93" s="309"/>
      <c r="J93" s="309"/>
      <c r="K93" s="309"/>
      <c r="L93" s="309"/>
      <c r="M93" s="309"/>
      <c r="N93" s="309"/>
      <c r="O93" s="309"/>
      <c r="P93" s="211"/>
      <c r="Q93" s="214"/>
      <c r="R93" s="306"/>
      <c r="S93" s="309"/>
      <c r="T93" s="309"/>
      <c r="U93" s="309"/>
      <c r="V93" s="309"/>
      <c r="W93" s="309"/>
      <c r="X93" s="336"/>
      <c r="Y93" s="306"/>
      <c r="Z93" s="309"/>
      <c r="AA93" s="309"/>
      <c r="AB93" s="309"/>
      <c r="AC93" s="309"/>
      <c r="AD93" s="309"/>
      <c r="AE93" s="336"/>
      <c r="AF93" s="306"/>
      <c r="AG93" s="211"/>
      <c r="AH93" s="211"/>
      <c r="AI93" s="211"/>
      <c r="AJ93" s="211"/>
      <c r="AK93" s="211"/>
      <c r="AL93" s="214"/>
      <c r="AM93" s="333"/>
      <c r="AN93" s="211"/>
      <c r="AO93" s="211"/>
      <c r="AP93" s="211"/>
      <c r="AQ93" s="211"/>
      <c r="AR93" s="211"/>
      <c r="AS93" s="211"/>
      <c r="AT93" s="333"/>
      <c r="AU93" s="211"/>
      <c r="AV93" s="309"/>
      <c r="AW93" s="211"/>
      <c r="AX93" s="211"/>
      <c r="AY93" s="309"/>
      <c r="AZ93" s="336"/>
      <c r="BA93" s="333"/>
      <c r="BB93" s="333"/>
      <c r="BC93" s="333"/>
      <c r="BD93" s="333"/>
      <c r="BE93" s="333"/>
      <c r="BF93" s="333"/>
      <c r="BG93" s="333"/>
      <c r="BH93" s="333"/>
      <c r="BI93" s="211"/>
      <c r="BJ93" s="211"/>
      <c r="BK93" s="211"/>
      <c r="BL93" s="211"/>
      <c r="BM93" s="211"/>
      <c r="BN93" s="214"/>
      <c r="BO93" s="196">
        <v>73.599999999999994</v>
      </c>
      <c r="BP93" s="196">
        <v>0.82399999999999995</v>
      </c>
      <c r="BQ93" s="196">
        <v>7.26</v>
      </c>
      <c r="BR93" s="196">
        <v>75</v>
      </c>
      <c r="BS93" s="339">
        <v>0.43099999999999999</v>
      </c>
      <c r="BT93" s="196">
        <v>8.3000000000000007</v>
      </c>
      <c r="BU93" s="355">
        <v>7.28</v>
      </c>
      <c r="BV93" s="355">
        <v>1.4</v>
      </c>
      <c r="BW93" s="355">
        <v>1280</v>
      </c>
      <c r="BX93" s="355">
        <v>5.91</v>
      </c>
      <c r="BY93" s="355">
        <v>6.57</v>
      </c>
      <c r="BZ93" s="355">
        <v>5200</v>
      </c>
      <c r="CA93" s="355">
        <v>6.87</v>
      </c>
      <c r="CB93" s="355">
        <v>1.43</v>
      </c>
      <c r="CC93" s="355">
        <v>1310</v>
      </c>
      <c r="CD93" s="355">
        <v>6.73</v>
      </c>
      <c r="CE93" s="355">
        <v>3.62</v>
      </c>
      <c r="CF93" s="355">
        <v>2700</v>
      </c>
      <c r="CG93" s="355">
        <v>7.51</v>
      </c>
      <c r="CH93" s="355">
        <v>0.97</v>
      </c>
      <c r="CI93" s="355">
        <v>670</v>
      </c>
      <c r="CJ93" s="355">
        <v>8.26</v>
      </c>
      <c r="CK93" s="355">
        <v>1.92</v>
      </c>
      <c r="CL93" s="355">
        <v>1660</v>
      </c>
      <c r="CM93" s="205"/>
      <c r="CN93" s="205"/>
      <c r="CO93" s="13">
        <v>4</v>
      </c>
      <c r="CP93" s="10">
        <v>7.81</v>
      </c>
      <c r="CQ93" s="10">
        <v>2.04</v>
      </c>
      <c r="CR93" s="11">
        <v>77.400000000000006</v>
      </c>
      <c r="CS93" s="10">
        <v>18.600000000000001</v>
      </c>
      <c r="CT93" s="10">
        <v>1.54</v>
      </c>
      <c r="CU93" s="8" t="s">
        <v>182</v>
      </c>
      <c r="CV93" s="8">
        <v>2.25</v>
      </c>
      <c r="CW93" s="8">
        <v>11</v>
      </c>
      <c r="CX93" s="8">
        <v>47</v>
      </c>
      <c r="CY93" s="13">
        <v>6</v>
      </c>
      <c r="CZ93" s="10">
        <v>7.92</v>
      </c>
      <c r="DA93" s="10">
        <v>2.0499999999999998</v>
      </c>
      <c r="DB93" s="11">
        <v>76.3</v>
      </c>
      <c r="DC93" s="10">
        <v>20.100000000000001</v>
      </c>
      <c r="DD93" s="10">
        <v>1.64</v>
      </c>
      <c r="DE93" s="20" t="s">
        <v>183</v>
      </c>
      <c r="DF93" s="8">
        <v>2</v>
      </c>
      <c r="DG93" s="8">
        <v>24</v>
      </c>
      <c r="DH93" s="8">
        <v>47</v>
      </c>
      <c r="DI93" s="23"/>
      <c r="DJ93" s="21"/>
      <c r="DK93" s="21"/>
      <c r="DL93" s="22"/>
      <c r="DM93" s="21"/>
      <c r="DN93" s="21"/>
      <c r="DO93" s="23"/>
      <c r="DP93" s="23"/>
      <c r="DQ93" s="23"/>
      <c r="DR93" s="23"/>
      <c r="DS93" s="25">
        <v>7</v>
      </c>
      <c r="DT93" s="35">
        <v>7.91</v>
      </c>
      <c r="DU93" s="35">
        <v>1.88</v>
      </c>
      <c r="DV93" s="36">
        <v>75.3</v>
      </c>
      <c r="DW93" s="35">
        <v>24</v>
      </c>
      <c r="DX93" s="35">
        <v>1.93</v>
      </c>
      <c r="DY93" s="145" t="s">
        <v>160</v>
      </c>
      <c r="DZ93" s="8">
        <v>1.75</v>
      </c>
      <c r="EA93" s="8">
        <v>4</v>
      </c>
      <c r="EB93" s="8">
        <v>10</v>
      </c>
      <c r="EC93" s="8">
        <v>12</v>
      </c>
      <c r="ED93" s="8">
        <v>4</v>
      </c>
      <c r="EE93" s="8">
        <v>12</v>
      </c>
      <c r="EF93" s="8">
        <v>8</v>
      </c>
      <c r="EG93" s="8">
        <v>6</v>
      </c>
      <c r="EH93" s="8">
        <v>85</v>
      </c>
      <c r="EI93" s="8">
        <v>5</v>
      </c>
      <c r="EJ93" s="8">
        <v>4</v>
      </c>
      <c r="EK93" s="8">
        <f t="shared" si="243"/>
        <v>150</v>
      </c>
      <c r="EL93" s="9">
        <v>65</v>
      </c>
      <c r="EM93" s="8">
        <v>35</v>
      </c>
      <c r="EN93" s="10">
        <v>7.67</v>
      </c>
      <c r="EO93" s="10">
        <v>2.48</v>
      </c>
      <c r="EP93" s="11">
        <v>69.599999999999994</v>
      </c>
      <c r="EQ93" s="10">
        <v>27.2</v>
      </c>
      <c r="ER93" s="10">
        <v>2.09</v>
      </c>
      <c r="ES93" s="8" t="s">
        <v>184</v>
      </c>
      <c r="ET93" s="8"/>
      <c r="EU93" s="8"/>
      <c r="EV93" s="8"/>
      <c r="EW93" s="8"/>
      <c r="EX93" s="23"/>
      <c r="EY93" s="342"/>
    </row>
    <row r="94" spans="1:155" ht="17.100000000000001" customHeight="1">
      <c r="A94" s="174"/>
      <c r="B94" s="397" t="s">
        <v>266</v>
      </c>
      <c r="C94" s="202" t="s">
        <v>96</v>
      </c>
      <c r="D94" s="317" t="e">
        <f t="shared" si="151"/>
        <v>#DIV/0!</v>
      </c>
      <c r="E94" s="320" t="e">
        <f t="shared" si="152"/>
        <v>#DIV/0!</v>
      </c>
      <c r="F94" s="320" t="e">
        <f t="shared" si="153"/>
        <v>#DIV/0!</v>
      </c>
      <c r="G94" s="323" t="e">
        <f t="shared" si="154"/>
        <v>#DIV/0!</v>
      </c>
      <c r="H94" s="306"/>
      <c r="I94" s="309"/>
      <c r="J94" s="309"/>
      <c r="K94" s="309"/>
      <c r="L94" s="309"/>
      <c r="M94" s="309"/>
      <c r="N94" s="309"/>
      <c r="O94" s="309"/>
      <c r="P94" s="211"/>
      <c r="Q94" s="214"/>
      <c r="R94" s="306"/>
      <c r="S94" s="309"/>
      <c r="T94" s="309"/>
      <c r="U94" s="309"/>
      <c r="V94" s="309"/>
      <c r="W94" s="309"/>
      <c r="X94" s="336"/>
      <c r="Y94" s="306"/>
      <c r="Z94" s="309"/>
      <c r="AA94" s="309"/>
      <c r="AB94" s="309"/>
      <c r="AC94" s="309"/>
      <c r="AD94" s="309"/>
      <c r="AE94" s="336"/>
      <c r="AF94" s="306"/>
      <c r="AG94" s="211"/>
      <c r="AH94" s="211"/>
      <c r="AI94" s="211"/>
      <c r="AJ94" s="211"/>
      <c r="AK94" s="211"/>
      <c r="AL94" s="214"/>
      <c r="AM94" s="333"/>
      <c r="AN94" s="211"/>
      <c r="AO94" s="211"/>
      <c r="AP94" s="211"/>
      <c r="AQ94" s="211"/>
      <c r="AR94" s="211"/>
      <c r="AS94" s="211"/>
      <c r="AT94" s="333"/>
      <c r="AU94" s="211"/>
      <c r="AV94" s="309"/>
      <c r="AW94" s="211"/>
      <c r="AX94" s="211"/>
      <c r="AY94" s="309"/>
      <c r="AZ94" s="336"/>
      <c r="BA94" s="333"/>
      <c r="BB94" s="333"/>
      <c r="BC94" s="333"/>
      <c r="BD94" s="333"/>
      <c r="BE94" s="333"/>
      <c r="BF94" s="333"/>
      <c r="BG94" s="333"/>
      <c r="BH94" s="333"/>
      <c r="BI94" s="211"/>
      <c r="BJ94" s="211"/>
      <c r="BK94" s="211"/>
      <c r="BL94" s="211"/>
      <c r="BM94" s="211"/>
      <c r="BN94" s="214"/>
      <c r="BO94" s="196">
        <v>72</v>
      </c>
      <c r="BP94" s="196">
        <v>0.43099999999999999</v>
      </c>
      <c r="BQ94" s="196">
        <v>7.89</v>
      </c>
      <c r="BR94" s="196">
        <v>71</v>
      </c>
      <c r="BS94" s="339">
        <v>0.56100000000000005</v>
      </c>
      <c r="BT94" s="196">
        <v>6.21</v>
      </c>
      <c r="BU94" s="355">
        <v>7.28</v>
      </c>
      <c r="BV94" s="355">
        <v>1.4</v>
      </c>
      <c r="BW94" s="355">
        <v>1280</v>
      </c>
      <c r="BX94" s="355">
        <v>5.91</v>
      </c>
      <c r="BY94" s="355">
        <v>6.57</v>
      </c>
      <c r="BZ94" s="355">
        <v>5200</v>
      </c>
      <c r="CA94" s="355">
        <v>6.87</v>
      </c>
      <c r="CB94" s="355">
        <v>1.43</v>
      </c>
      <c r="CC94" s="355">
        <v>1310</v>
      </c>
      <c r="CD94" s="355">
        <v>6.73</v>
      </c>
      <c r="CE94" s="355">
        <v>3.62</v>
      </c>
      <c r="CF94" s="355">
        <v>2700</v>
      </c>
      <c r="CG94" s="355">
        <v>7.51</v>
      </c>
      <c r="CH94" s="355">
        <v>0.97</v>
      </c>
      <c r="CI94" s="355">
        <v>670</v>
      </c>
      <c r="CJ94" s="355">
        <v>8.26</v>
      </c>
      <c r="CK94" s="355">
        <v>1.92</v>
      </c>
      <c r="CL94" s="355">
        <v>1660</v>
      </c>
      <c r="CM94" s="205"/>
      <c r="CN94" s="205"/>
      <c r="CO94" s="13">
        <v>1</v>
      </c>
      <c r="CP94" s="10">
        <v>7.78</v>
      </c>
      <c r="CQ94" s="10">
        <v>1.91</v>
      </c>
      <c r="CR94" s="11">
        <v>77.7</v>
      </c>
      <c r="CS94" s="10">
        <v>18.899999999999999</v>
      </c>
      <c r="CT94" s="10">
        <v>1.56</v>
      </c>
      <c r="CU94" s="8" t="s">
        <v>185</v>
      </c>
      <c r="CV94" s="8">
        <v>2.25</v>
      </c>
      <c r="CW94" s="8">
        <v>10</v>
      </c>
      <c r="CX94" s="8">
        <v>50</v>
      </c>
      <c r="CY94" s="13">
        <v>4</v>
      </c>
      <c r="CZ94" s="10">
        <v>7.86</v>
      </c>
      <c r="DA94" s="10">
        <v>1.87</v>
      </c>
      <c r="DB94" s="11">
        <v>76.5</v>
      </c>
      <c r="DC94" s="10">
        <v>24.2</v>
      </c>
      <c r="DD94" s="10">
        <v>1.84</v>
      </c>
      <c r="DE94" s="20" t="s">
        <v>108</v>
      </c>
      <c r="DF94" s="8">
        <v>2</v>
      </c>
      <c r="DG94" s="8">
        <v>16</v>
      </c>
      <c r="DH94" s="8">
        <v>51</v>
      </c>
      <c r="DI94" s="23"/>
      <c r="DJ94" s="21"/>
      <c r="DK94" s="21"/>
      <c r="DL94" s="22"/>
      <c r="DM94" s="21"/>
      <c r="DN94" s="21"/>
      <c r="DO94" s="23"/>
      <c r="DP94" s="23"/>
      <c r="DQ94" s="23"/>
      <c r="DR94" s="23"/>
      <c r="DS94" s="25">
        <v>2</v>
      </c>
      <c r="DT94" s="35">
        <v>7.82</v>
      </c>
      <c r="DU94" s="35">
        <v>1.93</v>
      </c>
      <c r="DV94" s="36">
        <v>75.099999999999994</v>
      </c>
      <c r="DW94" s="35">
        <v>23.8</v>
      </c>
      <c r="DX94" s="35">
        <v>1.89</v>
      </c>
      <c r="DY94" s="145" t="s">
        <v>157</v>
      </c>
      <c r="DZ94" s="8">
        <v>1.65</v>
      </c>
      <c r="EA94" s="8">
        <v>7</v>
      </c>
      <c r="EB94" s="8">
        <v>7</v>
      </c>
      <c r="EC94" s="8">
        <v>12</v>
      </c>
      <c r="ED94" s="8">
        <v>2</v>
      </c>
      <c r="EE94" s="8">
        <v>12</v>
      </c>
      <c r="EF94" s="8">
        <v>8</v>
      </c>
      <c r="EG94" s="8">
        <v>5</v>
      </c>
      <c r="EH94" s="8">
        <v>80</v>
      </c>
      <c r="EI94" s="8">
        <v>5</v>
      </c>
      <c r="EJ94" s="8">
        <v>3</v>
      </c>
      <c r="EK94" s="8">
        <f t="shared" si="243"/>
        <v>141</v>
      </c>
      <c r="EL94" s="9">
        <v>66</v>
      </c>
      <c r="EM94" s="8">
        <v>61</v>
      </c>
      <c r="EN94" s="10">
        <v>7.64</v>
      </c>
      <c r="EO94" s="10">
        <v>2.41</v>
      </c>
      <c r="EP94" s="11">
        <v>70.7</v>
      </c>
      <c r="EQ94" s="10">
        <v>26.8</v>
      </c>
      <c r="ER94" s="10">
        <v>2.11</v>
      </c>
      <c r="ES94" s="8" t="s">
        <v>162</v>
      </c>
      <c r="ET94" s="8"/>
      <c r="EU94" s="8"/>
      <c r="EV94" s="8"/>
      <c r="EW94" s="8"/>
      <c r="EX94" s="23"/>
      <c r="EY94" s="342"/>
    </row>
    <row r="95" spans="1:155" s="401" customFormat="1" ht="17.100000000000001" customHeight="1" thickBot="1">
      <c r="A95" s="175"/>
      <c r="B95" s="400" t="s">
        <v>266</v>
      </c>
      <c r="C95" s="203" t="s">
        <v>96</v>
      </c>
      <c r="D95" s="318" t="e">
        <f t="shared" si="151"/>
        <v>#DIV/0!</v>
      </c>
      <c r="E95" s="321" t="e">
        <f t="shared" si="152"/>
        <v>#DIV/0!</v>
      </c>
      <c r="F95" s="321" t="e">
        <f t="shared" si="153"/>
        <v>#DIV/0!</v>
      </c>
      <c r="G95" s="324" t="e">
        <f t="shared" si="154"/>
        <v>#DIV/0!</v>
      </c>
      <c r="H95" s="307"/>
      <c r="I95" s="310"/>
      <c r="J95" s="310"/>
      <c r="K95" s="310"/>
      <c r="L95" s="310"/>
      <c r="M95" s="310"/>
      <c r="N95" s="310"/>
      <c r="O95" s="310"/>
      <c r="P95" s="302"/>
      <c r="Q95" s="304"/>
      <c r="R95" s="307"/>
      <c r="S95" s="310"/>
      <c r="T95" s="310"/>
      <c r="U95" s="310"/>
      <c r="V95" s="310"/>
      <c r="W95" s="310"/>
      <c r="X95" s="337"/>
      <c r="Y95" s="307"/>
      <c r="Z95" s="310"/>
      <c r="AA95" s="310"/>
      <c r="AB95" s="310"/>
      <c r="AC95" s="310"/>
      <c r="AD95" s="310"/>
      <c r="AE95" s="337"/>
      <c r="AF95" s="307"/>
      <c r="AG95" s="302"/>
      <c r="AH95" s="302"/>
      <c r="AI95" s="302"/>
      <c r="AJ95" s="302"/>
      <c r="AK95" s="302"/>
      <c r="AL95" s="304"/>
      <c r="AM95" s="334"/>
      <c r="AN95" s="302"/>
      <c r="AO95" s="302"/>
      <c r="AP95" s="302"/>
      <c r="AQ95" s="302"/>
      <c r="AR95" s="302"/>
      <c r="AS95" s="302"/>
      <c r="AT95" s="334"/>
      <c r="AU95" s="302"/>
      <c r="AV95" s="310"/>
      <c r="AW95" s="302"/>
      <c r="AX95" s="302"/>
      <c r="AY95" s="310"/>
      <c r="AZ95" s="337"/>
      <c r="BA95" s="334"/>
      <c r="BB95" s="334"/>
      <c r="BC95" s="334"/>
      <c r="BD95" s="334"/>
      <c r="BE95" s="334"/>
      <c r="BF95" s="334"/>
      <c r="BG95" s="334"/>
      <c r="BH95" s="334"/>
      <c r="BI95" s="302"/>
      <c r="BJ95" s="302"/>
      <c r="BK95" s="302"/>
      <c r="BL95" s="302"/>
      <c r="BM95" s="302"/>
      <c r="BN95" s="304"/>
      <c r="BO95" s="217">
        <v>74.2</v>
      </c>
      <c r="BP95" s="217">
        <v>0.36799999999999999</v>
      </c>
      <c r="BQ95" s="217">
        <v>3.8</v>
      </c>
      <c r="BR95" s="217">
        <v>72.400000000000006</v>
      </c>
      <c r="BS95" s="340">
        <v>0.29099999999999998</v>
      </c>
      <c r="BT95" s="217">
        <v>3.8</v>
      </c>
      <c r="BU95" s="312">
        <v>7.28</v>
      </c>
      <c r="BV95" s="312">
        <v>1.4</v>
      </c>
      <c r="BW95" s="312">
        <v>1280</v>
      </c>
      <c r="BX95" s="312">
        <v>5.91</v>
      </c>
      <c r="BY95" s="312">
        <v>6.57</v>
      </c>
      <c r="BZ95" s="312">
        <v>5200</v>
      </c>
      <c r="CA95" s="312">
        <v>6.87</v>
      </c>
      <c r="CB95" s="312">
        <v>1.43</v>
      </c>
      <c r="CC95" s="312">
        <v>1310</v>
      </c>
      <c r="CD95" s="312">
        <v>6.73</v>
      </c>
      <c r="CE95" s="312">
        <v>3.62</v>
      </c>
      <c r="CF95" s="312">
        <v>2700</v>
      </c>
      <c r="CG95" s="312">
        <v>7.51</v>
      </c>
      <c r="CH95" s="312">
        <v>0.97</v>
      </c>
      <c r="CI95" s="312">
        <v>670</v>
      </c>
      <c r="CJ95" s="312">
        <v>8.26</v>
      </c>
      <c r="CK95" s="312">
        <v>1.92</v>
      </c>
      <c r="CL95" s="312">
        <v>1660</v>
      </c>
      <c r="CM95" s="221"/>
      <c r="CN95" s="221"/>
      <c r="CO95" s="98">
        <v>3</v>
      </c>
      <c r="CP95" s="107">
        <v>7.73</v>
      </c>
      <c r="CQ95" s="107">
        <v>1.88</v>
      </c>
      <c r="CR95" s="108">
        <v>77.2</v>
      </c>
      <c r="CS95" s="107">
        <v>19.3</v>
      </c>
      <c r="CT95" s="107">
        <v>1.54</v>
      </c>
      <c r="CU95" s="146" t="s">
        <v>186</v>
      </c>
      <c r="CV95" s="102">
        <v>2.4</v>
      </c>
      <c r="CW95" s="102">
        <v>9</v>
      </c>
      <c r="CX95" s="102">
        <v>48</v>
      </c>
      <c r="CY95" s="134">
        <v>5</v>
      </c>
      <c r="CZ95" s="107">
        <v>7.92</v>
      </c>
      <c r="DA95" s="107">
        <v>2.0299999999999998</v>
      </c>
      <c r="DB95" s="108">
        <v>76</v>
      </c>
      <c r="DC95" s="107">
        <v>22.1</v>
      </c>
      <c r="DD95" s="107">
        <v>1.76</v>
      </c>
      <c r="DE95" s="135" t="s">
        <v>170</v>
      </c>
      <c r="DF95" s="102">
        <v>2</v>
      </c>
      <c r="DG95" s="102">
        <v>16</v>
      </c>
      <c r="DH95" s="102">
        <v>45</v>
      </c>
      <c r="DI95" s="101"/>
      <c r="DJ95" s="99"/>
      <c r="DK95" s="99"/>
      <c r="DL95" s="100"/>
      <c r="DM95" s="99"/>
      <c r="DN95" s="99"/>
      <c r="DO95" s="101"/>
      <c r="DP95" s="101"/>
      <c r="DQ95" s="101"/>
      <c r="DR95" s="101"/>
      <c r="DS95" s="147"/>
      <c r="DT95" s="99"/>
      <c r="DU95" s="99"/>
      <c r="DV95" s="100"/>
      <c r="DW95" s="99"/>
      <c r="DX95" s="99"/>
      <c r="DY95" s="104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6"/>
      <c r="EM95" s="101"/>
      <c r="EN95" s="99"/>
      <c r="EO95" s="99"/>
      <c r="EP95" s="100"/>
      <c r="EQ95" s="99"/>
      <c r="ER95" s="99"/>
      <c r="ES95" s="101"/>
      <c r="ET95" s="102"/>
      <c r="EU95" s="102"/>
      <c r="EV95" s="102"/>
      <c r="EW95" s="102"/>
      <c r="EX95" s="101"/>
      <c r="EY95" s="343"/>
    </row>
    <row r="96" spans="1:155" s="398" customFormat="1" ht="17.100000000000001" customHeight="1">
      <c r="A96" s="173">
        <v>23</v>
      </c>
      <c r="B96" s="397" t="s">
        <v>281</v>
      </c>
      <c r="C96" s="189" t="s">
        <v>96</v>
      </c>
      <c r="D96" s="316">
        <f>(I96+H96)/(H96+I96+J96+K96+L96)*100</f>
        <v>71.038251366120221</v>
      </c>
      <c r="E96" s="319">
        <f>J96/(H96+I96+J96+K96+L96)*100</f>
        <v>28.961748633879779</v>
      </c>
      <c r="F96" s="319">
        <f>K96/(H96+I96+J96+K96+L96)*100</f>
        <v>0</v>
      </c>
      <c r="G96" s="322">
        <f>L96/(H96+I96+J96+K96+L96)*100</f>
        <v>0</v>
      </c>
      <c r="H96" s="308">
        <v>13</v>
      </c>
      <c r="I96" s="308">
        <v>0</v>
      </c>
      <c r="J96" s="308">
        <v>5.3</v>
      </c>
      <c r="K96" s="308">
        <v>0</v>
      </c>
      <c r="L96" s="308">
        <v>0</v>
      </c>
      <c r="M96" s="308">
        <v>6</v>
      </c>
      <c r="N96" s="308">
        <v>1.4</v>
      </c>
      <c r="O96" s="308">
        <v>0.05</v>
      </c>
      <c r="P96" s="301"/>
      <c r="Q96" s="303"/>
      <c r="R96" s="305">
        <v>1</v>
      </c>
      <c r="S96" s="308">
        <v>0</v>
      </c>
      <c r="T96" s="308">
        <v>0.42</v>
      </c>
      <c r="U96" s="308">
        <v>0</v>
      </c>
      <c r="V96" s="308">
        <v>0</v>
      </c>
      <c r="W96" s="308">
        <v>3.57</v>
      </c>
      <c r="X96" s="335">
        <v>20.5</v>
      </c>
      <c r="Y96" s="305">
        <f>H96*R96*10</f>
        <v>130</v>
      </c>
      <c r="Z96" s="308">
        <f>I96*S96*10</f>
        <v>0</v>
      </c>
      <c r="AA96" s="308">
        <f t="shared" ref="AA96:AD96" si="245">J96*T96*10</f>
        <v>22.259999999999998</v>
      </c>
      <c r="AB96" s="308">
        <f t="shared" si="245"/>
        <v>0</v>
      </c>
      <c r="AC96" s="308">
        <f t="shared" si="245"/>
        <v>0</v>
      </c>
      <c r="AD96" s="308">
        <f t="shared" si="245"/>
        <v>214.2</v>
      </c>
      <c r="AE96" s="335">
        <f>O96*X96*10</f>
        <v>10.250000000000002</v>
      </c>
      <c r="AF96" s="305">
        <v>13.3</v>
      </c>
      <c r="AG96" s="301"/>
      <c r="AH96" s="301">
        <v>1.8</v>
      </c>
      <c r="AI96" s="301">
        <v>0</v>
      </c>
      <c r="AJ96" s="301">
        <v>0</v>
      </c>
      <c r="AK96" s="301">
        <v>27.8</v>
      </c>
      <c r="AL96" s="303">
        <v>85.3</v>
      </c>
      <c r="AM96" s="332">
        <f>AF96*10*H96</f>
        <v>1729</v>
      </c>
      <c r="AN96" s="301">
        <f t="shared" ref="AN96:AS96" si="246">AG96*I96*10</f>
        <v>0</v>
      </c>
      <c r="AO96" s="301">
        <f t="shared" si="246"/>
        <v>95.399999999999991</v>
      </c>
      <c r="AP96" s="301">
        <f t="shared" si="246"/>
        <v>0</v>
      </c>
      <c r="AQ96" s="301">
        <f t="shared" si="246"/>
        <v>0</v>
      </c>
      <c r="AR96" s="301">
        <f t="shared" si="246"/>
        <v>1668</v>
      </c>
      <c r="AS96" s="301">
        <f t="shared" si="246"/>
        <v>1194.1999999999998</v>
      </c>
      <c r="AT96" s="332"/>
      <c r="AU96" s="301">
        <v>0</v>
      </c>
      <c r="AV96" s="308">
        <v>67.099999999999994</v>
      </c>
      <c r="AW96" s="301">
        <v>0</v>
      </c>
      <c r="AX96" s="301">
        <v>0</v>
      </c>
      <c r="AY96" s="308">
        <v>19.3</v>
      </c>
      <c r="AZ96" s="335">
        <v>26.8</v>
      </c>
      <c r="BA96" s="332">
        <f t="shared" ref="BA96:BG96" si="247">(H96*3*1000)/(1-AT96/100)</f>
        <v>39000</v>
      </c>
      <c r="BB96" s="332">
        <f t="shared" si="247"/>
        <v>0</v>
      </c>
      <c r="BC96" s="332">
        <f t="shared" si="247"/>
        <v>48328.267477203633</v>
      </c>
      <c r="BD96" s="332">
        <f t="shared" si="247"/>
        <v>0</v>
      </c>
      <c r="BE96" s="332">
        <f t="shared" si="247"/>
        <v>0</v>
      </c>
      <c r="BF96" s="332">
        <f t="shared" si="247"/>
        <v>22304.832713754648</v>
      </c>
      <c r="BG96" s="332">
        <f t="shared" si="247"/>
        <v>5737.7049180327858</v>
      </c>
      <c r="BH96" s="332">
        <f t="shared" ref="BH96" si="248">H96+I96+J96+K96+L96</f>
        <v>18.3</v>
      </c>
      <c r="BI96" s="301">
        <f t="shared" ref="BI96" si="249">M96+N96+O96</f>
        <v>7.45</v>
      </c>
      <c r="BJ96" s="301">
        <f t="shared" ref="BJ96" si="250">BH96+BI96</f>
        <v>25.75</v>
      </c>
      <c r="BK96" s="301">
        <f t="shared" ref="BK96" si="251">Y96+Z96+AA96+AB96+AC96+AD96+AE96</f>
        <v>376.71</v>
      </c>
      <c r="BL96" s="301">
        <f t="shared" ref="BL96" si="252">AM96+AN96+AO96+AP96+AQ96+AR96+AS96</f>
        <v>4686.6000000000004</v>
      </c>
      <c r="BM96" s="301">
        <f t="shared" ref="BM96" si="253">BJ96*3*1000</f>
        <v>77250</v>
      </c>
      <c r="BN96" s="303">
        <f t="shared" ref="BN96" si="254">BA96+BB96+BC96+BD96+BE96+BF96+BG96</f>
        <v>115370.80510899106</v>
      </c>
      <c r="BO96" s="216">
        <v>73.599999999999994</v>
      </c>
      <c r="BP96" s="216">
        <v>0.82399999999999995</v>
      </c>
      <c r="BQ96" s="216">
        <v>7.26</v>
      </c>
      <c r="BR96" s="216">
        <v>75</v>
      </c>
      <c r="BS96" s="338">
        <v>0.43099999999999999</v>
      </c>
      <c r="BT96" s="216">
        <v>8.3000000000000007</v>
      </c>
      <c r="BU96" s="354">
        <v>7.2</v>
      </c>
      <c r="BV96" s="354">
        <v>1</v>
      </c>
      <c r="BW96" s="354">
        <v>1050</v>
      </c>
      <c r="BX96" s="354">
        <v>6.44</v>
      </c>
      <c r="BY96" s="354">
        <v>5.66</v>
      </c>
      <c r="BZ96" s="354">
        <v>5100</v>
      </c>
      <c r="CA96" s="354">
        <v>7.1</v>
      </c>
      <c r="CB96" s="354">
        <v>0.95</v>
      </c>
      <c r="CC96" s="354">
        <v>1130</v>
      </c>
      <c r="CD96" s="354">
        <v>7.32</v>
      </c>
      <c r="CE96" s="354">
        <v>3.14</v>
      </c>
      <c r="CF96" s="354">
        <v>2700</v>
      </c>
      <c r="CG96" s="354">
        <v>7.3</v>
      </c>
      <c r="CH96" s="354">
        <v>1.28</v>
      </c>
      <c r="CI96" s="354">
        <v>1200</v>
      </c>
      <c r="CJ96" s="354">
        <v>7.35</v>
      </c>
      <c r="CK96" s="354">
        <v>2.54</v>
      </c>
      <c r="CL96" s="354">
        <v>2400</v>
      </c>
      <c r="CM96" s="220">
        <v>76</v>
      </c>
      <c r="CN96" s="220">
        <v>75.099999999999994</v>
      </c>
      <c r="CO96" s="75"/>
      <c r="CP96" s="122"/>
      <c r="CQ96" s="122"/>
      <c r="CR96" s="123"/>
      <c r="CS96" s="122"/>
      <c r="CT96" s="122"/>
      <c r="CU96" s="140"/>
      <c r="CV96" s="79"/>
      <c r="CW96" s="79"/>
      <c r="CX96" s="79"/>
      <c r="CY96" s="141"/>
      <c r="CZ96" s="122"/>
      <c r="DA96" s="122"/>
      <c r="DB96" s="123"/>
      <c r="DC96" s="122"/>
      <c r="DD96" s="122"/>
      <c r="DE96" s="140"/>
      <c r="DF96" s="79"/>
      <c r="DG96" s="79"/>
      <c r="DH96" s="79"/>
      <c r="DI96" s="121"/>
      <c r="DJ96" s="122"/>
      <c r="DK96" s="122"/>
      <c r="DL96" s="123"/>
      <c r="DM96" s="122"/>
      <c r="DN96" s="122"/>
      <c r="DO96" s="121"/>
      <c r="DP96" s="121"/>
      <c r="DQ96" s="121"/>
      <c r="DR96" s="121"/>
      <c r="DS96" s="85">
        <v>10</v>
      </c>
      <c r="DT96" s="76">
        <v>7.88</v>
      </c>
      <c r="DU96" s="76">
        <v>1.74</v>
      </c>
      <c r="DV96" s="77">
        <v>74.2</v>
      </c>
      <c r="DW96" s="76">
        <v>25.9</v>
      </c>
      <c r="DX96" s="76">
        <v>1.96</v>
      </c>
      <c r="DY96" s="86" t="s">
        <v>187</v>
      </c>
      <c r="DZ96" s="79">
        <v>1.75</v>
      </c>
      <c r="EA96" s="79">
        <v>6</v>
      </c>
      <c r="EB96" s="79">
        <v>8</v>
      </c>
      <c r="EC96" s="79">
        <v>36</v>
      </c>
      <c r="ED96" s="79">
        <v>0</v>
      </c>
      <c r="EE96" s="79">
        <v>10</v>
      </c>
      <c r="EF96" s="79">
        <v>8</v>
      </c>
      <c r="EG96" s="79">
        <v>6</v>
      </c>
      <c r="EH96" s="79">
        <v>87</v>
      </c>
      <c r="EI96" s="79">
        <v>7</v>
      </c>
      <c r="EJ96" s="79">
        <v>0</v>
      </c>
      <c r="EK96" s="79">
        <f t="shared" ref="EK96:EK97" si="255">EA96+EB96+EC96+ED96+EE96+EF96+EG96+EH96+EI96+EJ96</f>
        <v>168</v>
      </c>
      <c r="EL96" s="87">
        <v>67</v>
      </c>
      <c r="EM96" s="79">
        <v>62</v>
      </c>
      <c r="EN96" s="76">
        <v>7.46</v>
      </c>
      <c r="EO96" s="76">
        <v>2.16</v>
      </c>
      <c r="EP96" s="77">
        <v>68.400000000000006</v>
      </c>
      <c r="EQ96" s="76">
        <v>28.6</v>
      </c>
      <c r="ER96" s="76">
        <v>2.1</v>
      </c>
      <c r="ES96" s="79" t="s">
        <v>176</v>
      </c>
      <c r="ET96" s="79"/>
      <c r="EU96" s="79"/>
      <c r="EV96" s="79"/>
      <c r="EW96" s="79"/>
      <c r="EX96" s="121"/>
      <c r="EY96" s="341">
        <f t="shared" ref="EY96:EY100" si="256">EW96+EW97+EW98+EW99</f>
        <v>0</v>
      </c>
    </row>
    <row r="97" spans="1:155" ht="17.100000000000001" customHeight="1">
      <c r="A97" s="174"/>
      <c r="B97" s="397" t="s">
        <v>281</v>
      </c>
      <c r="C97" s="190"/>
      <c r="D97" s="317" t="e">
        <f>(I97+H97)/(H97+I97+J97+K97+L97)*100</f>
        <v>#DIV/0!</v>
      </c>
      <c r="E97" s="320" t="e">
        <f>J97/(H97+I97+J97+K97+L97)*100</f>
        <v>#DIV/0!</v>
      </c>
      <c r="F97" s="320" t="e">
        <f>K97/(H97+I97+J97+K97+L97)*100</f>
        <v>#DIV/0!</v>
      </c>
      <c r="G97" s="323" t="e">
        <f>L97/(H97+I97+J97+K97+L97)*100</f>
        <v>#DIV/0!</v>
      </c>
      <c r="H97" s="309"/>
      <c r="I97" s="309"/>
      <c r="J97" s="309"/>
      <c r="K97" s="309"/>
      <c r="L97" s="309"/>
      <c r="M97" s="309"/>
      <c r="N97" s="309"/>
      <c r="O97" s="309"/>
      <c r="P97" s="211"/>
      <c r="Q97" s="214"/>
      <c r="R97" s="306"/>
      <c r="S97" s="309"/>
      <c r="T97" s="309"/>
      <c r="U97" s="309"/>
      <c r="V97" s="309"/>
      <c r="W97" s="309"/>
      <c r="X97" s="336"/>
      <c r="Y97" s="306"/>
      <c r="Z97" s="309"/>
      <c r="AA97" s="309"/>
      <c r="AB97" s="309"/>
      <c r="AC97" s="309"/>
      <c r="AD97" s="309"/>
      <c r="AE97" s="336"/>
      <c r="AF97" s="306"/>
      <c r="AG97" s="211"/>
      <c r="AH97" s="211"/>
      <c r="AI97" s="211"/>
      <c r="AJ97" s="211"/>
      <c r="AK97" s="211"/>
      <c r="AL97" s="214"/>
      <c r="AM97" s="333"/>
      <c r="AN97" s="211"/>
      <c r="AO97" s="211"/>
      <c r="AP97" s="211"/>
      <c r="AQ97" s="211"/>
      <c r="AR97" s="211"/>
      <c r="AS97" s="211"/>
      <c r="AT97" s="333"/>
      <c r="AU97" s="211"/>
      <c r="AV97" s="309"/>
      <c r="AW97" s="211"/>
      <c r="AX97" s="211"/>
      <c r="AY97" s="309"/>
      <c r="AZ97" s="336"/>
      <c r="BA97" s="333"/>
      <c r="BB97" s="333"/>
      <c r="BC97" s="333"/>
      <c r="BD97" s="333"/>
      <c r="BE97" s="333"/>
      <c r="BF97" s="333"/>
      <c r="BG97" s="333"/>
      <c r="BH97" s="333"/>
      <c r="BI97" s="211"/>
      <c r="BJ97" s="211"/>
      <c r="BK97" s="211"/>
      <c r="BL97" s="211"/>
      <c r="BM97" s="211"/>
      <c r="BN97" s="214"/>
      <c r="BO97" s="196">
        <v>72</v>
      </c>
      <c r="BP97" s="196">
        <v>0.43099999999999999</v>
      </c>
      <c r="BQ97" s="196">
        <v>7.89</v>
      </c>
      <c r="BR97" s="196">
        <v>71</v>
      </c>
      <c r="BS97" s="339">
        <v>0.56100000000000005</v>
      </c>
      <c r="BT97" s="196">
        <v>6.21</v>
      </c>
      <c r="BU97" s="355">
        <v>7.2</v>
      </c>
      <c r="BV97" s="355">
        <v>1</v>
      </c>
      <c r="BW97" s="355">
        <v>1050</v>
      </c>
      <c r="BX97" s="355">
        <v>6.44</v>
      </c>
      <c r="BY97" s="355">
        <v>5.66</v>
      </c>
      <c r="BZ97" s="355">
        <v>5100</v>
      </c>
      <c r="CA97" s="355">
        <v>7.1</v>
      </c>
      <c r="CB97" s="355">
        <v>0.95</v>
      </c>
      <c r="CC97" s="355">
        <v>1130</v>
      </c>
      <c r="CD97" s="355">
        <v>7.32</v>
      </c>
      <c r="CE97" s="355">
        <v>3.14</v>
      </c>
      <c r="CF97" s="355">
        <v>2700</v>
      </c>
      <c r="CG97" s="355">
        <v>7.3</v>
      </c>
      <c r="CH97" s="355">
        <v>1.28</v>
      </c>
      <c r="CI97" s="355">
        <v>1200</v>
      </c>
      <c r="CJ97" s="355">
        <v>7.35</v>
      </c>
      <c r="CK97" s="355">
        <v>2.54</v>
      </c>
      <c r="CL97" s="355">
        <v>2400</v>
      </c>
      <c r="CM97" s="205"/>
      <c r="CN97" s="205"/>
      <c r="CO97" s="13">
        <v>8</v>
      </c>
      <c r="CP97" s="10">
        <v>7.91</v>
      </c>
      <c r="CQ97" s="10">
        <v>1.72</v>
      </c>
      <c r="CR97" s="11">
        <v>75.8</v>
      </c>
      <c r="CS97" s="10">
        <v>20.6</v>
      </c>
      <c r="CT97" s="10">
        <v>1.59</v>
      </c>
      <c r="CU97" s="20" t="s">
        <v>155</v>
      </c>
      <c r="CV97" s="8">
        <v>2.5499999999999998</v>
      </c>
      <c r="CW97" s="8">
        <v>17</v>
      </c>
      <c r="CX97" s="8">
        <v>48</v>
      </c>
      <c r="CY97" s="19">
        <v>8</v>
      </c>
      <c r="CZ97" s="10">
        <v>7.83</v>
      </c>
      <c r="DA97" s="10">
        <v>1.83</v>
      </c>
      <c r="DB97" s="11">
        <v>74.599999999999994</v>
      </c>
      <c r="DC97" s="10">
        <v>22.8</v>
      </c>
      <c r="DD97" s="10">
        <v>1.84</v>
      </c>
      <c r="DE97" s="20" t="s">
        <v>188</v>
      </c>
      <c r="DF97" s="8">
        <v>2</v>
      </c>
      <c r="DG97" s="8">
        <v>36</v>
      </c>
      <c r="DH97" s="8">
        <v>36</v>
      </c>
      <c r="DI97" s="8"/>
      <c r="DJ97" s="10"/>
      <c r="DK97" s="10"/>
      <c r="DL97" s="11"/>
      <c r="DM97" s="10"/>
      <c r="DN97" s="10"/>
      <c r="DO97" s="8"/>
      <c r="DP97" s="8"/>
      <c r="DQ97" s="8"/>
      <c r="DR97" s="8"/>
      <c r="DS97" s="19">
        <v>11</v>
      </c>
      <c r="DT97" s="10">
        <v>7.85</v>
      </c>
      <c r="DU97" s="10">
        <v>1.8</v>
      </c>
      <c r="DV97" s="11">
        <v>74.5</v>
      </c>
      <c r="DW97" s="10">
        <v>25.5</v>
      </c>
      <c r="DX97" s="10">
        <v>1.96</v>
      </c>
      <c r="DY97" s="20" t="s">
        <v>189</v>
      </c>
      <c r="DZ97" s="8">
        <v>1.8</v>
      </c>
      <c r="EA97" s="8">
        <v>8</v>
      </c>
      <c r="EB97" s="8">
        <v>6</v>
      </c>
      <c r="EC97" s="8">
        <v>26</v>
      </c>
      <c r="ED97" s="8">
        <v>0</v>
      </c>
      <c r="EE97" s="8">
        <v>10</v>
      </c>
      <c r="EF97" s="8">
        <v>13</v>
      </c>
      <c r="EG97" s="8">
        <v>0</v>
      </c>
      <c r="EH97" s="8">
        <v>88</v>
      </c>
      <c r="EI97" s="8">
        <v>28</v>
      </c>
      <c r="EJ97" s="8">
        <v>6</v>
      </c>
      <c r="EK97" s="8">
        <f t="shared" si="255"/>
        <v>185</v>
      </c>
      <c r="EL97" s="9">
        <v>68</v>
      </c>
      <c r="EM97" s="8">
        <v>25</v>
      </c>
      <c r="EN97" s="10">
        <v>7.44</v>
      </c>
      <c r="EO97" s="10">
        <v>2.4</v>
      </c>
      <c r="EP97" s="11">
        <v>68.2</v>
      </c>
      <c r="EQ97" s="10">
        <v>29.1</v>
      </c>
      <c r="ER97" s="10">
        <v>2.1</v>
      </c>
      <c r="ES97" s="8" t="s">
        <v>190</v>
      </c>
      <c r="ET97" s="8"/>
      <c r="EU97" s="8"/>
      <c r="EV97" s="8"/>
      <c r="EW97" s="8"/>
      <c r="EX97" s="23"/>
      <c r="EY97" s="342"/>
    </row>
    <row r="98" spans="1:155" ht="17.100000000000001" customHeight="1">
      <c r="A98" s="174"/>
      <c r="B98" s="397" t="s">
        <v>281</v>
      </c>
      <c r="C98" s="190"/>
      <c r="D98" s="317" t="e">
        <f>(I98+H98)/(H98+I98+J98+K98+L98)*100</f>
        <v>#DIV/0!</v>
      </c>
      <c r="E98" s="320" t="e">
        <f>J98/(H98+I98+J98+K98+L98)*100</f>
        <v>#DIV/0!</v>
      </c>
      <c r="F98" s="320" t="e">
        <f>K98/(H98+I98+J98+K98+L98)*100</f>
        <v>#DIV/0!</v>
      </c>
      <c r="G98" s="323" t="e">
        <f>L98/(H98+I98+J98+K98+L98)*100</f>
        <v>#DIV/0!</v>
      </c>
      <c r="H98" s="309"/>
      <c r="I98" s="309"/>
      <c r="J98" s="309"/>
      <c r="K98" s="309"/>
      <c r="L98" s="309"/>
      <c r="M98" s="309"/>
      <c r="N98" s="309"/>
      <c r="O98" s="309"/>
      <c r="P98" s="211"/>
      <c r="Q98" s="214"/>
      <c r="R98" s="306"/>
      <c r="S98" s="309"/>
      <c r="T98" s="309"/>
      <c r="U98" s="309"/>
      <c r="V98" s="309"/>
      <c r="W98" s="309"/>
      <c r="X98" s="336"/>
      <c r="Y98" s="306"/>
      <c r="Z98" s="309"/>
      <c r="AA98" s="309"/>
      <c r="AB98" s="309"/>
      <c r="AC98" s="309"/>
      <c r="AD98" s="309"/>
      <c r="AE98" s="336"/>
      <c r="AF98" s="306"/>
      <c r="AG98" s="211"/>
      <c r="AH98" s="211"/>
      <c r="AI98" s="211"/>
      <c r="AJ98" s="211"/>
      <c r="AK98" s="211"/>
      <c r="AL98" s="214"/>
      <c r="AM98" s="333"/>
      <c r="AN98" s="211"/>
      <c r="AO98" s="211"/>
      <c r="AP98" s="211"/>
      <c r="AQ98" s="211"/>
      <c r="AR98" s="211"/>
      <c r="AS98" s="211"/>
      <c r="AT98" s="333"/>
      <c r="AU98" s="211"/>
      <c r="AV98" s="309"/>
      <c r="AW98" s="211"/>
      <c r="AX98" s="211"/>
      <c r="AY98" s="309"/>
      <c r="AZ98" s="336"/>
      <c r="BA98" s="333"/>
      <c r="BB98" s="333"/>
      <c r="BC98" s="333"/>
      <c r="BD98" s="333"/>
      <c r="BE98" s="333"/>
      <c r="BF98" s="333"/>
      <c r="BG98" s="333"/>
      <c r="BH98" s="333"/>
      <c r="BI98" s="211"/>
      <c r="BJ98" s="211"/>
      <c r="BK98" s="211"/>
      <c r="BL98" s="211"/>
      <c r="BM98" s="211"/>
      <c r="BN98" s="214"/>
      <c r="BO98" s="196">
        <v>74.2</v>
      </c>
      <c r="BP98" s="196">
        <v>0.36799999999999999</v>
      </c>
      <c r="BQ98" s="196">
        <v>3.8</v>
      </c>
      <c r="BR98" s="196">
        <v>72.400000000000006</v>
      </c>
      <c r="BS98" s="339">
        <v>0.29099999999999998</v>
      </c>
      <c r="BT98" s="196">
        <v>3.8</v>
      </c>
      <c r="BU98" s="355">
        <v>7.2</v>
      </c>
      <c r="BV98" s="355">
        <v>1</v>
      </c>
      <c r="BW98" s="355">
        <v>1050</v>
      </c>
      <c r="BX98" s="355">
        <v>6.44</v>
      </c>
      <c r="BY98" s="355">
        <v>5.66</v>
      </c>
      <c r="BZ98" s="355">
        <v>5100</v>
      </c>
      <c r="CA98" s="355">
        <v>7.1</v>
      </c>
      <c r="CB98" s="355">
        <v>0.95</v>
      </c>
      <c r="CC98" s="355">
        <v>1130</v>
      </c>
      <c r="CD98" s="355">
        <v>7.32</v>
      </c>
      <c r="CE98" s="355">
        <v>3.14</v>
      </c>
      <c r="CF98" s="355">
        <v>2700</v>
      </c>
      <c r="CG98" s="355">
        <v>7.3</v>
      </c>
      <c r="CH98" s="355">
        <v>1.28</v>
      </c>
      <c r="CI98" s="355">
        <v>1200</v>
      </c>
      <c r="CJ98" s="355">
        <v>7.35</v>
      </c>
      <c r="CK98" s="355">
        <v>2.54</v>
      </c>
      <c r="CL98" s="355">
        <v>2400</v>
      </c>
      <c r="CM98" s="205"/>
      <c r="CN98" s="205"/>
      <c r="CO98" s="13">
        <v>9</v>
      </c>
      <c r="CP98" s="10">
        <v>7.94</v>
      </c>
      <c r="CQ98" s="10">
        <v>1.78</v>
      </c>
      <c r="CR98" s="11">
        <v>75.7</v>
      </c>
      <c r="CS98" s="10">
        <v>19.8</v>
      </c>
      <c r="CT98" s="10">
        <v>1.61</v>
      </c>
      <c r="CU98" s="20" t="s">
        <v>155</v>
      </c>
      <c r="CV98" s="8">
        <v>2.5499999999999998</v>
      </c>
      <c r="CW98" s="8">
        <v>16</v>
      </c>
      <c r="CX98" s="8">
        <v>51</v>
      </c>
      <c r="CY98" s="19">
        <v>9</v>
      </c>
      <c r="CZ98" s="10">
        <v>7.86</v>
      </c>
      <c r="DA98" s="10">
        <v>1.89</v>
      </c>
      <c r="DB98" s="11">
        <v>74.8</v>
      </c>
      <c r="DC98" s="10">
        <v>23.2</v>
      </c>
      <c r="DD98" s="10">
        <v>1.82</v>
      </c>
      <c r="DE98" s="20" t="s">
        <v>164</v>
      </c>
      <c r="DF98" s="8">
        <v>2</v>
      </c>
      <c r="DG98" s="8">
        <v>29</v>
      </c>
      <c r="DH98" s="8">
        <v>29</v>
      </c>
      <c r="DI98" s="8"/>
      <c r="DJ98" s="10"/>
      <c r="DK98" s="10"/>
      <c r="DL98" s="11"/>
      <c r="DM98" s="10"/>
      <c r="DN98" s="10"/>
      <c r="DO98" s="8"/>
      <c r="DP98" s="8"/>
      <c r="DQ98" s="8"/>
      <c r="DR98" s="8"/>
      <c r="DS98" s="19">
        <v>8</v>
      </c>
      <c r="DT98" s="10">
        <v>7.75</v>
      </c>
      <c r="DU98" s="10">
        <v>1.72</v>
      </c>
      <c r="DV98" s="11">
        <v>74.599999999999994</v>
      </c>
      <c r="DW98" s="10">
        <v>25.8</v>
      </c>
      <c r="DX98" s="10">
        <v>1.89</v>
      </c>
      <c r="DY98" s="20" t="s">
        <v>160</v>
      </c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9"/>
      <c r="EM98" s="10"/>
      <c r="EN98" s="10"/>
      <c r="EO98" s="10"/>
      <c r="EP98" s="11"/>
      <c r="EQ98" s="10"/>
      <c r="ER98" s="10"/>
      <c r="ES98" s="12"/>
      <c r="ET98" s="8"/>
      <c r="EU98" s="8"/>
      <c r="EV98" s="8"/>
      <c r="EW98" s="8"/>
      <c r="EX98" s="23"/>
      <c r="EY98" s="342"/>
    </row>
    <row r="99" spans="1:155" s="401" customFormat="1" ht="17.100000000000001" customHeight="1" thickBot="1">
      <c r="A99" s="175"/>
      <c r="B99" s="400" t="s">
        <v>281</v>
      </c>
      <c r="C99" s="191"/>
      <c r="D99" s="318" t="e">
        <f>(I99+H99)/(H99+I99+J99+K99+L99)*100</f>
        <v>#DIV/0!</v>
      </c>
      <c r="E99" s="321" t="e">
        <f>J99/(H99+I99+J99+K99+L99)*100</f>
        <v>#DIV/0!</v>
      </c>
      <c r="F99" s="321" t="e">
        <f>K99/(H99+I99+J99+K99+L99)*100</f>
        <v>#DIV/0!</v>
      </c>
      <c r="G99" s="324" t="e">
        <f>L99/(H99+I99+J99+K99+L99)*100</f>
        <v>#DIV/0!</v>
      </c>
      <c r="H99" s="310"/>
      <c r="I99" s="310"/>
      <c r="J99" s="310"/>
      <c r="K99" s="310"/>
      <c r="L99" s="310"/>
      <c r="M99" s="310"/>
      <c r="N99" s="310"/>
      <c r="O99" s="310"/>
      <c r="P99" s="302"/>
      <c r="Q99" s="304"/>
      <c r="R99" s="307"/>
      <c r="S99" s="310"/>
      <c r="T99" s="310"/>
      <c r="U99" s="310"/>
      <c r="V99" s="310"/>
      <c r="W99" s="310"/>
      <c r="X99" s="337"/>
      <c r="Y99" s="307"/>
      <c r="Z99" s="310"/>
      <c r="AA99" s="310"/>
      <c r="AB99" s="310"/>
      <c r="AC99" s="310"/>
      <c r="AD99" s="310"/>
      <c r="AE99" s="337"/>
      <c r="AF99" s="307"/>
      <c r="AG99" s="302"/>
      <c r="AH99" s="302"/>
      <c r="AI99" s="302"/>
      <c r="AJ99" s="302"/>
      <c r="AK99" s="302"/>
      <c r="AL99" s="304"/>
      <c r="AM99" s="334"/>
      <c r="AN99" s="302"/>
      <c r="AO99" s="302"/>
      <c r="AP99" s="302"/>
      <c r="AQ99" s="302"/>
      <c r="AR99" s="302"/>
      <c r="AS99" s="302"/>
      <c r="AT99" s="334"/>
      <c r="AU99" s="302"/>
      <c r="AV99" s="310"/>
      <c r="AW99" s="302"/>
      <c r="AX99" s="302"/>
      <c r="AY99" s="310"/>
      <c r="AZ99" s="337"/>
      <c r="BA99" s="334"/>
      <c r="BB99" s="334"/>
      <c r="BC99" s="334"/>
      <c r="BD99" s="334"/>
      <c r="BE99" s="334"/>
      <c r="BF99" s="334"/>
      <c r="BG99" s="334"/>
      <c r="BH99" s="334"/>
      <c r="BI99" s="302"/>
      <c r="BJ99" s="302"/>
      <c r="BK99" s="302"/>
      <c r="BL99" s="302"/>
      <c r="BM99" s="302"/>
      <c r="BN99" s="304"/>
      <c r="BO99" s="217">
        <v>73.599999999999994</v>
      </c>
      <c r="BP99" s="217">
        <v>0.82399999999999995</v>
      </c>
      <c r="BQ99" s="217">
        <v>7.26</v>
      </c>
      <c r="BR99" s="217">
        <v>75</v>
      </c>
      <c r="BS99" s="340">
        <v>0.43099999999999999</v>
      </c>
      <c r="BT99" s="217">
        <v>8.3000000000000007</v>
      </c>
      <c r="BU99" s="312">
        <v>7.2</v>
      </c>
      <c r="BV99" s="312">
        <v>1</v>
      </c>
      <c r="BW99" s="312">
        <v>1050</v>
      </c>
      <c r="BX99" s="312">
        <v>6.44</v>
      </c>
      <c r="BY99" s="312">
        <v>5.66</v>
      </c>
      <c r="BZ99" s="312">
        <v>5100</v>
      </c>
      <c r="CA99" s="312">
        <v>7.1</v>
      </c>
      <c r="CB99" s="312">
        <v>0.95</v>
      </c>
      <c r="CC99" s="312">
        <v>1130</v>
      </c>
      <c r="CD99" s="312">
        <v>7.32</v>
      </c>
      <c r="CE99" s="312">
        <v>3.14</v>
      </c>
      <c r="CF99" s="312">
        <v>2700</v>
      </c>
      <c r="CG99" s="312">
        <v>7.3</v>
      </c>
      <c r="CH99" s="312">
        <v>1.28</v>
      </c>
      <c r="CI99" s="312">
        <v>1200</v>
      </c>
      <c r="CJ99" s="312">
        <v>7.35</v>
      </c>
      <c r="CK99" s="312">
        <v>2.54</v>
      </c>
      <c r="CL99" s="312">
        <v>2400</v>
      </c>
      <c r="CM99" s="221"/>
      <c r="CN99" s="221"/>
      <c r="CO99" s="98">
        <v>7</v>
      </c>
      <c r="CP99" s="107">
        <v>7.94</v>
      </c>
      <c r="CQ99" s="107">
        <v>1.78</v>
      </c>
      <c r="CR99" s="108">
        <v>75.7</v>
      </c>
      <c r="CS99" s="107">
        <v>19.600000000000001</v>
      </c>
      <c r="CT99" s="107">
        <v>1.68</v>
      </c>
      <c r="CU99" s="135" t="s">
        <v>191</v>
      </c>
      <c r="CV99" s="102"/>
      <c r="CW99" s="102"/>
      <c r="CX99" s="102"/>
      <c r="CY99" s="134"/>
      <c r="CZ99" s="107"/>
      <c r="DA99" s="107"/>
      <c r="DB99" s="108"/>
      <c r="DC99" s="107"/>
      <c r="DD99" s="107"/>
      <c r="DE99" s="135"/>
      <c r="DF99" s="102"/>
      <c r="DG99" s="102"/>
      <c r="DH99" s="102"/>
      <c r="DI99" s="102"/>
      <c r="DJ99" s="107"/>
      <c r="DK99" s="107"/>
      <c r="DL99" s="108"/>
      <c r="DM99" s="107"/>
      <c r="DN99" s="107"/>
      <c r="DO99" s="102"/>
      <c r="DP99" s="102"/>
      <c r="DQ99" s="102"/>
      <c r="DR99" s="102"/>
      <c r="DS99" s="148"/>
      <c r="DT99" s="107"/>
      <c r="DU99" s="107"/>
      <c r="DV99" s="108"/>
      <c r="DW99" s="107"/>
      <c r="DX99" s="107"/>
      <c r="DY99" s="135"/>
      <c r="DZ99" s="102"/>
      <c r="EA99" s="102"/>
      <c r="EB99" s="102"/>
      <c r="EC99" s="102"/>
      <c r="ED99" s="102"/>
      <c r="EE99" s="102"/>
      <c r="EF99" s="102"/>
      <c r="EG99" s="102"/>
      <c r="EH99" s="102"/>
      <c r="EI99" s="102"/>
      <c r="EJ99" s="102"/>
      <c r="EK99" s="102"/>
      <c r="EL99" s="106"/>
      <c r="EM99" s="107"/>
      <c r="EN99" s="107"/>
      <c r="EO99" s="107"/>
      <c r="EP99" s="108"/>
      <c r="EQ99" s="107"/>
      <c r="ER99" s="107"/>
      <c r="ES99" s="101"/>
      <c r="ET99" s="102"/>
      <c r="EU99" s="102"/>
      <c r="EV99" s="102"/>
      <c r="EW99" s="102"/>
      <c r="EX99" s="101"/>
      <c r="EY99" s="343"/>
    </row>
    <row r="100" spans="1:155" s="398" customFormat="1" ht="17.100000000000001" customHeight="1">
      <c r="A100" s="173">
        <v>24</v>
      </c>
      <c r="B100" s="397" t="s">
        <v>282</v>
      </c>
      <c r="C100" s="201" t="s">
        <v>146</v>
      </c>
      <c r="D100" s="316">
        <f t="shared" ref="D100:D107" si="257">(I100+H100)/(H100+I100+J100+K100+L100)*100</f>
        <v>75.117370892018769</v>
      </c>
      <c r="E100" s="319">
        <f t="shared" ref="E100:E107" si="258">J100/(H100+I100+J100+K100+L100)*100</f>
        <v>24.88262910798122</v>
      </c>
      <c r="F100" s="319">
        <f t="shared" ref="F100:F107" si="259">K100/(H100+I100+J100+K100+L100)*100</f>
        <v>0</v>
      </c>
      <c r="G100" s="322">
        <f t="shared" ref="G100:G107" si="260">L100/(H100+I100+J100+K100+L100)*100</f>
        <v>0</v>
      </c>
      <c r="H100" s="305">
        <v>8</v>
      </c>
      <c r="I100" s="308">
        <v>8</v>
      </c>
      <c r="J100" s="308">
        <v>5.3</v>
      </c>
      <c r="K100" s="308">
        <v>0</v>
      </c>
      <c r="L100" s="308">
        <v>0</v>
      </c>
      <c r="M100" s="308">
        <v>7</v>
      </c>
      <c r="N100" s="308">
        <v>1.5</v>
      </c>
      <c r="O100" s="308">
        <v>0.05</v>
      </c>
      <c r="P100" s="301"/>
      <c r="Q100" s="303"/>
      <c r="R100" s="305">
        <v>0.94</v>
      </c>
      <c r="S100" s="308">
        <v>1.1200000000000001</v>
      </c>
      <c r="T100" s="308">
        <v>0.42</v>
      </c>
      <c r="U100" s="308">
        <v>0</v>
      </c>
      <c r="V100" s="308">
        <v>0</v>
      </c>
      <c r="W100" s="308">
        <v>3.4</v>
      </c>
      <c r="X100" s="335">
        <v>20.5</v>
      </c>
      <c r="Y100" s="305">
        <f t="shared" ref="Y100:AD100" si="261">H100*R100*10</f>
        <v>75.199999999999989</v>
      </c>
      <c r="Z100" s="308">
        <f t="shared" si="261"/>
        <v>89.600000000000009</v>
      </c>
      <c r="AA100" s="308">
        <f t="shared" si="261"/>
        <v>22.259999999999998</v>
      </c>
      <c r="AB100" s="308">
        <f t="shared" si="261"/>
        <v>0</v>
      </c>
      <c r="AC100" s="308">
        <f t="shared" si="261"/>
        <v>0</v>
      </c>
      <c r="AD100" s="308">
        <f t="shared" si="261"/>
        <v>238</v>
      </c>
      <c r="AE100" s="335">
        <f>O100*X100*10</f>
        <v>10.250000000000002</v>
      </c>
      <c r="AF100" s="305">
        <v>12.1</v>
      </c>
      <c r="AG100" s="301">
        <v>13.6</v>
      </c>
      <c r="AH100" s="301">
        <v>1.8</v>
      </c>
      <c r="AI100" s="301">
        <v>0</v>
      </c>
      <c r="AJ100" s="301">
        <v>0</v>
      </c>
      <c r="AK100" s="301">
        <v>30.6</v>
      </c>
      <c r="AL100" s="303">
        <v>85.6</v>
      </c>
      <c r="AM100" s="332">
        <f>AF100*10*H100</f>
        <v>968</v>
      </c>
      <c r="AN100" s="301">
        <f t="shared" ref="AN100:AS100" si="262">AG100*I100*10</f>
        <v>1088</v>
      </c>
      <c r="AO100" s="301">
        <f t="shared" si="262"/>
        <v>95.399999999999991</v>
      </c>
      <c r="AP100" s="301">
        <f t="shared" si="262"/>
        <v>0</v>
      </c>
      <c r="AQ100" s="301">
        <f t="shared" si="262"/>
        <v>0</v>
      </c>
      <c r="AR100" s="301">
        <f t="shared" si="262"/>
        <v>2142</v>
      </c>
      <c r="AS100" s="301">
        <f t="shared" si="262"/>
        <v>1283.9999999999998</v>
      </c>
      <c r="AT100" s="332"/>
      <c r="AU100" s="301">
        <v>12.2</v>
      </c>
      <c r="AV100" s="308">
        <v>66.900000000000006</v>
      </c>
      <c r="AW100" s="301">
        <v>0</v>
      </c>
      <c r="AX100" s="301">
        <v>0</v>
      </c>
      <c r="AY100" s="308">
        <v>22.5</v>
      </c>
      <c r="AZ100" s="335">
        <v>26.5</v>
      </c>
      <c r="BA100" s="332">
        <f t="shared" ref="BA100:BG100" si="263">(H100*3*1000)/(1-AT100/100)</f>
        <v>24000</v>
      </c>
      <c r="BB100" s="332">
        <f t="shared" si="263"/>
        <v>27334.851936218678</v>
      </c>
      <c r="BC100" s="332">
        <f t="shared" si="263"/>
        <v>48036.253776435049</v>
      </c>
      <c r="BD100" s="332">
        <f t="shared" si="263"/>
        <v>0</v>
      </c>
      <c r="BE100" s="332">
        <f t="shared" si="263"/>
        <v>0</v>
      </c>
      <c r="BF100" s="332">
        <f t="shared" si="263"/>
        <v>27096.774193548386</v>
      </c>
      <c r="BG100" s="332">
        <f t="shared" si="263"/>
        <v>6122.4489795918371</v>
      </c>
      <c r="BH100" s="332">
        <f t="shared" ref="BH100" si="264">H100+I100+J100+K100+L100</f>
        <v>21.3</v>
      </c>
      <c r="BI100" s="301">
        <f t="shared" ref="BI100" si="265">M100+N100+O100</f>
        <v>8.5500000000000007</v>
      </c>
      <c r="BJ100" s="301">
        <f t="shared" ref="BJ100" si="266">BH100+BI100</f>
        <v>29.85</v>
      </c>
      <c r="BK100" s="301">
        <f t="shared" ref="BK100" si="267">Y100+Z100+AA100+AB100+AC100+AD100+AE100</f>
        <v>435.31</v>
      </c>
      <c r="BL100" s="301">
        <f t="shared" ref="BL100" si="268">AM100+AN100+AO100+AP100+AQ100+AR100+AS100</f>
        <v>5577.4</v>
      </c>
      <c r="BM100" s="301">
        <f t="shared" ref="BM100" si="269">BJ100*3*1000</f>
        <v>89550.000000000015</v>
      </c>
      <c r="BN100" s="303">
        <f t="shared" ref="BN100" si="270">BA100+BB100+BC100+BD100+BE100+BF100+BG100</f>
        <v>132590.32888579395</v>
      </c>
      <c r="BO100" s="216">
        <v>72</v>
      </c>
      <c r="BP100" s="216">
        <v>0.43099999999999999</v>
      </c>
      <c r="BQ100" s="216">
        <v>7.89</v>
      </c>
      <c r="BR100" s="216">
        <v>71</v>
      </c>
      <c r="BS100" s="338">
        <v>0.56100000000000005</v>
      </c>
      <c r="BT100" s="216">
        <v>6.21</v>
      </c>
      <c r="BU100" s="218">
        <v>7.1</v>
      </c>
      <c r="BV100" s="218">
        <v>1.27</v>
      </c>
      <c r="BW100" s="218">
        <v>1070</v>
      </c>
      <c r="BX100" s="218">
        <v>4.95</v>
      </c>
      <c r="BY100" s="218">
        <v>8.52</v>
      </c>
      <c r="BZ100" s="218">
        <v>7700</v>
      </c>
      <c r="CA100" s="218">
        <v>6.86</v>
      </c>
      <c r="CB100" s="218">
        <v>1.35</v>
      </c>
      <c r="CC100" s="218">
        <v>1100</v>
      </c>
      <c r="CD100" s="218">
        <v>6.2</v>
      </c>
      <c r="CE100" s="218">
        <v>3.54</v>
      </c>
      <c r="CF100" s="218">
        <v>3400</v>
      </c>
      <c r="CG100" s="218">
        <v>7.2</v>
      </c>
      <c r="CH100" s="218">
        <v>1.1000000000000001</v>
      </c>
      <c r="CI100" s="218">
        <v>1100</v>
      </c>
      <c r="CJ100" s="218">
        <v>7.58</v>
      </c>
      <c r="CK100" s="218">
        <v>2.6</v>
      </c>
      <c r="CL100" s="218">
        <v>2300</v>
      </c>
      <c r="CM100" s="220">
        <v>77.400000000000006</v>
      </c>
      <c r="CN100" s="220">
        <v>76.8</v>
      </c>
      <c r="CO100" s="75"/>
      <c r="CP100" s="76"/>
      <c r="CQ100" s="76"/>
      <c r="CR100" s="77"/>
      <c r="CS100" s="76"/>
      <c r="CT100" s="76"/>
      <c r="CU100" s="86"/>
      <c r="CV100" s="79"/>
      <c r="CW100" s="79"/>
      <c r="CX100" s="79"/>
      <c r="CY100" s="85"/>
      <c r="CZ100" s="76"/>
      <c r="DA100" s="76"/>
      <c r="DB100" s="77"/>
      <c r="DC100" s="76"/>
      <c r="DD100" s="76"/>
      <c r="DE100" s="86"/>
      <c r="DF100" s="79"/>
      <c r="DG100" s="79"/>
      <c r="DH100" s="79"/>
      <c r="DI100" s="79"/>
      <c r="DJ100" s="76"/>
      <c r="DK100" s="76"/>
      <c r="DL100" s="77"/>
      <c r="DM100" s="76"/>
      <c r="DN100" s="76"/>
      <c r="DO100" s="79"/>
      <c r="DP100" s="79"/>
      <c r="DQ100" s="79"/>
      <c r="DR100" s="79"/>
      <c r="DS100" s="85">
        <v>9</v>
      </c>
      <c r="DT100" s="76">
        <v>7.84</v>
      </c>
      <c r="DU100" s="76">
        <v>1.87</v>
      </c>
      <c r="DV100" s="77">
        <v>74</v>
      </c>
      <c r="DW100" s="76">
        <v>24.3</v>
      </c>
      <c r="DX100" s="76">
        <v>1.91</v>
      </c>
      <c r="DY100" s="86">
        <v>19.8</v>
      </c>
      <c r="DZ100" s="79">
        <v>1.95</v>
      </c>
      <c r="EA100" s="79">
        <v>8</v>
      </c>
      <c r="EB100" s="79">
        <v>6</v>
      </c>
      <c r="EC100" s="79">
        <v>29</v>
      </c>
      <c r="ED100" s="79">
        <v>3</v>
      </c>
      <c r="EE100" s="79">
        <v>14</v>
      </c>
      <c r="EF100" s="79">
        <v>8</v>
      </c>
      <c r="EG100" s="79">
        <v>6</v>
      </c>
      <c r="EH100" s="79">
        <v>84</v>
      </c>
      <c r="EI100" s="79">
        <v>7</v>
      </c>
      <c r="EJ100" s="79">
        <v>2</v>
      </c>
      <c r="EK100" s="79">
        <f t="shared" ref="EK100:EK102" si="271">EA100+EB100+EC100+ED100+EE100+EF100+EG100+EH100+EI100+EJ100</f>
        <v>167</v>
      </c>
      <c r="EL100" s="87">
        <v>70</v>
      </c>
      <c r="EM100" s="79">
        <v>69</v>
      </c>
      <c r="EN100" s="76">
        <v>7.68</v>
      </c>
      <c r="EO100" s="76">
        <v>2.56</v>
      </c>
      <c r="EP100" s="77">
        <v>67.7</v>
      </c>
      <c r="EQ100" s="76">
        <v>30.6</v>
      </c>
      <c r="ER100" s="76">
        <v>2.14</v>
      </c>
      <c r="ES100" s="79" t="s">
        <v>143</v>
      </c>
      <c r="ET100" s="79"/>
      <c r="EU100" s="79"/>
      <c r="EV100" s="79"/>
      <c r="EW100" s="79"/>
      <c r="EX100" s="121"/>
      <c r="EY100" s="341">
        <f t="shared" si="256"/>
        <v>0</v>
      </c>
    </row>
    <row r="101" spans="1:155" ht="17.100000000000001" customHeight="1">
      <c r="A101" s="174"/>
      <c r="B101" s="397" t="s">
        <v>282</v>
      </c>
      <c r="C101" s="202" t="s">
        <v>96</v>
      </c>
      <c r="D101" s="317" t="e">
        <f t="shared" si="257"/>
        <v>#DIV/0!</v>
      </c>
      <c r="E101" s="320" t="e">
        <f t="shared" si="258"/>
        <v>#DIV/0!</v>
      </c>
      <c r="F101" s="320" t="e">
        <f t="shared" si="259"/>
        <v>#DIV/0!</v>
      </c>
      <c r="G101" s="323" t="e">
        <f t="shared" si="260"/>
        <v>#DIV/0!</v>
      </c>
      <c r="H101" s="306"/>
      <c r="I101" s="309"/>
      <c r="J101" s="309"/>
      <c r="K101" s="309"/>
      <c r="L101" s="309"/>
      <c r="M101" s="309"/>
      <c r="N101" s="309"/>
      <c r="O101" s="309"/>
      <c r="P101" s="211"/>
      <c r="Q101" s="214"/>
      <c r="R101" s="306"/>
      <c r="S101" s="309"/>
      <c r="T101" s="309"/>
      <c r="U101" s="309"/>
      <c r="V101" s="309"/>
      <c r="W101" s="309"/>
      <c r="X101" s="336"/>
      <c r="Y101" s="306"/>
      <c r="Z101" s="309"/>
      <c r="AA101" s="309"/>
      <c r="AB101" s="309"/>
      <c r="AC101" s="309"/>
      <c r="AD101" s="309"/>
      <c r="AE101" s="336"/>
      <c r="AF101" s="306"/>
      <c r="AG101" s="211"/>
      <c r="AH101" s="211"/>
      <c r="AI101" s="211"/>
      <c r="AJ101" s="211"/>
      <c r="AK101" s="211"/>
      <c r="AL101" s="214"/>
      <c r="AM101" s="333"/>
      <c r="AN101" s="211"/>
      <c r="AO101" s="211"/>
      <c r="AP101" s="211"/>
      <c r="AQ101" s="211"/>
      <c r="AR101" s="211"/>
      <c r="AS101" s="211"/>
      <c r="AT101" s="333"/>
      <c r="AU101" s="211"/>
      <c r="AV101" s="309"/>
      <c r="AW101" s="211"/>
      <c r="AX101" s="211"/>
      <c r="AY101" s="309"/>
      <c r="AZ101" s="336"/>
      <c r="BA101" s="333"/>
      <c r="BB101" s="333"/>
      <c r="BC101" s="333"/>
      <c r="BD101" s="333"/>
      <c r="BE101" s="333"/>
      <c r="BF101" s="333"/>
      <c r="BG101" s="333"/>
      <c r="BH101" s="333"/>
      <c r="BI101" s="211"/>
      <c r="BJ101" s="211"/>
      <c r="BK101" s="211"/>
      <c r="BL101" s="211"/>
      <c r="BM101" s="211"/>
      <c r="BN101" s="214"/>
      <c r="BO101" s="196">
        <v>74.2</v>
      </c>
      <c r="BP101" s="196">
        <v>0.36799999999999999</v>
      </c>
      <c r="BQ101" s="196">
        <v>3.8</v>
      </c>
      <c r="BR101" s="196">
        <v>72.400000000000006</v>
      </c>
      <c r="BS101" s="339">
        <v>0.29099999999999998</v>
      </c>
      <c r="BT101" s="196">
        <v>3.8</v>
      </c>
      <c r="BU101" s="193">
        <v>7.1</v>
      </c>
      <c r="BV101" s="193">
        <v>1.27</v>
      </c>
      <c r="BW101" s="193">
        <v>1070</v>
      </c>
      <c r="BX101" s="193">
        <v>4.95</v>
      </c>
      <c r="BY101" s="193">
        <v>8.52</v>
      </c>
      <c r="BZ101" s="193">
        <v>7700</v>
      </c>
      <c r="CA101" s="193">
        <v>6.86</v>
      </c>
      <c r="CB101" s="193">
        <v>1.35</v>
      </c>
      <c r="CC101" s="193">
        <v>1100</v>
      </c>
      <c r="CD101" s="193">
        <v>6.2</v>
      </c>
      <c r="CE101" s="193">
        <v>3.54</v>
      </c>
      <c r="CF101" s="193">
        <v>3400</v>
      </c>
      <c r="CG101" s="193">
        <v>7.2</v>
      </c>
      <c r="CH101" s="193">
        <v>1.1000000000000001</v>
      </c>
      <c r="CI101" s="193">
        <v>1100</v>
      </c>
      <c r="CJ101" s="193">
        <v>7.58</v>
      </c>
      <c r="CK101" s="193">
        <v>2.6</v>
      </c>
      <c r="CL101" s="193">
        <v>2300</v>
      </c>
      <c r="CM101" s="205"/>
      <c r="CN101" s="205"/>
      <c r="CO101" s="13">
        <v>10</v>
      </c>
      <c r="CP101" s="10">
        <v>8.1</v>
      </c>
      <c r="CQ101" s="10">
        <v>1.77</v>
      </c>
      <c r="CR101" s="11">
        <v>76.3</v>
      </c>
      <c r="CS101" s="10">
        <v>21.4</v>
      </c>
      <c r="CT101" s="10">
        <v>1.61</v>
      </c>
      <c r="CU101" s="20" t="s">
        <v>192</v>
      </c>
      <c r="CV101" s="8">
        <v>2.4</v>
      </c>
      <c r="CW101" s="8">
        <v>11</v>
      </c>
      <c r="CX101" s="8">
        <v>33</v>
      </c>
      <c r="CY101" s="19">
        <v>9</v>
      </c>
      <c r="CZ101" s="10">
        <v>7.78</v>
      </c>
      <c r="DA101" s="10">
        <v>1.94</v>
      </c>
      <c r="DB101" s="11">
        <v>75.2</v>
      </c>
      <c r="DC101" s="10">
        <v>23</v>
      </c>
      <c r="DD101" s="10">
        <v>1.68</v>
      </c>
      <c r="DE101" s="20" t="s">
        <v>193</v>
      </c>
      <c r="DF101" s="8">
        <v>2.1</v>
      </c>
      <c r="DG101" s="8">
        <v>15</v>
      </c>
      <c r="DH101" s="8">
        <v>49</v>
      </c>
      <c r="DI101" s="23"/>
      <c r="DJ101" s="21"/>
      <c r="DK101" s="21"/>
      <c r="DL101" s="22"/>
      <c r="DM101" s="21"/>
      <c r="DN101" s="21"/>
      <c r="DO101" s="23"/>
      <c r="DP101" s="23"/>
      <c r="DQ101" s="23"/>
      <c r="DR101" s="23"/>
      <c r="DS101" s="19">
        <v>8</v>
      </c>
      <c r="DT101" s="10">
        <v>7.78</v>
      </c>
      <c r="DU101" s="10">
        <v>1.54</v>
      </c>
      <c r="DV101" s="11">
        <v>74.599999999999994</v>
      </c>
      <c r="DW101" s="10">
        <v>24.2</v>
      </c>
      <c r="DX101" s="10">
        <v>1.94</v>
      </c>
      <c r="DY101" s="20">
        <v>19.5</v>
      </c>
      <c r="DZ101" s="8">
        <v>1.9</v>
      </c>
      <c r="EA101" s="8">
        <v>8</v>
      </c>
      <c r="EB101" s="8">
        <v>6</v>
      </c>
      <c r="EC101" s="8">
        <v>20</v>
      </c>
      <c r="ED101" s="8">
        <v>1</v>
      </c>
      <c r="EE101" s="8">
        <v>10</v>
      </c>
      <c r="EF101" s="8">
        <v>10</v>
      </c>
      <c r="EG101" s="8">
        <v>4</v>
      </c>
      <c r="EH101" s="8">
        <v>90</v>
      </c>
      <c r="EI101" s="8">
        <v>8</v>
      </c>
      <c r="EJ101" s="8">
        <v>9</v>
      </c>
      <c r="EK101" s="8">
        <f t="shared" si="271"/>
        <v>166</v>
      </c>
      <c r="EL101" s="9">
        <v>71</v>
      </c>
      <c r="EM101" s="8">
        <v>68</v>
      </c>
      <c r="EN101" s="10">
        <v>7.61</v>
      </c>
      <c r="EO101" s="10">
        <v>2.31</v>
      </c>
      <c r="EP101" s="11">
        <v>68.7</v>
      </c>
      <c r="EQ101" s="10">
        <v>30.58</v>
      </c>
      <c r="ER101" s="10">
        <v>2.17</v>
      </c>
      <c r="ES101" s="8" t="s">
        <v>94</v>
      </c>
      <c r="ET101" s="8"/>
      <c r="EU101" s="8"/>
      <c r="EV101" s="8"/>
      <c r="EW101" s="8"/>
      <c r="EX101" s="23"/>
      <c r="EY101" s="342"/>
    </row>
    <row r="102" spans="1:155" ht="17.100000000000001" customHeight="1">
      <c r="A102" s="174"/>
      <c r="B102" s="397" t="s">
        <v>282</v>
      </c>
      <c r="C102" s="202" t="s">
        <v>96</v>
      </c>
      <c r="D102" s="317" t="e">
        <f t="shared" si="257"/>
        <v>#DIV/0!</v>
      </c>
      <c r="E102" s="320" t="e">
        <f t="shared" si="258"/>
        <v>#DIV/0!</v>
      </c>
      <c r="F102" s="320" t="e">
        <f t="shared" si="259"/>
        <v>#DIV/0!</v>
      </c>
      <c r="G102" s="323" t="e">
        <f t="shared" si="260"/>
        <v>#DIV/0!</v>
      </c>
      <c r="H102" s="306"/>
      <c r="I102" s="309"/>
      <c r="J102" s="309"/>
      <c r="K102" s="309"/>
      <c r="L102" s="309"/>
      <c r="M102" s="309"/>
      <c r="N102" s="309"/>
      <c r="O102" s="309"/>
      <c r="P102" s="211"/>
      <c r="Q102" s="214"/>
      <c r="R102" s="306"/>
      <c r="S102" s="309"/>
      <c r="T102" s="309"/>
      <c r="U102" s="309"/>
      <c r="V102" s="309"/>
      <c r="W102" s="309"/>
      <c r="X102" s="336"/>
      <c r="Y102" s="306"/>
      <c r="Z102" s="309"/>
      <c r="AA102" s="309"/>
      <c r="AB102" s="309"/>
      <c r="AC102" s="309"/>
      <c r="AD102" s="309"/>
      <c r="AE102" s="336"/>
      <c r="AF102" s="306"/>
      <c r="AG102" s="211"/>
      <c r="AH102" s="211"/>
      <c r="AI102" s="211"/>
      <c r="AJ102" s="211"/>
      <c r="AK102" s="211"/>
      <c r="AL102" s="214"/>
      <c r="AM102" s="333"/>
      <c r="AN102" s="211"/>
      <c r="AO102" s="211"/>
      <c r="AP102" s="211"/>
      <c r="AQ102" s="211"/>
      <c r="AR102" s="211"/>
      <c r="AS102" s="211"/>
      <c r="AT102" s="333"/>
      <c r="AU102" s="211"/>
      <c r="AV102" s="309"/>
      <c r="AW102" s="211"/>
      <c r="AX102" s="211"/>
      <c r="AY102" s="309"/>
      <c r="AZ102" s="336"/>
      <c r="BA102" s="333"/>
      <c r="BB102" s="333"/>
      <c r="BC102" s="333"/>
      <c r="BD102" s="333"/>
      <c r="BE102" s="333"/>
      <c r="BF102" s="333"/>
      <c r="BG102" s="333"/>
      <c r="BH102" s="333"/>
      <c r="BI102" s="211"/>
      <c r="BJ102" s="211"/>
      <c r="BK102" s="211"/>
      <c r="BL102" s="211"/>
      <c r="BM102" s="211"/>
      <c r="BN102" s="214"/>
      <c r="BO102" s="196">
        <v>73.599999999999994</v>
      </c>
      <c r="BP102" s="196">
        <v>0.82399999999999995</v>
      </c>
      <c r="BQ102" s="196">
        <v>7.26</v>
      </c>
      <c r="BR102" s="196">
        <v>75</v>
      </c>
      <c r="BS102" s="339">
        <v>0.43099999999999999</v>
      </c>
      <c r="BT102" s="196">
        <v>8.3000000000000007</v>
      </c>
      <c r="BU102" s="193">
        <v>7.1</v>
      </c>
      <c r="BV102" s="193">
        <v>1.27</v>
      </c>
      <c r="BW102" s="193">
        <v>1070</v>
      </c>
      <c r="BX102" s="193">
        <v>4.95</v>
      </c>
      <c r="BY102" s="193">
        <v>8.52</v>
      </c>
      <c r="BZ102" s="193">
        <v>7700</v>
      </c>
      <c r="CA102" s="193">
        <v>6.86</v>
      </c>
      <c r="CB102" s="193">
        <v>1.35</v>
      </c>
      <c r="CC102" s="193">
        <v>1100</v>
      </c>
      <c r="CD102" s="193">
        <v>6.2</v>
      </c>
      <c r="CE102" s="193">
        <v>3.54</v>
      </c>
      <c r="CF102" s="193">
        <v>3400</v>
      </c>
      <c r="CG102" s="193">
        <v>7.2</v>
      </c>
      <c r="CH102" s="193">
        <v>1.1000000000000001</v>
      </c>
      <c r="CI102" s="193">
        <v>1100</v>
      </c>
      <c r="CJ102" s="193">
        <v>7.58</v>
      </c>
      <c r="CK102" s="193">
        <v>2.6</v>
      </c>
      <c r="CL102" s="193">
        <v>2300</v>
      </c>
      <c r="CM102" s="205"/>
      <c r="CN102" s="205"/>
      <c r="CO102" s="13">
        <v>5</v>
      </c>
      <c r="CP102" s="10">
        <v>8.1199999999999992</v>
      </c>
      <c r="CQ102" s="10">
        <v>1.73</v>
      </c>
      <c r="CR102" s="11">
        <v>76</v>
      </c>
      <c r="CS102" s="10">
        <v>20.9</v>
      </c>
      <c r="CT102" s="10">
        <v>1.62</v>
      </c>
      <c r="CU102" s="20" t="s">
        <v>192</v>
      </c>
      <c r="CV102" s="8">
        <v>2.6</v>
      </c>
      <c r="CW102" s="8">
        <v>23</v>
      </c>
      <c r="CX102" s="8">
        <v>48</v>
      </c>
      <c r="CY102" s="19">
        <v>7</v>
      </c>
      <c r="CZ102" s="10">
        <v>7.75</v>
      </c>
      <c r="DA102" s="10">
        <v>1.86</v>
      </c>
      <c r="DB102" s="11">
        <v>75</v>
      </c>
      <c r="DC102" s="10">
        <v>23.8</v>
      </c>
      <c r="DD102" s="10">
        <v>1.75</v>
      </c>
      <c r="DE102" s="20" t="s">
        <v>172</v>
      </c>
      <c r="DF102" s="8">
        <v>2.2000000000000002</v>
      </c>
      <c r="DG102" s="8">
        <v>14</v>
      </c>
      <c r="DH102" s="8">
        <v>49</v>
      </c>
      <c r="DI102" s="23"/>
      <c r="DJ102" s="21"/>
      <c r="DK102" s="21"/>
      <c r="DL102" s="22"/>
      <c r="DM102" s="21"/>
      <c r="DN102" s="21"/>
      <c r="DO102" s="23"/>
      <c r="DP102" s="23"/>
      <c r="DQ102" s="23"/>
      <c r="DR102" s="23"/>
      <c r="DS102" s="19">
        <v>2</v>
      </c>
      <c r="DT102" s="10">
        <v>7.78</v>
      </c>
      <c r="DU102" s="10">
        <v>1.95</v>
      </c>
      <c r="DV102" s="11">
        <v>74.3</v>
      </c>
      <c r="DW102" s="10">
        <v>25.8</v>
      </c>
      <c r="DX102" s="10">
        <v>1.96</v>
      </c>
      <c r="DY102" s="20">
        <v>18.899999999999999</v>
      </c>
      <c r="DZ102" s="8">
        <v>1.55</v>
      </c>
      <c r="EA102" s="8">
        <v>10</v>
      </c>
      <c r="EB102" s="8">
        <v>4</v>
      </c>
      <c r="EC102" s="8">
        <v>32</v>
      </c>
      <c r="ED102" s="8">
        <v>0</v>
      </c>
      <c r="EE102" s="8">
        <v>14</v>
      </c>
      <c r="EF102" s="8">
        <v>8</v>
      </c>
      <c r="EG102" s="8">
        <v>6</v>
      </c>
      <c r="EH102" s="8">
        <v>82</v>
      </c>
      <c r="EI102" s="8">
        <v>15</v>
      </c>
      <c r="EJ102" s="8">
        <v>0</v>
      </c>
      <c r="EK102" s="8">
        <f t="shared" si="271"/>
        <v>171</v>
      </c>
      <c r="EL102" s="9">
        <v>72</v>
      </c>
      <c r="EM102" s="8">
        <v>22</v>
      </c>
      <c r="EN102" s="10">
        <v>7.63</v>
      </c>
      <c r="EO102" s="10">
        <v>2.6</v>
      </c>
      <c r="EP102" s="11">
        <v>68</v>
      </c>
      <c r="EQ102" s="10">
        <v>29.9</v>
      </c>
      <c r="ER102" s="10">
        <v>2.16</v>
      </c>
      <c r="ES102" s="8" t="s">
        <v>143</v>
      </c>
      <c r="ET102" s="8"/>
      <c r="EU102" s="8"/>
      <c r="EV102" s="8"/>
      <c r="EW102" s="8"/>
      <c r="EX102" s="23"/>
      <c r="EY102" s="342"/>
    </row>
    <row r="103" spans="1:155" s="401" customFormat="1" ht="17.100000000000001" customHeight="1" thickBot="1">
      <c r="A103" s="175"/>
      <c r="B103" s="400" t="s">
        <v>282</v>
      </c>
      <c r="C103" s="203" t="s">
        <v>147</v>
      </c>
      <c r="D103" s="318" t="e">
        <f t="shared" si="257"/>
        <v>#DIV/0!</v>
      </c>
      <c r="E103" s="321" t="e">
        <f t="shared" si="258"/>
        <v>#DIV/0!</v>
      </c>
      <c r="F103" s="321" t="e">
        <f t="shared" si="259"/>
        <v>#DIV/0!</v>
      </c>
      <c r="G103" s="324" t="e">
        <f t="shared" si="260"/>
        <v>#DIV/0!</v>
      </c>
      <c r="H103" s="307"/>
      <c r="I103" s="310"/>
      <c r="J103" s="310"/>
      <c r="K103" s="310"/>
      <c r="L103" s="310"/>
      <c r="M103" s="310"/>
      <c r="N103" s="310"/>
      <c r="O103" s="310"/>
      <c r="P103" s="302"/>
      <c r="Q103" s="304"/>
      <c r="R103" s="307"/>
      <c r="S103" s="310"/>
      <c r="T103" s="310"/>
      <c r="U103" s="310"/>
      <c r="V103" s="310"/>
      <c r="W103" s="310"/>
      <c r="X103" s="337"/>
      <c r="Y103" s="307"/>
      <c r="Z103" s="310"/>
      <c r="AA103" s="310"/>
      <c r="AB103" s="310"/>
      <c r="AC103" s="310"/>
      <c r="AD103" s="310"/>
      <c r="AE103" s="337"/>
      <c r="AF103" s="307"/>
      <c r="AG103" s="302"/>
      <c r="AH103" s="302"/>
      <c r="AI103" s="302"/>
      <c r="AJ103" s="302"/>
      <c r="AK103" s="302"/>
      <c r="AL103" s="304"/>
      <c r="AM103" s="334"/>
      <c r="AN103" s="302"/>
      <c r="AO103" s="302"/>
      <c r="AP103" s="302"/>
      <c r="AQ103" s="302"/>
      <c r="AR103" s="302"/>
      <c r="AS103" s="302"/>
      <c r="AT103" s="334"/>
      <c r="AU103" s="302"/>
      <c r="AV103" s="310"/>
      <c r="AW103" s="302"/>
      <c r="AX103" s="302"/>
      <c r="AY103" s="310"/>
      <c r="AZ103" s="337"/>
      <c r="BA103" s="334"/>
      <c r="BB103" s="334"/>
      <c r="BC103" s="334"/>
      <c r="BD103" s="334"/>
      <c r="BE103" s="334"/>
      <c r="BF103" s="334"/>
      <c r="BG103" s="334"/>
      <c r="BH103" s="334"/>
      <c r="BI103" s="302"/>
      <c r="BJ103" s="302"/>
      <c r="BK103" s="302"/>
      <c r="BL103" s="302"/>
      <c r="BM103" s="302"/>
      <c r="BN103" s="304"/>
      <c r="BO103" s="217">
        <v>72</v>
      </c>
      <c r="BP103" s="217">
        <v>0.43099999999999999</v>
      </c>
      <c r="BQ103" s="217">
        <v>7.89</v>
      </c>
      <c r="BR103" s="217">
        <v>71</v>
      </c>
      <c r="BS103" s="340">
        <v>0.56100000000000005</v>
      </c>
      <c r="BT103" s="217">
        <v>6.21</v>
      </c>
      <c r="BU103" s="219">
        <v>7.1</v>
      </c>
      <c r="BV103" s="219">
        <v>1.27</v>
      </c>
      <c r="BW103" s="219">
        <v>1070</v>
      </c>
      <c r="BX103" s="219">
        <v>4.95</v>
      </c>
      <c r="BY103" s="219">
        <v>8.52</v>
      </c>
      <c r="BZ103" s="219">
        <v>7700</v>
      </c>
      <c r="CA103" s="219">
        <v>6.86</v>
      </c>
      <c r="CB103" s="219">
        <v>1.35</v>
      </c>
      <c r="CC103" s="219">
        <v>1100</v>
      </c>
      <c r="CD103" s="219">
        <v>6.2</v>
      </c>
      <c r="CE103" s="219">
        <v>3.54</v>
      </c>
      <c r="CF103" s="219">
        <v>3400</v>
      </c>
      <c r="CG103" s="219">
        <v>7.2</v>
      </c>
      <c r="CH103" s="219">
        <v>1.1000000000000001</v>
      </c>
      <c r="CI103" s="219">
        <v>1100</v>
      </c>
      <c r="CJ103" s="219">
        <v>7.58</v>
      </c>
      <c r="CK103" s="219">
        <v>2.6</v>
      </c>
      <c r="CL103" s="219">
        <v>2300</v>
      </c>
      <c r="CM103" s="221"/>
      <c r="CN103" s="221"/>
      <c r="CO103" s="98">
        <v>11</v>
      </c>
      <c r="CP103" s="107">
        <v>8.1</v>
      </c>
      <c r="CQ103" s="107">
        <v>1.83</v>
      </c>
      <c r="CR103" s="108">
        <v>76.400000000000006</v>
      </c>
      <c r="CS103" s="107">
        <v>21.2</v>
      </c>
      <c r="CT103" s="107">
        <v>1.58</v>
      </c>
      <c r="CU103" s="135" t="s">
        <v>155</v>
      </c>
      <c r="CV103" s="102">
        <v>2</v>
      </c>
      <c r="CW103" s="102">
        <v>16</v>
      </c>
      <c r="CX103" s="102">
        <v>46</v>
      </c>
      <c r="CY103" s="134">
        <v>11</v>
      </c>
      <c r="CZ103" s="107">
        <v>7.83</v>
      </c>
      <c r="DA103" s="107">
        <v>1.6</v>
      </c>
      <c r="DB103" s="108">
        <v>74.7</v>
      </c>
      <c r="DC103" s="107">
        <v>23.4</v>
      </c>
      <c r="DD103" s="107">
        <v>1.78</v>
      </c>
      <c r="DE103" s="135" t="s">
        <v>156</v>
      </c>
      <c r="DF103" s="102">
        <v>1.6</v>
      </c>
      <c r="DG103" s="102">
        <v>26</v>
      </c>
      <c r="DH103" s="102">
        <v>12</v>
      </c>
      <c r="DI103" s="101"/>
      <c r="DJ103" s="99"/>
      <c r="DK103" s="99"/>
      <c r="DL103" s="100"/>
      <c r="DM103" s="99"/>
      <c r="DN103" s="99"/>
      <c r="DO103" s="101"/>
      <c r="DP103" s="101"/>
      <c r="DQ103" s="101"/>
      <c r="DR103" s="101"/>
      <c r="DS103" s="148"/>
      <c r="DT103" s="107"/>
      <c r="DU103" s="107"/>
      <c r="DV103" s="108"/>
      <c r="DW103" s="107"/>
      <c r="DX103" s="107"/>
      <c r="DY103" s="135"/>
      <c r="DZ103" s="102"/>
      <c r="EA103" s="102"/>
      <c r="EB103" s="102"/>
      <c r="EC103" s="102"/>
      <c r="ED103" s="102"/>
      <c r="EE103" s="102"/>
      <c r="EF103" s="102"/>
      <c r="EG103" s="102"/>
      <c r="EH103" s="102"/>
      <c r="EI103" s="102"/>
      <c r="EJ103" s="102"/>
      <c r="EK103" s="102"/>
      <c r="EL103" s="106" t="s">
        <v>194</v>
      </c>
      <c r="EM103" s="102">
        <v>9</v>
      </c>
      <c r="EN103" s="107">
        <v>7.49</v>
      </c>
      <c r="EO103" s="107">
        <v>2.75</v>
      </c>
      <c r="EP103" s="108">
        <v>68.3</v>
      </c>
      <c r="EQ103" s="107">
        <v>29.8</v>
      </c>
      <c r="ER103" s="107">
        <v>2.1800000000000002</v>
      </c>
      <c r="ES103" s="102" t="s">
        <v>141</v>
      </c>
      <c r="ET103" s="102"/>
      <c r="EU103" s="102"/>
      <c r="EV103" s="102"/>
      <c r="EW103" s="102"/>
      <c r="EX103" s="101"/>
      <c r="EY103" s="343"/>
    </row>
    <row r="104" spans="1:155" s="398" customFormat="1" ht="17.100000000000001" customHeight="1">
      <c r="A104" s="173">
        <v>25</v>
      </c>
      <c r="B104" s="397" t="s">
        <v>283</v>
      </c>
      <c r="C104" s="201" t="s">
        <v>90</v>
      </c>
      <c r="D104" s="316">
        <f t="shared" si="257"/>
        <v>75.117370892018769</v>
      </c>
      <c r="E104" s="319">
        <f t="shared" si="258"/>
        <v>24.88262910798122</v>
      </c>
      <c r="F104" s="319">
        <f t="shared" si="259"/>
        <v>0</v>
      </c>
      <c r="G104" s="322">
        <f t="shared" si="260"/>
        <v>0</v>
      </c>
      <c r="H104" s="305">
        <v>0</v>
      </c>
      <c r="I104" s="308">
        <v>16</v>
      </c>
      <c r="J104" s="308">
        <v>5.3</v>
      </c>
      <c r="K104" s="308">
        <v>0</v>
      </c>
      <c r="L104" s="308">
        <v>0</v>
      </c>
      <c r="M104" s="308">
        <v>7</v>
      </c>
      <c r="N104" s="308">
        <v>1.5</v>
      </c>
      <c r="O104" s="344">
        <v>6.6000000000000003E-2</v>
      </c>
      <c r="P104" s="301"/>
      <c r="Q104" s="303"/>
      <c r="R104" s="305">
        <v>0</v>
      </c>
      <c r="S104" s="308">
        <v>1</v>
      </c>
      <c r="T104" s="308">
        <v>0.36</v>
      </c>
      <c r="U104" s="308">
        <v>0</v>
      </c>
      <c r="V104" s="308">
        <v>0</v>
      </c>
      <c r="W104" s="308">
        <v>3.48</v>
      </c>
      <c r="X104" s="335">
        <v>20.5</v>
      </c>
      <c r="Y104" s="305">
        <f t="shared" ref="Y104:AD104" si="272">H104*R104*10</f>
        <v>0</v>
      </c>
      <c r="Z104" s="308">
        <f t="shared" si="272"/>
        <v>160</v>
      </c>
      <c r="AA104" s="308">
        <f t="shared" si="272"/>
        <v>19.079999999999998</v>
      </c>
      <c r="AB104" s="308">
        <f t="shared" si="272"/>
        <v>0</v>
      </c>
      <c r="AC104" s="308">
        <f t="shared" si="272"/>
        <v>0</v>
      </c>
      <c r="AD104" s="308">
        <f t="shared" si="272"/>
        <v>243.6</v>
      </c>
      <c r="AE104" s="347">
        <f>X104*O104*10</f>
        <v>13.53</v>
      </c>
      <c r="AF104" s="305">
        <v>0</v>
      </c>
      <c r="AG104" s="301">
        <v>13.3</v>
      </c>
      <c r="AH104" s="301">
        <v>1.4</v>
      </c>
      <c r="AI104" s="301">
        <v>0</v>
      </c>
      <c r="AJ104" s="301">
        <v>0</v>
      </c>
      <c r="AK104" s="301">
        <v>30.2</v>
      </c>
      <c r="AL104" s="303">
        <v>85.3</v>
      </c>
      <c r="AM104" s="332">
        <f>AF104*10*H104</f>
        <v>0</v>
      </c>
      <c r="AN104" s="301">
        <f t="shared" ref="AN104:AS104" si="273">AG104*I104*10</f>
        <v>2128</v>
      </c>
      <c r="AO104" s="301">
        <f t="shared" si="273"/>
        <v>74.199999999999989</v>
      </c>
      <c r="AP104" s="301">
        <f t="shared" si="273"/>
        <v>0</v>
      </c>
      <c r="AQ104" s="301">
        <f t="shared" si="273"/>
        <v>0</v>
      </c>
      <c r="AR104" s="301">
        <f t="shared" si="273"/>
        <v>2114</v>
      </c>
      <c r="AS104" s="301">
        <f t="shared" si="273"/>
        <v>1279.5</v>
      </c>
      <c r="AT104" s="332"/>
      <c r="AU104" s="301">
        <v>12.2</v>
      </c>
      <c r="AV104" s="308">
        <v>67</v>
      </c>
      <c r="AW104" s="301">
        <v>0</v>
      </c>
      <c r="AX104" s="301">
        <v>0</v>
      </c>
      <c r="AY104" s="308">
        <v>20</v>
      </c>
      <c r="AZ104" s="335">
        <v>26.8</v>
      </c>
      <c r="BA104" s="332">
        <f t="shared" ref="BA104:BG104" si="274">(H104*3*1000)/(1-AT104/100)</f>
        <v>0</v>
      </c>
      <c r="BB104" s="332">
        <f t="shared" si="274"/>
        <v>54669.703872437356</v>
      </c>
      <c r="BC104" s="332">
        <f t="shared" si="274"/>
        <v>48181.818181818184</v>
      </c>
      <c r="BD104" s="332">
        <f t="shared" si="274"/>
        <v>0</v>
      </c>
      <c r="BE104" s="332">
        <f t="shared" si="274"/>
        <v>0</v>
      </c>
      <c r="BF104" s="332">
        <f t="shared" si="274"/>
        <v>26250</v>
      </c>
      <c r="BG104" s="332">
        <f t="shared" si="274"/>
        <v>6147.5409836065573</v>
      </c>
      <c r="BH104" s="332">
        <f t="shared" ref="BH104" si="275">H104+I104+J104+K104+L104</f>
        <v>21.3</v>
      </c>
      <c r="BI104" s="301">
        <f t="shared" ref="BI104" si="276">M104+N104+O104</f>
        <v>8.5660000000000007</v>
      </c>
      <c r="BJ104" s="301">
        <f t="shared" ref="BJ104" si="277">BH104+BI104</f>
        <v>29.866</v>
      </c>
      <c r="BK104" s="350">
        <f t="shared" ref="BK104" si="278">Y104+Z104+AA104+AB104+AC104+AD104+AE104</f>
        <v>436.20999999999992</v>
      </c>
      <c r="BL104" s="301">
        <f t="shared" ref="BL104" si="279">AM104+AN104+AO104+AP104+AQ104+AR104+AS104</f>
        <v>5595.7</v>
      </c>
      <c r="BM104" s="301">
        <f t="shared" ref="BM104" si="280">BJ104*3*1000</f>
        <v>89598</v>
      </c>
      <c r="BN104" s="303">
        <f t="shared" ref="BN104" si="281">BA104+BB104+BC104+BD104+BE104+BF104+BG104</f>
        <v>135249.0630378621</v>
      </c>
      <c r="BO104" s="216">
        <v>73</v>
      </c>
      <c r="BP104" s="216">
        <v>0.309</v>
      </c>
      <c r="BQ104" s="216">
        <v>5.08</v>
      </c>
      <c r="BR104" s="216">
        <v>77.400000000000006</v>
      </c>
      <c r="BS104" s="338">
        <v>0.35699999999999998</v>
      </c>
      <c r="BT104" s="216">
        <v>8.3800000000000008</v>
      </c>
      <c r="BU104" s="218">
        <v>7.42</v>
      </c>
      <c r="BV104" s="218">
        <v>1.01</v>
      </c>
      <c r="BW104" s="218">
        <v>870</v>
      </c>
      <c r="BX104" s="218">
        <v>5.1100000000000003</v>
      </c>
      <c r="BY104" s="218">
        <v>6.65</v>
      </c>
      <c r="BZ104" s="218">
        <v>5300</v>
      </c>
      <c r="CA104" s="218">
        <v>6.92</v>
      </c>
      <c r="CB104" s="218">
        <v>1.1499999999999999</v>
      </c>
      <c r="CC104" s="218">
        <v>970</v>
      </c>
      <c r="CD104" s="218">
        <v>6.42</v>
      </c>
      <c r="CE104" s="218">
        <v>3.42</v>
      </c>
      <c r="CF104" s="218">
        <v>3200</v>
      </c>
      <c r="CG104" s="218">
        <v>7.6</v>
      </c>
      <c r="CH104" s="218">
        <v>1.22</v>
      </c>
      <c r="CI104" s="218">
        <v>1030</v>
      </c>
      <c r="CJ104" s="218">
        <v>7.82</v>
      </c>
      <c r="CK104" s="218">
        <v>2.66</v>
      </c>
      <c r="CL104" s="218">
        <v>2400</v>
      </c>
      <c r="CM104" s="220">
        <v>77.8</v>
      </c>
      <c r="CN104" s="220">
        <v>77.099999999999994</v>
      </c>
      <c r="CO104" s="75"/>
      <c r="CP104" s="122"/>
      <c r="CQ104" s="122"/>
      <c r="CR104" s="123"/>
      <c r="CS104" s="122"/>
      <c r="CT104" s="122"/>
      <c r="CU104" s="140"/>
      <c r="CV104" s="79"/>
      <c r="CW104" s="79"/>
      <c r="CX104" s="79"/>
      <c r="CY104" s="141"/>
      <c r="CZ104" s="122"/>
      <c r="DA104" s="122"/>
      <c r="DB104" s="123"/>
      <c r="DC104" s="122"/>
      <c r="DD104" s="122"/>
      <c r="DE104" s="140"/>
      <c r="DF104" s="79"/>
      <c r="DG104" s="79"/>
      <c r="DH104" s="79"/>
      <c r="DI104" s="121"/>
      <c r="DJ104" s="122"/>
      <c r="DK104" s="122"/>
      <c r="DL104" s="123"/>
      <c r="DM104" s="122"/>
      <c r="DN104" s="122"/>
      <c r="DO104" s="121"/>
      <c r="DP104" s="121"/>
      <c r="DQ104" s="121"/>
      <c r="DR104" s="121"/>
      <c r="DS104" s="149">
        <v>3</v>
      </c>
      <c r="DT104" s="142">
        <v>7.78</v>
      </c>
      <c r="DU104" s="142">
        <v>1.91</v>
      </c>
      <c r="DV104" s="143">
        <v>74.900000000000006</v>
      </c>
      <c r="DW104" s="142">
        <v>25.3</v>
      </c>
      <c r="DX104" s="142">
        <v>1.9</v>
      </c>
      <c r="DY104" s="144">
        <v>19.600000000000001</v>
      </c>
      <c r="DZ104" s="79">
        <v>1.85</v>
      </c>
      <c r="EA104" s="79">
        <v>5</v>
      </c>
      <c r="EB104" s="79">
        <v>9</v>
      </c>
      <c r="EC104" s="79">
        <v>12</v>
      </c>
      <c r="ED104" s="79">
        <v>3</v>
      </c>
      <c r="EE104" s="79">
        <v>14</v>
      </c>
      <c r="EF104" s="79">
        <v>10</v>
      </c>
      <c r="EG104" s="79">
        <v>4</v>
      </c>
      <c r="EH104" s="79">
        <v>90</v>
      </c>
      <c r="EI104" s="79">
        <v>17</v>
      </c>
      <c r="EJ104" s="79">
        <v>26</v>
      </c>
      <c r="EK104" s="79">
        <f t="shared" ref="EK104:EK105" si="282">EA104+EB104+EC104+ED104+EE104+EF104+EG104+EH104+EI104+EJ104</f>
        <v>190</v>
      </c>
      <c r="EL104" s="87">
        <v>73</v>
      </c>
      <c r="EM104" s="79">
        <v>26</v>
      </c>
      <c r="EN104" s="76">
        <v>7.54</v>
      </c>
      <c r="EO104" s="76">
        <v>2.59</v>
      </c>
      <c r="EP104" s="77">
        <v>69</v>
      </c>
      <c r="EQ104" s="76">
        <v>30.7</v>
      </c>
      <c r="ER104" s="76">
        <v>2.08</v>
      </c>
      <c r="ES104" s="79" t="s">
        <v>130</v>
      </c>
      <c r="ET104" s="79"/>
      <c r="EU104" s="79"/>
      <c r="EV104" s="79"/>
      <c r="EW104" s="79"/>
      <c r="EX104" s="121"/>
      <c r="EY104" s="79"/>
    </row>
    <row r="105" spans="1:155" ht="17.100000000000001" customHeight="1">
      <c r="A105" s="174"/>
      <c r="B105" s="397" t="s">
        <v>283</v>
      </c>
      <c r="C105" s="202" t="s">
        <v>90</v>
      </c>
      <c r="D105" s="317" t="e">
        <f t="shared" si="257"/>
        <v>#DIV/0!</v>
      </c>
      <c r="E105" s="320" t="e">
        <f t="shared" si="258"/>
        <v>#DIV/0!</v>
      </c>
      <c r="F105" s="320" t="e">
        <f t="shared" si="259"/>
        <v>#DIV/0!</v>
      </c>
      <c r="G105" s="323" t="e">
        <f t="shared" si="260"/>
        <v>#DIV/0!</v>
      </c>
      <c r="H105" s="306"/>
      <c r="I105" s="309"/>
      <c r="J105" s="309"/>
      <c r="K105" s="309"/>
      <c r="L105" s="309"/>
      <c r="M105" s="309"/>
      <c r="N105" s="309"/>
      <c r="O105" s="345"/>
      <c r="P105" s="211"/>
      <c r="Q105" s="214"/>
      <c r="R105" s="306"/>
      <c r="S105" s="309"/>
      <c r="T105" s="309"/>
      <c r="U105" s="309"/>
      <c r="V105" s="309"/>
      <c r="W105" s="309"/>
      <c r="X105" s="336"/>
      <c r="Y105" s="306"/>
      <c r="Z105" s="309"/>
      <c r="AA105" s="309"/>
      <c r="AB105" s="309"/>
      <c r="AC105" s="309"/>
      <c r="AD105" s="309"/>
      <c r="AE105" s="348"/>
      <c r="AF105" s="306"/>
      <c r="AG105" s="211"/>
      <c r="AH105" s="211"/>
      <c r="AI105" s="211"/>
      <c r="AJ105" s="211"/>
      <c r="AK105" s="211"/>
      <c r="AL105" s="214"/>
      <c r="AM105" s="333"/>
      <c r="AN105" s="211"/>
      <c r="AO105" s="211"/>
      <c r="AP105" s="211"/>
      <c r="AQ105" s="211"/>
      <c r="AR105" s="211"/>
      <c r="AS105" s="211"/>
      <c r="AT105" s="333"/>
      <c r="AU105" s="211"/>
      <c r="AV105" s="309"/>
      <c r="AW105" s="211"/>
      <c r="AX105" s="211"/>
      <c r="AY105" s="309"/>
      <c r="AZ105" s="336"/>
      <c r="BA105" s="333"/>
      <c r="BB105" s="333"/>
      <c r="BC105" s="333"/>
      <c r="BD105" s="333"/>
      <c r="BE105" s="333"/>
      <c r="BF105" s="333"/>
      <c r="BG105" s="333"/>
      <c r="BH105" s="333"/>
      <c r="BI105" s="211"/>
      <c r="BJ105" s="211"/>
      <c r="BK105" s="351"/>
      <c r="BL105" s="211"/>
      <c r="BM105" s="211"/>
      <c r="BN105" s="214"/>
      <c r="BO105" s="196">
        <v>73.599999999999994</v>
      </c>
      <c r="BP105" s="196">
        <v>0.58599999999999997</v>
      </c>
      <c r="BQ105" s="196">
        <v>7.57</v>
      </c>
      <c r="BR105" s="196">
        <v>73</v>
      </c>
      <c r="BS105" s="339">
        <v>0.51300000000000001</v>
      </c>
      <c r="BT105" s="196">
        <v>7.24</v>
      </c>
      <c r="BU105" s="193">
        <v>7.4</v>
      </c>
      <c r="BV105" s="193">
        <v>1.01</v>
      </c>
      <c r="BW105" s="193">
        <v>890</v>
      </c>
      <c r="BX105" s="193">
        <v>4.8899999999999997</v>
      </c>
      <c r="BY105" s="193">
        <v>7.7</v>
      </c>
      <c r="BZ105" s="193">
        <v>5700</v>
      </c>
      <c r="CA105" s="193">
        <v>6.82</v>
      </c>
      <c r="CB105" s="193">
        <v>1.1599999999999999</v>
      </c>
      <c r="CC105" s="193">
        <v>980</v>
      </c>
      <c r="CD105" s="193">
        <v>6.45</v>
      </c>
      <c r="CE105" s="193">
        <v>3.6</v>
      </c>
      <c r="CF105" s="193">
        <v>2600</v>
      </c>
      <c r="CG105" s="193">
        <v>7.24</v>
      </c>
      <c r="CH105" s="193">
        <v>1.04</v>
      </c>
      <c r="CI105" s="193">
        <v>890</v>
      </c>
      <c r="CJ105" s="193">
        <v>7.54</v>
      </c>
      <c r="CK105" s="193">
        <v>2.6</v>
      </c>
      <c r="CL105" s="193">
        <v>2400</v>
      </c>
      <c r="CM105" s="205"/>
      <c r="CN105" s="205"/>
      <c r="CO105" s="37">
        <v>2</v>
      </c>
      <c r="CP105" s="38">
        <v>8.11</v>
      </c>
      <c r="CQ105" s="38">
        <v>1.88</v>
      </c>
      <c r="CR105" s="39">
        <v>76.7</v>
      </c>
      <c r="CS105" s="38">
        <v>20.3</v>
      </c>
      <c r="CT105" s="38">
        <v>1.58</v>
      </c>
      <c r="CU105" s="145" t="s">
        <v>195</v>
      </c>
      <c r="CV105" s="8">
        <v>2.7</v>
      </c>
      <c r="CW105" s="8">
        <v>16</v>
      </c>
      <c r="CX105" s="8">
        <v>48</v>
      </c>
      <c r="CY105" s="37">
        <v>6</v>
      </c>
      <c r="CZ105" s="38">
        <v>7.8</v>
      </c>
      <c r="DA105" s="38">
        <v>1.67</v>
      </c>
      <c r="DB105" s="39">
        <v>75</v>
      </c>
      <c r="DC105" s="38">
        <v>23</v>
      </c>
      <c r="DD105" s="38">
        <v>1.82</v>
      </c>
      <c r="DE105" s="145" t="s">
        <v>196</v>
      </c>
      <c r="DF105" s="8">
        <v>2.2999999999999998</v>
      </c>
      <c r="DG105" s="8"/>
      <c r="DH105" s="8">
        <v>50</v>
      </c>
      <c r="DI105" s="23"/>
      <c r="DJ105" s="21"/>
      <c r="DK105" s="21"/>
      <c r="DL105" s="22"/>
      <c r="DM105" s="21"/>
      <c r="DN105" s="21"/>
      <c r="DO105" s="23"/>
      <c r="DP105" s="23"/>
      <c r="DQ105" s="23"/>
      <c r="DR105" s="23"/>
      <c r="DS105" s="19">
        <v>11</v>
      </c>
      <c r="DT105" s="10">
        <v>7.83</v>
      </c>
      <c r="DU105" s="10">
        <v>1.85</v>
      </c>
      <c r="DV105" s="11">
        <v>75.2</v>
      </c>
      <c r="DW105" s="10">
        <v>24.2</v>
      </c>
      <c r="DX105" s="10">
        <v>1.96</v>
      </c>
      <c r="DY105" s="20">
        <v>19.3</v>
      </c>
      <c r="DZ105" s="8">
        <v>2.1</v>
      </c>
      <c r="EA105" s="8">
        <v>6</v>
      </c>
      <c r="EB105" s="8">
        <v>8</v>
      </c>
      <c r="EC105" s="8">
        <v>19</v>
      </c>
      <c r="ED105" s="8">
        <v>2</v>
      </c>
      <c r="EE105" s="8">
        <v>14</v>
      </c>
      <c r="EF105" s="8">
        <v>9</v>
      </c>
      <c r="EG105" s="8">
        <v>3</v>
      </c>
      <c r="EH105" s="8">
        <v>88</v>
      </c>
      <c r="EI105" s="8">
        <v>7</v>
      </c>
      <c r="EJ105" s="8">
        <v>5</v>
      </c>
      <c r="EK105" s="8">
        <f t="shared" si="282"/>
        <v>161</v>
      </c>
      <c r="EL105" s="9">
        <v>74</v>
      </c>
      <c r="EM105" s="8">
        <v>27</v>
      </c>
      <c r="EN105" s="10">
        <v>7.53</v>
      </c>
      <c r="EO105" s="10">
        <v>2.7</v>
      </c>
      <c r="EP105" s="11">
        <v>68.599999999999994</v>
      </c>
      <c r="EQ105" s="10">
        <v>30.2</v>
      </c>
      <c r="ER105" s="10">
        <v>2.11</v>
      </c>
      <c r="ES105" s="8" t="s">
        <v>151</v>
      </c>
      <c r="ET105" s="8"/>
      <c r="EU105" s="8"/>
      <c r="EV105" s="8"/>
      <c r="EW105" s="8"/>
      <c r="EX105" s="23"/>
      <c r="EY105" s="8"/>
    </row>
    <row r="106" spans="1:155" ht="17.100000000000001" customHeight="1">
      <c r="A106" s="174"/>
      <c r="B106" s="397" t="s">
        <v>283</v>
      </c>
      <c r="C106" s="202" t="s">
        <v>96</v>
      </c>
      <c r="D106" s="317" t="e">
        <f t="shared" si="257"/>
        <v>#DIV/0!</v>
      </c>
      <c r="E106" s="320" t="e">
        <f t="shared" si="258"/>
        <v>#DIV/0!</v>
      </c>
      <c r="F106" s="320" t="e">
        <f t="shared" si="259"/>
        <v>#DIV/0!</v>
      </c>
      <c r="G106" s="323" t="e">
        <f t="shared" si="260"/>
        <v>#DIV/0!</v>
      </c>
      <c r="H106" s="306"/>
      <c r="I106" s="309"/>
      <c r="J106" s="309"/>
      <c r="K106" s="309"/>
      <c r="L106" s="309"/>
      <c r="M106" s="309"/>
      <c r="N106" s="309"/>
      <c r="O106" s="345"/>
      <c r="P106" s="211"/>
      <c r="Q106" s="214"/>
      <c r="R106" s="306"/>
      <c r="S106" s="309"/>
      <c r="T106" s="309"/>
      <c r="U106" s="309"/>
      <c r="V106" s="309"/>
      <c r="W106" s="309"/>
      <c r="X106" s="336"/>
      <c r="Y106" s="306"/>
      <c r="Z106" s="309"/>
      <c r="AA106" s="309"/>
      <c r="AB106" s="309"/>
      <c r="AC106" s="309"/>
      <c r="AD106" s="309"/>
      <c r="AE106" s="348"/>
      <c r="AF106" s="306"/>
      <c r="AG106" s="211"/>
      <c r="AH106" s="211"/>
      <c r="AI106" s="211"/>
      <c r="AJ106" s="211"/>
      <c r="AK106" s="211"/>
      <c r="AL106" s="214"/>
      <c r="AM106" s="333"/>
      <c r="AN106" s="211"/>
      <c r="AO106" s="211"/>
      <c r="AP106" s="211"/>
      <c r="AQ106" s="211"/>
      <c r="AR106" s="211"/>
      <c r="AS106" s="211"/>
      <c r="AT106" s="333"/>
      <c r="AU106" s="211"/>
      <c r="AV106" s="309"/>
      <c r="AW106" s="211"/>
      <c r="AX106" s="211"/>
      <c r="AY106" s="309"/>
      <c r="AZ106" s="336"/>
      <c r="BA106" s="333"/>
      <c r="BB106" s="333"/>
      <c r="BC106" s="333"/>
      <c r="BD106" s="333"/>
      <c r="BE106" s="333"/>
      <c r="BF106" s="333"/>
      <c r="BG106" s="333"/>
      <c r="BH106" s="333"/>
      <c r="BI106" s="211"/>
      <c r="BJ106" s="211"/>
      <c r="BK106" s="351"/>
      <c r="BL106" s="211"/>
      <c r="BM106" s="211"/>
      <c r="BN106" s="214"/>
      <c r="BO106" s="196">
        <v>73.7</v>
      </c>
      <c r="BP106" s="196">
        <v>0.38800000000000001</v>
      </c>
      <c r="BQ106" s="196">
        <v>5.23</v>
      </c>
      <c r="BR106" s="196">
        <v>69.8</v>
      </c>
      <c r="BS106" s="339">
        <v>0.32800000000000001</v>
      </c>
      <c r="BT106" s="196">
        <v>7.4</v>
      </c>
      <c r="BU106" s="193">
        <v>7.36</v>
      </c>
      <c r="BV106" s="193">
        <v>1.1299999999999999</v>
      </c>
      <c r="BW106" s="193">
        <v>950</v>
      </c>
      <c r="BX106" s="193">
        <v>5.37</v>
      </c>
      <c r="BY106" s="193">
        <v>7.37</v>
      </c>
      <c r="BZ106" s="193">
        <v>5400</v>
      </c>
      <c r="CA106" s="193">
        <v>7.38</v>
      </c>
      <c r="CB106" s="193">
        <v>1.1000000000000001</v>
      </c>
      <c r="CC106" s="193">
        <v>900</v>
      </c>
      <c r="CD106" s="193">
        <v>6.95</v>
      </c>
      <c r="CE106" s="193">
        <v>3.75</v>
      </c>
      <c r="CF106" s="193">
        <v>3700</v>
      </c>
      <c r="CG106" s="193">
        <v>7.38</v>
      </c>
      <c r="CH106" s="193">
        <v>1.0900000000000001</v>
      </c>
      <c r="CI106" s="193">
        <v>1500</v>
      </c>
      <c r="CJ106" s="193">
        <v>7.91</v>
      </c>
      <c r="CK106" s="193">
        <v>2.57</v>
      </c>
      <c r="CL106" s="193">
        <v>2400</v>
      </c>
      <c r="CM106" s="205"/>
      <c r="CN106" s="205"/>
      <c r="CO106" s="13">
        <v>3</v>
      </c>
      <c r="CP106" s="10">
        <v>8.08</v>
      </c>
      <c r="CQ106" s="10">
        <v>1.89</v>
      </c>
      <c r="CR106" s="11">
        <v>76</v>
      </c>
      <c r="CS106" s="10">
        <v>21.1</v>
      </c>
      <c r="CT106" s="10">
        <v>1.61</v>
      </c>
      <c r="CU106" s="20" t="s">
        <v>115</v>
      </c>
      <c r="CV106" s="8">
        <v>2.4</v>
      </c>
      <c r="CW106" s="8">
        <v>24</v>
      </c>
      <c r="CX106" s="8">
        <v>47</v>
      </c>
      <c r="CY106" s="19">
        <v>7</v>
      </c>
      <c r="CZ106" s="10">
        <v>7.72</v>
      </c>
      <c r="DA106" s="10">
        <v>1.68</v>
      </c>
      <c r="DB106" s="11">
        <v>75.2</v>
      </c>
      <c r="DC106" s="10">
        <v>22.8</v>
      </c>
      <c r="DD106" s="10">
        <v>1.74</v>
      </c>
      <c r="DE106" s="20" t="s">
        <v>170</v>
      </c>
      <c r="DF106" s="8">
        <v>2</v>
      </c>
      <c r="DG106" s="8">
        <v>16</v>
      </c>
      <c r="DH106" s="8">
        <v>36</v>
      </c>
      <c r="DI106" s="23"/>
      <c r="DJ106" s="21"/>
      <c r="DK106" s="21"/>
      <c r="DL106" s="22"/>
      <c r="DM106" s="21"/>
      <c r="DN106" s="21"/>
      <c r="DO106" s="23"/>
      <c r="DP106" s="23"/>
      <c r="DQ106" s="23"/>
      <c r="DR106" s="23"/>
      <c r="DS106" s="19">
        <v>10</v>
      </c>
      <c r="DT106" s="10">
        <v>7.97</v>
      </c>
      <c r="DU106" s="10">
        <v>1.81</v>
      </c>
      <c r="DV106" s="11">
        <v>75</v>
      </c>
      <c r="DW106" s="10">
        <v>23.8</v>
      </c>
      <c r="DX106" s="10">
        <v>1.96</v>
      </c>
      <c r="DY106" s="20">
        <v>19.399999999999999</v>
      </c>
      <c r="DZ106" s="8">
        <v>2.15</v>
      </c>
      <c r="EA106" s="8">
        <v>10</v>
      </c>
      <c r="EB106" s="8">
        <v>4</v>
      </c>
      <c r="EC106" s="8">
        <v>39</v>
      </c>
      <c r="ED106" s="8">
        <v>0</v>
      </c>
      <c r="EE106" s="8">
        <v>14</v>
      </c>
      <c r="EF106" s="8">
        <v>8</v>
      </c>
      <c r="EG106" s="8">
        <v>6</v>
      </c>
      <c r="EH106" s="8">
        <v>88</v>
      </c>
      <c r="EI106" s="8">
        <v>9</v>
      </c>
      <c r="EJ106" s="8">
        <v>28</v>
      </c>
      <c r="EK106" s="8">
        <f>EA106+EB106+EC106+ED106+EE106+EF106+EG106+EH106+EI106+EJ106</f>
        <v>206</v>
      </c>
      <c r="EL106" s="9">
        <v>75</v>
      </c>
      <c r="EM106" s="8">
        <v>64</v>
      </c>
      <c r="EN106" s="10">
        <v>7.61</v>
      </c>
      <c r="EO106" s="10">
        <v>2.5099999999999998</v>
      </c>
      <c r="EP106" s="11">
        <v>68.8</v>
      </c>
      <c r="EQ106" s="10">
        <v>29.8</v>
      </c>
      <c r="ER106" s="10">
        <v>2.17</v>
      </c>
      <c r="ES106" s="8" t="s">
        <v>141</v>
      </c>
      <c r="ET106" s="8"/>
      <c r="EU106" s="8"/>
      <c r="EV106" s="8"/>
      <c r="EW106" s="8"/>
      <c r="EX106" s="23"/>
      <c r="EY106" s="8"/>
    </row>
    <row r="107" spans="1:155" s="401" customFormat="1" ht="17.100000000000001" customHeight="1" thickBot="1">
      <c r="A107" s="175"/>
      <c r="B107" s="400" t="s">
        <v>283</v>
      </c>
      <c r="C107" s="203" t="s">
        <v>96</v>
      </c>
      <c r="D107" s="318" t="e">
        <f t="shared" si="257"/>
        <v>#DIV/0!</v>
      </c>
      <c r="E107" s="321" t="e">
        <f t="shared" si="258"/>
        <v>#DIV/0!</v>
      </c>
      <c r="F107" s="321" t="e">
        <f t="shared" si="259"/>
        <v>#DIV/0!</v>
      </c>
      <c r="G107" s="324" t="e">
        <f t="shared" si="260"/>
        <v>#DIV/0!</v>
      </c>
      <c r="H107" s="307"/>
      <c r="I107" s="310"/>
      <c r="J107" s="310"/>
      <c r="K107" s="310"/>
      <c r="L107" s="310"/>
      <c r="M107" s="310"/>
      <c r="N107" s="310"/>
      <c r="O107" s="346"/>
      <c r="P107" s="302"/>
      <c r="Q107" s="304"/>
      <c r="R107" s="307"/>
      <c r="S107" s="310"/>
      <c r="T107" s="310"/>
      <c r="U107" s="310"/>
      <c r="V107" s="310"/>
      <c r="W107" s="310"/>
      <c r="X107" s="337"/>
      <c r="Y107" s="307"/>
      <c r="Z107" s="310"/>
      <c r="AA107" s="310"/>
      <c r="AB107" s="310"/>
      <c r="AC107" s="310"/>
      <c r="AD107" s="310"/>
      <c r="AE107" s="349"/>
      <c r="AF107" s="307"/>
      <c r="AG107" s="302"/>
      <c r="AH107" s="302"/>
      <c r="AI107" s="302"/>
      <c r="AJ107" s="302"/>
      <c r="AK107" s="302"/>
      <c r="AL107" s="304"/>
      <c r="AM107" s="334"/>
      <c r="AN107" s="302"/>
      <c r="AO107" s="302"/>
      <c r="AP107" s="302"/>
      <c r="AQ107" s="302"/>
      <c r="AR107" s="302"/>
      <c r="AS107" s="302"/>
      <c r="AT107" s="334"/>
      <c r="AU107" s="302"/>
      <c r="AV107" s="310"/>
      <c r="AW107" s="302"/>
      <c r="AX107" s="302"/>
      <c r="AY107" s="310"/>
      <c r="AZ107" s="337"/>
      <c r="BA107" s="334"/>
      <c r="BB107" s="334"/>
      <c r="BC107" s="334"/>
      <c r="BD107" s="334"/>
      <c r="BE107" s="334"/>
      <c r="BF107" s="334"/>
      <c r="BG107" s="334"/>
      <c r="BH107" s="334"/>
      <c r="BI107" s="302"/>
      <c r="BJ107" s="302"/>
      <c r="BK107" s="352"/>
      <c r="BL107" s="302"/>
      <c r="BM107" s="302"/>
      <c r="BN107" s="304"/>
      <c r="BO107" s="217">
        <v>73</v>
      </c>
      <c r="BP107" s="217">
        <v>0.309</v>
      </c>
      <c r="BQ107" s="217">
        <v>5.08</v>
      </c>
      <c r="BR107" s="217">
        <v>77.400000000000006</v>
      </c>
      <c r="BS107" s="340">
        <v>0.35699999999999998</v>
      </c>
      <c r="BT107" s="217">
        <v>8.3800000000000008</v>
      </c>
      <c r="BU107" s="219">
        <v>7.42</v>
      </c>
      <c r="BV107" s="219">
        <v>1.01</v>
      </c>
      <c r="BW107" s="219">
        <v>870</v>
      </c>
      <c r="BX107" s="219">
        <v>5.1100000000000003</v>
      </c>
      <c r="BY107" s="219">
        <v>6.65</v>
      </c>
      <c r="BZ107" s="219">
        <v>5300</v>
      </c>
      <c r="CA107" s="219">
        <v>6.92</v>
      </c>
      <c r="CB107" s="219">
        <v>1.1499999999999999</v>
      </c>
      <c r="CC107" s="219">
        <v>970</v>
      </c>
      <c r="CD107" s="219">
        <v>6.42</v>
      </c>
      <c r="CE107" s="219">
        <v>3.42</v>
      </c>
      <c r="CF107" s="219">
        <v>3200</v>
      </c>
      <c r="CG107" s="219">
        <v>7.6</v>
      </c>
      <c r="CH107" s="219">
        <v>1.22</v>
      </c>
      <c r="CI107" s="219">
        <v>1030</v>
      </c>
      <c r="CJ107" s="219">
        <v>7.82</v>
      </c>
      <c r="CK107" s="219">
        <v>2.66</v>
      </c>
      <c r="CL107" s="219">
        <v>2400</v>
      </c>
      <c r="CM107" s="221"/>
      <c r="CN107" s="221"/>
      <c r="CO107" s="98">
        <v>4</v>
      </c>
      <c r="CP107" s="107">
        <v>8.0500000000000007</v>
      </c>
      <c r="CQ107" s="107">
        <v>1.73</v>
      </c>
      <c r="CR107" s="108">
        <v>76.2</v>
      </c>
      <c r="CS107" s="107">
        <v>20.9</v>
      </c>
      <c r="CT107" s="107">
        <v>1.57</v>
      </c>
      <c r="CU107" s="135" t="s">
        <v>197</v>
      </c>
      <c r="CV107" s="102">
        <v>2.2999999999999998</v>
      </c>
      <c r="CW107" s="102">
        <v>21</v>
      </c>
      <c r="CX107" s="102">
        <v>48</v>
      </c>
      <c r="CY107" s="134">
        <v>8</v>
      </c>
      <c r="CZ107" s="107">
        <v>7.68</v>
      </c>
      <c r="DA107" s="107">
        <v>1.77</v>
      </c>
      <c r="DB107" s="108">
        <v>75</v>
      </c>
      <c r="DC107" s="107">
        <v>23.1</v>
      </c>
      <c r="DD107" s="107">
        <v>1.78</v>
      </c>
      <c r="DE107" s="135" t="s">
        <v>178</v>
      </c>
      <c r="DF107" s="102">
        <v>1.9</v>
      </c>
      <c r="DG107" s="102"/>
      <c r="DH107" s="102">
        <v>47</v>
      </c>
      <c r="DI107" s="101"/>
      <c r="DJ107" s="99"/>
      <c r="DK107" s="99"/>
      <c r="DL107" s="100"/>
      <c r="DM107" s="99"/>
      <c r="DN107" s="99"/>
      <c r="DO107" s="101"/>
      <c r="DP107" s="101"/>
      <c r="DQ107" s="101"/>
      <c r="DR107" s="101"/>
      <c r="DS107" s="148"/>
      <c r="DT107" s="107"/>
      <c r="DU107" s="107"/>
      <c r="DV107" s="108"/>
      <c r="DW107" s="107"/>
      <c r="DX107" s="107"/>
      <c r="DY107" s="135"/>
      <c r="DZ107" s="102"/>
      <c r="EA107" s="102"/>
      <c r="EB107" s="102"/>
      <c r="EC107" s="102"/>
      <c r="ED107" s="102"/>
      <c r="EE107" s="102"/>
      <c r="EF107" s="102"/>
      <c r="EG107" s="102"/>
      <c r="EH107" s="102"/>
      <c r="EI107" s="102"/>
      <c r="EJ107" s="102"/>
      <c r="EK107" s="116"/>
      <c r="EL107" s="106" t="s">
        <v>198</v>
      </c>
      <c r="EM107" s="101">
        <v>63</v>
      </c>
      <c r="EN107" s="99">
        <v>7.66</v>
      </c>
      <c r="EO107" s="99">
        <v>2.48</v>
      </c>
      <c r="EP107" s="100">
        <v>69</v>
      </c>
      <c r="EQ107" s="99">
        <v>30.1</v>
      </c>
      <c r="ER107" s="99">
        <v>2.1800000000000002</v>
      </c>
      <c r="ES107" s="101" t="s">
        <v>94</v>
      </c>
      <c r="ET107" s="102"/>
      <c r="EU107" s="102"/>
      <c r="EV107" s="102"/>
      <c r="EW107" s="102"/>
      <c r="EX107" s="101"/>
      <c r="EY107" s="102"/>
    </row>
    <row r="108" spans="1:155" s="398" customFormat="1" ht="17.100000000000001" customHeight="1">
      <c r="A108" s="173">
        <v>26</v>
      </c>
      <c r="B108" s="397" t="s">
        <v>284</v>
      </c>
      <c r="C108" s="201" t="s">
        <v>90</v>
      </c>
      <c r="D108" s="316">
        <f>(I108+H108)/(H108+I108+J108)*100</f>
        <v>75.117370892018769</v>
      </c>
      <c r="E108" s="319">
        <f>J108/(H108+I108+J108)*100</f>
        <v>24.88262910798122</v>
      </c>
      <c r="F108" s="319"/>
      <c r="G108" s="322"/>
      <c r="H108" s="305">
        <v>0</v>
      </c>
      <c r="I108" s="308">
        <v>16</v>
      </c>
      <c r="J108" s="308">
        <v>5.3</v>
      </c>
      <c r="K108" s="364">
        <v>0.4</v>
      </c>
      <c r="L108" s="364">
        <v>7.2</v>
      </c>
      <c r="M108" s="308">
        <v>0</v>
      </c>
      <c r="N108" s="308">
        <v>0</v>
      </c>
      <c r="O108" s="308">
        <v>0.03</v>
      </c>
      <c r="P108" s="301"/>
      <c r="Q108" s="303"/>
      <c r="R108" s="305">
        <v>0</v>
      </c>
      <c r="S108" s="308">
        <v>1</v>
      </c>
      <c r="T108" s="308">
        <v>0.36</v>
      </c>
      <c r="U108" s="364">
        <v>3.48</v>
      </c>
      <c r="V108" s="364">
        <v>3.15</v>
      </c>
      <c r="W108" s="308">
        <v>0</v>
      </c>
      <c r="X108" s="335">
        <v>20.5</v>
      </c>
      <c r="Y108" s="305">
        <f t="shared" ref="Y108:AD108" si="283">H108*R108*10</f>
        <v>0</v>
      </c>
      <c r="Z108" s="308">
        <f t="shared" si="283"/>
        <v>160</v>
      </c>
      <c r="AA108" s="308">
        <f t="shared" si="283"/>
        <v>19.079999999999998</v>
      </c>
      <c r="AB108" s="364">
        <f t="shared" si="283"/>
        <v>13.920000000000002</v>
      </c>
      <c r="AC108" s="364">
        <f t="shared" si="283"/>
        <v>226.8</v>
      </c>
      <c r="AD108" s="308">
        <f t="shared" si="283"/>
        <v>0</v>
      </c>
      <c r="AE108" s="335">
        <f>X108*O108*10</f>
        <v>6.15</v>
      </c>
      <c r="AF108" s="305">
        <v>0</v>
      </c>
      <c r="AG108" s="301">
        <v>13.3</v>
      </c>
      <c r="AH108" s="301">
        <v>1.8</v>
      </c>
      <c r="AI108" s="361">
        <v>30.2</v>
      </c>
      <c r="AJ108" s="361">
        <v>44</v>
      </c>
      <c r="AK108" s="301">
        <v>0</v>
      </c>
      <c r="AL108" s="303">
        <v>85.3</v>
      </c>
      <c r="AM108" s="332">
        <f t="shared" ref="AM108" si="284">AF108*10*H108</f>
        <v>0</v>
      </c>
      <c r="AN108" s="301">
        <f t="shared" ref="AN108:AS108" si="285">AG108*I108*10</f>
        <v>2128</v>
      </c>
      <c r="AO108" s="301">
        <f t="shared" si="285"/>
        <v>95.399999999999991</v>
      </c>
      <c r="AP108" s="361">
        <f t="shared" si="285"/>
        <v>120.8</v>
      </c>
      <c r="AQ108" s="361">
        <f t="shared" si="285"/>
        <v>3168</v>
      </c>
      <c r="AR108" s="301">
        <f t="shared" si="285"/>
        <v>0</v>
      </c>
      <c r="AS108" s="301">
        <f t="shared" si="285"/>
        <v>0</v>
      </c>
      <c r="AT108" s="332">
        <v>0</v>
      </c>
      <c r="AU108" s="301">
        <v>13.2</v>
      </c>
      <c r="AV108" s="308">
        <v>51.4</v>
      </c>
      <c r="AW108" s="361">
        <v>20</v>
      </c>
      <c r="AX108" s="361">
        <v>30.4</v>
      </c>
      <c r="AY108" s="301">
        <v>0</v>
      </c>
      <c r="AZ108" s="335">
        <v>0</v>
      </c>
      <c r="BA108" s="332">
        <f t="shared" ref="BA108:BG108" si="286">(H108*3*1000)/(1-AT108/100)</f>
        <v>0</v>
      </c>
      <c r="BB108" s="332">
        <f t="shared" si="286"/>
        <v>55299.539170506912</v>
      </c>
      <c r="BC108" s="332">
        <f t="shared" si="286"/>
        <v>32716.049382716046</v>
      </c>
      <c r="BD108" s="367">
        <f t="shared" si="286"/>
        <v>1500.0000000000002</v>
      </c>
      <c r="BE108" s="367">
        <f t="shared" si="286"/>
        <v>31034.482758620692</v>
      </c>
      <c r="BF108" s="332">
        <f t="shared" si="286"/>
        <v>0</v>
      </c>
      <c r="BG108" s="332">
        <f t="shared" si="286"/>
        <v>0</v>
      </c>
      <c r="BH108" s="332">
        <f>H108+I108+J108</f>
        <v>21.3</v>
      </c>
      <c r="BI108" s="301">
        <f>K108+L108+M108+N108+O108</f>
        <v>7.6300000000000008</v>
      </c>
      <c r="BJ108" s="301">
        <f t="shared" ref="BJ108" si="287">BH108+BI108</f>
        <v>28.93</v>
      </c>
      <c r="BK108" s="301">
        <f>Y108+Z108+AA108+AB108+AC108+AD108+AE108</f>
        <v>425.95</v>
      </c>
      <c r="BL108" s="301">
        <f t="shared" ref="BL108" si="288">AM108+AN108+AO108+AP108+AQ108+AR108+AS108</f>
        <v>5512.2000000000007</v>
      </c>
      <c r="BM108" s="301">
        <f t="shared" ref="BM108" si="289">BJ108*3*1000</f>
        <v>86789.999999999985</v>
      </c>
      <c r="BN108" s="303">
        <f t="shared" ref="BN108" si="290">BA108+BB108+BC108+BD108+BE108+BF108+BG108</f>
        <v>120550.07131184365</v>
      </c>
      <c r="BO108" s="216">
        <v>73.599999999999994</v>
      </c>
      <c r="BP108" s="216">
        <v>0.58599999999999997</v>
      </c>
      <c r="BQ108" s="216">
        <v>7.57</v>
      </c>
      <c r="BR108" s="216">
        <v>73</v>
      </c>
      <c r="BS108" s="338">
        <v>0.51300000000000001</v>
      </c>
      <c r="BT108" s="216">
        <v>7.24</v>
      </c>
      <c r="BU108" s="218">
        <v>7.4</v>
      </c>
      <c r="BV108" s="218">
        <v>1.01</v>
      </c>
      <c r="BW108" s="218">
        <v>890</v>
      </c>
      <c r="BX108" s="218">
        <v>4.8899999999999997</v>
      </c>
      <c r="BY108" s="218">
        <v>7.7</v>
      </c>
      <c r="BZ108" s="218">
        <v>5700</v>
      </c>
      <c r="CA108" s="218">
        <v>6.82</v>
      </c>
      <c r="CB108" s="218">
        <v>1.1599999999999999</v>
      </c>
      <c r="CC108" s="218">
        <v>980</v>
      </c>
      <c r="CD108" s="218">
        <v>6.45</v>
      </c>
      <c r="CE108" s="218">
        <v>3.6</v>
      </c>
      <c r="CF108" s="218">
        <v>2600</v>
      </c>
      <c r="CG108" s="218">
        <v>7.24</v>
      </c>
      <c r="CH108" s="218">
        <v>1.04</v>
      </c>
      <c r="CI108" s="218">
        <v>890</v>
      </c>
      <c r="CJ108" s="218">
        <v>7.54</v>
      </c>
      <c r="CK108" s="218">
        <v>2.6</v>
      </c>
      <c r="CL108" s="218">
        <v>2400</v>
      </c>
      <c r="CM108" s="220">
        <v>78</v>
      </c>
      <c r="CN108" s="220">
        <v>77.8</v>
      </c>
      <c r="CO108" s="75"/>
      <c r="CP108" s="122"/>
      <c r="CQ108" s="122"/>
      <c r="CR108" s="123"/>
      <c r="CS108" s="122"/>
      <c r="CT108" s="122"/>
      <c r="CU108" s="140"/>
      <c r="CV108" s="79"/>
      <c r="CW108" s="79"/>
      <c r="CX108" s="79"/>
      <c r="CY108" s="141"/>
      <c r="CZ108" s="122"/>
      <c r="DA108" s="122"/>
      <c r="DB108" s="123"/>
      <c r="DC108" s="122"/>
      <c r="DD108" s="122"/>
      <c r="DE108" s="140"/>
      <c r="DF108" s="79"/>
      <c r="DG108" s="79"/>
      <c r="DH108" s="79"/>
      <c r="DI108" s="121"/>
      <c r="DJ108" s="122"/>
      <c r="DK108" s="122"/>
      <c r="DL108" s="123"/>
      <c r="DM108" s="122"/>
      <c r="DN108" s="122"/>
      <c r="DO108" s="121"/>
      <c r="DP108" s="121"/>
      <c r="DQ108" s="121"/>
      <c r="DR108" s="121"/>
      <c r="DS108" s="85">
        <v>7</v>
      </c>
      <c r="DT108" s="76">
        <v>8.32</v>
      </c>
      <c r="DU108" s="76">
        <v>1.78</v>
      </c>
      <c r="DV108" s="77">
        <v>74.900000000000006</v>
      </c>
      <c r="DW108" s="76">
        <v>26.7</v>
      </c>
      <c r="DX108" s="76">
        <v>1.96</v>
      </c>
      <c r="DY108" s="86">
        <v>18.600000000000001</v>
      </c>
      <c r="DZ108" s="79">
        <v>2</v>
      </c>
      <c r="EA108" s="79">
        <v>8</v>
      </c>
      <c r="EB108" s="79">
        <v>6</v>
      </c>
      <c r="EC108" s="79">
        <v>20</v>
      </c>
      <c r="ED108" s="79">
        <v>2</v>
      </c>
      <c r="EE108" s="79">
        <v>14</v>
      </c>
      <c r="EF108" s="79">
        <v>8</v>
      </c>
      <c r="EG108" s="79">
        <v>3</v>
      </c>
      <c r="EH108" s="79">
        <v>84</v>
      </c>
      <c r="EI108" s="79">
        <v>6</v>
      </c>
      <c r="EJ108" s="79">
        <v>2</v>
      </c>
      <c r="EK108" s="79">
        <f t="shared" ref="EK108:EK110" si="291">EA108+EB108+EC108+ED108+EE108+EF108+EG108+EH108+EI108+EJ108</f>
        <v>153</v>
      </c>
      <c r="EL108" s="87">
        <v>76</v>
      </c>
      <c r="EM108" s="121">
        <v>18</v>
      </c>
      <c r="EN108" s="122">
        <v>7.5</v>
      </c>
      <c r="EO108" s="122">
        <v>2.6</v>
      </c>
      <c r="EP108" s="123">
        <v>69.8</v>
      </c>
      <c r="EQ108" s="122">
        <v>29.6</v>
      </c>
      <c r="ER108" s="122">
        <v>2.11</v>
      </c>
      <c r="ES108" s="121" t="s">
        <v>130</v>
      </c>
      <c r="ET108" s="121"/>
      <c r="EU108" s="121"/>
      <c r="EV108" s="121"/>
      <c r="EW108" s="121"/>
      <c r="EX108" s="121"/>
      <c r="EY108" s="121"/>
    </row>
    <row r="109" spans="1:155" ht="17.100000000000001" customHeight="1">
      <c r="A109" s="174"/>
      <c r="B109" s="397" t="s">
        <v>284</v>
      </c>
      <c r="C109" s="202" t="s">
        <v>90</v>
      </c>
      <c r="D109" s="317" t="e">
        <f t="shared" ref="D109:D111" si="292">(I109+H109)/(H109+I109+J109+K109+L109)*100</f>
        <v>#DIV/0!</v>
      </c>
      <c r="E109" s="320" t="e">
        <f t="shared" ref="E109:E111" si="293">J109/(H109+I109+J109+K109+L109)*100</f>
        <v>#DIV/0!</v>
      </c>
      <c r="F109" s="320"/>
      <c r="G109" s="323"/>
      <c r="H109" s="306"/>
      <c r="I109" s="309"/>
      <c r="J109" s="309"/>
      <c r="K109" s="365"/>
      <c r="L109" s="365"/>
      <c r="M109" s="309"/>
      <c r="N109" s="309"/>
      <c r="O109" s="309"/>
      <c r="P109" s="211"/>
      <c r="Q109" s="214"/>
      <c r="R109" s="306"/>
      <c r="S109" s="309"/>
      <c r="T109" s="309"/>
      <c r="U109" s="365"/>
      <c r="V109" s="365"/>
      <c r="W109" s="309"/>
      <c r="X109" s="336"/>
      <c r="Y109" s="306"/>
      <c r="Z109" s="309"/>
      <c r="AA109" s="309"/>
      <c r="AB109" s="365"/>
      <c r="AC109" s="365"/>
      <c r="AD109" s="309"/>
      <c r="AE109" s="336"/>
      <c r="AF109" s="306"/>
      <c r="AG109" s="211"/>
      <c r="AH109" s="211"/>
      <c r="AI109" s="362"/>
      <c r="AJ109" s="362"/>
      <c r="AK109" s="211"/>
      <c r="AL109" s="214"/>
      <c r="AM109" s="333"/>
      <c r="AN109" s="211"/>
      <c r="AO109" s="211"/>
      <c r="AP109" s="362"/>
      <c r="AQ109" s="362"/>
      <c r="AR109" s="211"/>
      <c r="AS109" s="211"/>
      <c r="AT109" s="333"/>
      <c r="AU109" s="211"/>
      <c r="AV109" s="309"/>
      <c r="AW109" s="362"/>
      <c r="AX109" s="362"/>
      <c r="AY109" s="211"/>
      <c r="AZ109" s="336"/>
      <c r="BA109" s="333"/>
      <c r="BB109" s="333"/>
      <c r="BC109" s="333"/>
      <c r="BD109" s="368"/>
      <c r="BE109" s="368"/>
      <c r="BF109" s="333"/>
      <c r="BG109" s="333"/>
      <c r="BH109" s="333"/>
      <c r="BI109" s="211"/>
      <c r="BJ109" s="211"/>
      <c r="BK109" s="211"/>
      <c r="BL109" s="211"/>
      <c r="BM109" s="211"/>
      <c r="BN109" s="214"/>
      <c r="BO109" s="196">
        <v>73.7</v>
      </c>
      <c r="BP109" s="196">
        <v>0.38800000000000001</v>
      </c>
      <c r="BQ109" s="196">
        <v>5.23</v>
      </c>
      <c r="BR109" s="196">
        <v>69.8</v>
      </c>
      <c r="BS109" s="339">
        <v>0.32800000000000001</v>
      </c>
      <c r="BT109" s="196">
        <v>7.4</v>
      </c>
      <c r="BU109" s="193">
        <v>7.36</v>
      </c>
      <c r="BV109" s="193">
        <v>1.1299999999999999</v>
      </c>
      <c r="BW109" s="193">
        <v>950</v>
      </c>
      <c r="BX109" s="193">
        <v>5.37</v>
      </c>
      <c r="BY109" s="193">
        <v>7.37</v>
      </c>
      <c r="BZ109" s="193">
        <v>5400</v>
      </c>
      <c r="CA109" s="193">
        <v>7.38</v>
      </c>
      <c r="CB109" s="193">
        <v>1.1000000000000001</v>
      </c>
      <c r="CC109" s="193">
        <v>900</v>
      </c>
      <c r="CD109" s="193">
        <v>6.95</v>
      </c>
      <c r="CE109" s="193">
        <v>3.75</v>
      </c>
      <c r="CF109" s="193">
        <v>3700</v>
      </c>
      <c r="CG109" s="193">
        <v>7.38</v>
      </c>
      <c r="CH109" s="193">
        <v>1.0900000000000001</v>
      </c>
      <c r="CI109" s="193">
        <v>1500</v>
      </c>
      <c r="CJ109" s="193">
        <v>7.91</v>
      </c>
      <c r="CK109" s="193">
        <v>2.57</v>
      </c>
      <c r="CL109" s="193">
        <v>2400</v>
      </c>
      <c r="CM109" s="205"/>
      <c r="CN109" s="205"/>
      <c r="CO109" s="13">
        <v>3</v>
      </c>
      <c r="CP109" s="10">
        <v>8.09</v>
      </c>
      <c r="CQ109" s="10">
        <v>2.0299999999999998</v>
      </c>
      <c r="CR109" s="11">
        <v>76</v>
      </c>
      <c r="CS109" s="10">
        <v>20.9</v>
      </c>
      <c r="CT109" s="10">
        <v>1.54</v>
      </c>
      <c r="CU109" s="20" t="s">
        <v>199</v>
      </c>
      <c r="CV109" s="8">
        <v>2.5</v>
      </c>
      <c r="CW109" s="8">
        <v>19</v>
      </c>
      <c r="CX109" s="8">
        <v>48</v>
      </c>
      <c r="CY109" s="19">
        <v>5</v>
      </c>
      <c r="CZ109" s="10">
        <v>7.86</v>
      </c>
      <c r="DA109" s="10">
        <v>1.96</v>
      </c>
      <c r="DB109" s="11">
        <v>75.3</v>
      </c>
      <c r="DC109" s="10">
        <v>21.7</v>
      </c>
      <c r="DD109" s="10">
        <v>1.76</v>
      </c>
      <c r="DE109" s="20">
        <v>22.2</v>
      </c>
      <c r="DF109" s="8">
        <v>2.2000000000000002</v>
      </c>
      <c r="DG109" s="8"/>
      <c r="DH109" s="8">
        <v>54</v>
      </c>
      <c r="DI109" s="23"/>
      <c r="DJ109" s="21"/>
      <c r="DK109" s="21"/>
      <c r="DL109" s="22"/>
      <c r="DM109" s="21"/>
      <c r="DN109" s="21"/>
      <c r="DO109" s="23"/>
      <c r="DP109" s="23"/>
      <c r="DQ109" s="23"/>
      <c r="DR109" s="23"/>
      <c r="DS109" s="19">
        <v>4</v>
      </c>
      <c r="DT109" s="10">
        <v>7.8</v>
      </c>
      <c r="DU109" s="10">
        <v>1.9</v>
      </c>
      <c r="DV109" s="11">
        <v>74.5</v>
      </c>
      <c r="DW109" s="10">
        <v>26.4</v>
      </c>
      <c r="DX109" s="10">
        <v>1.96</v>
      </c>
      <c r="DY109" s="20">
        <v>18.7</v>
      </c>
      <c r="DZ109" s="8">
        <v>2</v>
      </c>
      <c r="EA109" s="8">
        <v>8</v>
      </c>
      <c r="EB109" s="8">
        <v>6</v>
      </c>
      <c r="EC109" s="8">
        <v>16</v>
      </c>
      <c r="ED109" s="8">
        <v>2</v>
      </c>
      <c r="EE109" s="8">
        <v>14</v>
      </c>
      <c r="EF109" s="8">
        <v>8</v>
      </c>
      <c r="EG109" s="8">
        <v>6</v>
      </c>
      <c r="EH109" s="8">
        <v>86</v>
      </c>
      <c r="EI109" s="8">
        <v>9</v>
      </c>
      <c r="EJ109" s="8">
        <v>11</v>
      </c>
      <c r="EK109" s="8">
        <f t="shared" si="291"/>
        <v>166</v>
      </c>
      <c r="EL109" s="9">
        <v>77</v>
      </c>
      <c r="EM109" s="23">
        <v>42</v>
      </c>
      <c r="EN109" s="21">
        <v>7.63</v>
      </c>
      <c r="EO109" s="21">
        <v>2.4300000000000002</v>
      </c>
      <c r="EP109" s="22">
        <v>68.599999999999994</v>
      </c>
      <c r="EQ109" s="21">
        <v>28.7</v>
      </c>
      <c r="ER109" s="21">
        <v>2.19</v>
      </c>
      <c r="ES109" s="23" t="s">
        <v>143</v>
      </c>
      <c r="ET109" s="23"/>
      <c r="EU109" s="23"/>
      <c r="EV109" s="23"/>
      <c r="EW109" s="23"/>
      <c r="EX109" s="23"/>
      <c r="EY109" s="23"/>
    </row>
    <row r="110" spans="1:155" ht="17.100000000000001" customHeight="1">
      <c r="A110" s="174"/>
      <c r="B110" s="397" t="s">
        <v>284</v>
      </c>
      <c r="C110" s="202" t="s">
        <v>96</v>
      </c>
      <c r="D110" s="317" t="e">
        <f t="shared" si="292"/>
        <v>#DIV/0!</v>
      </c>
      <c r="E110" s="320" t="e">
        <f t="shared" si="293"/>
        <v>#DIV/0!</v>
      </c>
      <c r="F110" s="320"/>
      <c r="G110" s="323"/>
      <c r="H110" s="306"/>
      <c r="I110" s="309"/>
      <c r="J110" s="309"/>
      <c r="K110" s="365"/>
      <c r="L110" s="365"/>
      <c r="M110" s="309"/>
      <c r="N110" s="309"/>
      <c r="O110" s="309"/>
      <c r="P110" s="211"/>
      <c r="Q110" s="214"/>
      <c r="R110" s="306"/>
      <c r="S110" s="309"/>
      <c r="T110" s="309"/>
      <c r="U110" s="365"/>
      <c r="V110" s="365"/>
      <c r="W110" s="309"/>
      <c r="X110" s="336"/>
      <c r="Y110" s="306"/>
      <c r="Z110" s="309"/>
      <c r="AA110" s="309"/>
      <c r="AB110" s="365"/>
      <c r="AC110" s="365"/>
      <c r="AD110" s="309"/>
      <c r="AE110" s="336"/>
      <c r="AF110" s="306"/>
      <c r="AG110" s="211"/>
      <c r="AH110" s="211"/>
      <c r="AI110" s="362"/>
      <c r="AJ110" s="362"/>
      <c r="AK110" s="211"/>
      <c r="AL110" s="214"/>
      <c r="AM110" s="333"/>
      <c r="AN110" s="211"/>
      <c r="AO110" s="211"/>
      <c r="AP110" s="362"/>
      <c r="AQ110" s="362"/>
      <c r="AR110" s="211"/>
      <c r="AS110" s="211"/>
      <c r="AT110" s="333"/>
      <c r="AU110" s="211"/>
      <c r="AV110" s="309"/>
      <c r="AW110" s="362"/>
      <c r="AX110" s="362"/>
      <c r="AY110" s="211"/>
      <c r="AZ110" s="336"/>
      <c r="BA110" s="333"/>
      <c r="BB110" s="333"/>
      <c r="BC110" s="333"/>
      <c r="BD110" s="368"/>
      <c r="BE110" s="368"/>
      <c r="BF110" s="333"/>
      <c r="BG110" s="333"/>
      <c r="BH110" s="333"/>
      <c r="BI110" s="211"/>
      <c r="BJ110" s="211"/>
      <c r="BK110" s="211"/>
      <c r="BL110" s="211"/>
      <c r="BM110" s="211"/>
      <c r="BN110" s="214"/>
      <c r="BO110" s="196">
        <v>73</v>
      </c>
      <c r="BP110" s="196">
        <v>0.309</v>
      </c>
      <c r="BQ110" s="196">
        <v>5.08</v>
      </c>
      <c r="BR110" s="196">
        <v>77.400000000000006</v>
      </c>
      <c r="BS110" s="339">
        <v>0.35699999999999998</v>
      </c>
      <c r="BT110" s="196">
        <v>8.3800000000000008</v>
      </c>
      <c r="BU110" s="193">
        <v>7.42</v>
      </c>
      <c r="BV110" s="193">
        <v>1.01</v>
      </c>
      <c r="BW110" s="193">
        <v>870</v>
      </c>
      <c r="BX110" s="193">
        <v>5.1100000000000003</v>
      </c>
      <c r="BY110" s="193">
        <v>6.65</v>
      </c>
      <c r="BZ110" s="193">
        <v>5300</v>
      </c>
      <c r="CA110" s="193">
        <v>6.92</v>
      </c>
      <c r="CB110" s="193">
        <v>1.1499999999999999</v>
      </c>
      <c r="CC110" s="193">
        <v>970</v>
      </c>
      <c r="CD110" s="193">
        <v>6.42</v>
      </c>
      <c r="CE110" s="193">
        <v>3.42</v>
      </c>
      <c r="CF110" s="193">
        <v>3200</v>
      </c>
      <c r="CG110" s="193">
        <v>7.6</v>
      </c>
      <c r="CH110" s="193">
        <v>1.22</v>
      </c>
      <c r="CI110" s="193">
        <v>1030</v>
      </c>
      <c r="CJ110" s="193">
        <v>7.82</v>
      </c>
      <c r="CK110" s="193">
        <v>2.66</v>
      </c>
      <c r="CL110" s="193">
        <v>2400</v>
      </c>
      <c r="CM110" s="205"/>
      <c r="CN110" s="205"/>
      <c r="CO110" s="13">
        <v>4</v>
      </c>
      <c r="CP110" s="10">
        <v>8.1199999999999992</v>
      </c>
      <c r="CQ110" s="10">
        <v>2.09</v>
      </c>
      <c r="CR110" s="11">
        <v>76.3</v>
      </c>
      <c r="CS110" s="10">
        <v>21.1</v>
      </c>
      <c r="CT110" s="10">
        <v>1.54</v>
      </c>
      <c r="CU110" s="20">
        <v>25.6</v>
      </c>
      <c r="CV110" s="8">
        <v>2.5</v>
      </c>
      <c r="CW110" s="8">
        <v>16</v>
      </c>
      <c r="CX110" s="8">
        <v>51</v>
      </c>
      <c r="CY110" s="19">
        <v>6</v>
      </c>
      <c r="CZ110" s="10">
        <v>7.92</v>
      </c>
      <c r="DA110" s="10">
        <v>2.02</v>
      </c>
      <c r="DB110" s="11">
        <v>75</v>
      </c>
      <c r="DC110" s="10">
        <v>22</v>
      </c>
      <c r="DD110" s="10">
        <v>1.8</v>
      </c>
      <c r="DE110" s="20">
        <v>21.6</v>
      </c>
      <c r="DF110" s="8">
        <v>2.2000000000000002</v>
      </c>
      <c r="DG110" s="8"/>
      <c r="DH110" s="8">
        <v>58</v>
      </c>
      <c r="DI110" s="23"/>
      <c r="DJ110" s="21"/>
      <c r="DK110" s="21"/>
      <c r="DL110" s="22"/>
      <c r="DM110" s="21"/>
      <c r="DN110" s="21"/>
      <c r="DO110" s="23"/>
      <c r="DP110" s="23"/>
      <c r="DQ110" s="23"/>
      <c r="DR110" s="23"/>
      <c r="DS110" s="19">
        <v>6</v>
      </c>
      <c r="DT110" s="10">
        <v>8.23</v>
      </c>
      <c r="DU110" s="10">
        <v>74.599999999999994</v>
      </c>
      <c r="DV110" s="11">
        <v>1.84</v>
      </c>
      <c r="DW110" s="10">
        <v>25</v>
      </c>
      <c r="DX110" s="10">
        <v>1.91</v>
      </c>
      <c r="DY110" s="20">
        <v>19.600000000000001</v>
      </c>
      <c r="DZ110" s="8">
        <v>2.0499999999999998</v>
      </c>
      <c r="EA110" s="8">
        <v>14</v>
      </c>
      <c r="EB110" s="8">
        <v>0</v>
      </c>
      <c r="EC110" s="8">
        <v>33</v>
      </c>
      <c r="ED110" s="8">
        <v>0</v>
      </c>
      <c r="EE110" s="8">
        <v>10</v>
      </c>
      <c r="EF110" s="8">
        <v>7</v>
      </c>
      <c r="EG110" s="8">
        <v>7</v>
      </c>
      <c r="EH110" s="8">
        <v>89</v>
      </c>
      <c r="EI110" s="8">
        <v>7</v>
      </c>
      <c r="EJ110" s="8">
        <v>15</v>
      </c>
      <c r="EK110" s="8">
        <f t="shared" si="291"/>
        <v>182</v>
      </c>
      <c r="EL110" s="9">
        <v>78</v>
      </c>
      <c r="EM110" s="23">
        <v>1</v>
      </c>
      <c r="EN110" s="21">
        <v>7.6</v>
      </c>
      <c r="EO110" s="21">
        <v>2.6</v>
      </c>
      <c r="EP110" s="22">
        <v>68.3</v>
      </c>
      <c r="EQ110" s="21">
        <v>28.7</v>
      </c>
      <c r="ER110" s="21">
        <v>2.2400000000000002</v>
      </c>
      <c r="ES110" s="23" t="s">
        <v>200</v>
      </c>
      <c r="ET110" s="23"/>
      <c r="EU110" s="23"/>
      <c r="EV110" s="23"/>
      <c r="EW110" s="23"/>
      <c r="EX110" s="23"/>
      <c r="EY110" s="23"/>
    </row>
    <row r="111" spans="1:155" s="401" customFormat="1" ht="17.100000000000001" customHeight="1" thickBot="1">
      <c r="A111" s="175"/>
      <c r="B111" s="400" t="s">
        <v>284</v>
      </c>
      <c r="C111" s="203" t="s">
        <v>96</v>
      </c>
      <c r="D111" s="318" t="e">
        <f t="shared" si="292"/>
        <v>#DIV/0!</v>
      </c>
      <c r="E111" s="321" t="e">
        <f t="shared" si="293"/>
        <v>#DIV/0!</v>
      </c>
      <c r="F111" s="321"/>
      <c r="G111" s="324"/>
      <c r="H111" s="307"/>
      <c r="I111" s="310"/>
      <c r="J111" s="310"/>
      <c r="K111" s="366"/>
      <c r="L111" s="366"/>
      <c r="M111" s="310"/>
      <c r="N111" s="310"/>
      <c r="O111" s="310"/>
      <c r="P111" s="302"/>
      <c r="Q111" s="304"/>
      <c r="R111" s="307"/>
      <c r="S111" s="310"/>
      <c r="T111" s="310"/>
      <c r="U111" s="366"/>
      <c r="V111" s="366"/>
      <c r="W111" s="310"/>
      <c r="X111" s="337"/>
      <c r="Y111" s="307"/>
      <c r="Z111" s="310"/>
      <c r="AA111" s="310"/>
      <c r="AB111" s="366"/>
      <c r="AC111" s="366"/>
      <c r="AD111" s="310"/>
      <c r="AE111" s="337"/>
      <c r="AF111" s="307"/>
      <c r="AG111" s="302"/>
      <c r="AH111" s="302"/>
      <c r="AI111" s="363"/>
      <c r="AJ111" s="363"/>
      <c r="AK111" s="302"/>
      <c r="AL111" s="304"/>
      <c r="AM111" s="334"/>
      <c r="AN111" s="302"/>
      <c r="AO111" s="302"/>
      <c r="AP111" s="363"/>
      <c r="AQ111" s="363"/>
      <c r="AR111" s="302"/>
      <c r="AS111" s="302"/>
      <c r="AT111" s="334"/>
      <c r="AU111" s="302"/>
      <c r="AV111" s="310"/>
      <c r="AW111" s="363"/>
      <c r="AX111" s="363"/>
      <c r="AY111" s="302"/>
      <c r="AZ111" s="337"/>
      <c r="BA111" s="334"/>
      <c r="BB111" s="334"/>
      <c r="BC111" s="334"/>
      <c r="BD111" s="369"/>
      <c r="BE111" s="369"/>
      <c r="BF111" s="334"/>
      <c r="BG111" s="334"/>
      <c r="BH111" s="334"/>
      <c r="BI111" s="302"/>
      <c r="BJ111" s="302"/>
      <c r="BK111" s="302"/>
      <c r="BL111" s="302"/>
      <c r="BM111" s="302"/>
      <c r="BN111" s="304"/>
      <c r="BO111" s="217">
        <v>73.599999999999994</v>
      </c>
      <c r="BP111" s="217">
        <v>0.58599999999999997</v>
      </c>
      <c r="BQ111" s="217">
        <v>7.57</v>
      </c>
      <c r="BR111" s="217">
        <v>73</v>
      </c>
      <c r="BS111" s="340">
        <v>0.51300000000000001</v>
      </c>
      <c r="BT111" s="217">
        <v>7.24</v>
      </c>
      <c r="BU111" s="219">
        <v>7.4</v>
      </c>
      <c r="BV111" s="219">
        <v>1.01</v>
      </c>
      <c r="BW111" s="219">
        <v>890</v>
      </c>
      <c r="BX111" s="219">
        <v>4.8899999999999997</v>
      </c>
      <c r="BY111" s="219">
        <v>7.7</v>
      </c>
      <c r="BZ111" s="219">
        <v>5700</v>
      </c>
      <c r="CA111" s="219">
        <v>6.82</v>
      </c>
      <c r="CB111" s="219">
        <v>1.1599999999999999</v>
      </c>
      <c r="CC111" s="219">
        <v>980</v>
      </c>
      <c r="CD111" s="219">
        <v>6.45</v>
      </c>
      <c r="CE111" s="219">
        <v>3.6</v>
      </c>
      <c r="CF111" s="219">
        <v>2600</v>
      </c>
      <c r="CG111" s="219">
        <v>7.24</v>
      </c>
      <c r="CH111" s="219">
        <v>1.04</v>
      </c>
      <c r="CI111" s="219">
        <v>890</v>
      </c>
      <c r="CJ111" s="219">
        <v>7.54</v>
      </c>
      <c r="CK111" s="219">
        <v>2.6</v>
      </c>
      <c r="CL111" s="219">
        <v>2400</v>
      </c>
      <c r="CM111" s="221"/>
      <c r="CN111" s="221"/>
      <c r="CO111" s="98">
        <v>11</v>
      </c>
      <c r="CP111" s="107">
        <v>8.08</v>
      </c>
      <c r="CQ111" s="107">
        <v>2.14</v>
      </c>
      <c r="CR111" s="108">
        <v>76</v>
      </c>
      <c r="CS111" s="107">
        <v>21.7</v>
      </c>
      <c r="CT111" s="107">
        <v>1.48</v>
      </c>
      <c r="CU111" s="135">
        <v>26.4</v>
      </c>
      <c r="CV111" s="102">
        <v>2.4</v>
      </c>
      <c r="CW111" s="102">
        <v>18</v>
      </c>
      <c r="CX111" s="102">
        <v>52</v>
      </c>
      <c r="CY111" s="134">
        <v>11</v>
      </c>
      <c r="CZ111" s="107">
        <v>8.08</v>
      </c>
      <c r="DA111" s="107">
        <v>2.14</v>
      </c>
      <c r="DB111" s="108">
        <v>76</v>
      </c>
      <c r="DC111" s="107">
        <v>21.7</v>
      </c>
      <c r="DD111" s="107">
        <v>1.48</v>
      </c>
      <c r="DE111" s="135">
        <v>26.4</v>
      </c>
      <c r="DF111" s="102"/>
      <c r="DG111" s="102"/>
      <c r="DH111" s="102"/>
      <c r="DI111" s="101"/>
      <c r="DJ111" s="99"/>
      <c r="DK111" s="99"/>
      <c r="DL111" s="100"/>
      <c r="DM111" s="99"/>
      <c r="DN111" s="99"/>
      <c r="DO111" s="101"/>
      <c r="DP111" s="101"/>
      <c r="DQ111" s="101"/>
      <c r="DR111" s="101"/>
      <c r="DS111" s="147"/>
      <c r="DT111" s="99"/>
      <c r="DU111" s="99"/>
      <c r="DV111" s="100"/>
      <c r="DW111" s="99"/>
      <c r="DX111" s="99"/>
      <c r="DY111" s="104"/>
      <c r="DZ111" s="102"/>
      <c r="EA111" s="102"/>
      <c r="EB111" s="102"/>
      <c r="EC111" s="102"/>
      <c r="ED111" s="102"/>
      <c r="EE111" s="102"/>
      <c r="EF111" s="102"/>
      <c r="EG111" s="102"/>
      <c r="EH111" s="102"/>
      <c r="EI111" s="102"/>
      <c r="EJ111" s="102"/>
      <c r="EK111" s="102"/>
      <c r="EL111" s="106" t="s">
        <v>201</v>
      </c>
      <c r="EM111" s="101">
        <v>16</v>
      </c>
      <c r="EN111" s="99">
        <v>7.71</v>
      </c>
      <c r="EO111" s="99">
        <v>2.56</v>
      </c>
      <c r="EP111" s="100">
        <v>67.8</v>
      </c>
      <c r="EQ111" s="99">
        <v>29.3</v>
      </c>
      <c r="ER111" s="99">
        <v>2.2000000000000002</v>
      </c>
      <c r="ES111" s="101" t="s">
        <v>94</v>
      </c>
      <c r="ET111" s="101"/>
      <c r="EU111" s="101"/>
      <c r="EV111" s="101"/>
      <c r="EW111" s="101"/>
      <c r="EX111" s="101"/>
      <c r="EY111" s="101"/>
    </row>
    <row r="112" spans="1:155" s="398" customFormat="1" ht="17.100000000000001" customHeight="1">
      <c r="A112" s="173">
        <v>27</v>
      </c>
      <c r="B112" s="397" t="s">
        <v>285</v>
      </c>
      <c r="C112" s="201" t="s">
        <v>90</v>
      </c>
      <c r="D112" s="316">
        <f t="shared" ref="D112" si="294">(I112+H112)/(H112+I112+J112)*100</f>
        <v>72.558139534883708</v>
      </c>
      <c r="E112" s="319">
        <f t="shared" ref="E112" si="295">J112/(H112+I112+J112)*100</f>
        <v>27.441860465116282</v>
      </c>
      <c r="F112" s="319"/>
      <c r="G112" s="322"/>
      <c r="H112" s="305">
        <v>0</v>
      </c>
      <c r="I112" s="308">
        <v>15.6</v>
      </c>
      <c r="J112" s="308">
        <v>5.9</v>
      </c>
      <c r="K112" s="364">
        <v>0.245</v>
      </c>
      <c r="L112" s="364">
        <v>6.7</v>
      </c>
      <c r="M112" s="308">
        <v>0</v>
      </c>
      <c r="N112" s="308">
        <v>0</v>
      </c>
      <c r="O112" s="308">
        <v>1.7000000000000001E-2</v>
      </c>
      <c r="P112" s="301"/>
      <c r="Q112" s="303"/>
      <c r="R112" s="305">
        <v>0</v>
      </c>
      <c r="S112" s="308">
        <v>1.1200000000000001</v>
      </c>
      <c r="T112" s="308">
        <v>0.42</v>
      </c>
      <c r="U112" s="364">
        <v>3.48</v>
      </c>
      <c r="V112" s="364">
        <v>3.09</v>
      </c>
      <c r="W112" s="308">
        <v>0</v>
      </c>
      <c r="X112" s="335">
        <v>20.5</v>
      </c>
      <c r="Y112" s="305">
        <f t="shared" ref="Y112:AD112" si="296">H112*R112*10</f>
        <v>0</v>
      </c>
      <c r="Z112" s="308">
        <f t="shared" si="296"/>
        <v>174.72000000000003</v>
      </c>
      <c r="AA112" s="308">
        <f t="shared" si="296"/>
        <v>24.78</v>
      </c>
      <c r="AB112" s="364">
        <f t="shared" si="296"/>
        <v>8.5259999999999998</v>
      </c>
      <c r="AC112" s="364">
        <f t="shared" si="296"/>
        <v>207.03</v>
      </c>
      <c r="AD112" s="308">
        <f t="shared" si="296"/>
        <v>0</v>
      </c>
      <c r="AE112" s="335">
        <f t="shared" ref="AE112" si="297">X112*O112*10</f>
        <v>3.4850000000000003</v>
      </c>
      <c r="AF112" s="305">
        <v>0</v>
      </c>
      <c r="AG112" s="301">
        <v>13.6</v>
      </c>
      <c r="AH112" s="301">
        <v>1.8</v>
      </c>
      <c r="AI112" s="361">
        <v>30.2</v>
      </c>
      <c r="AJ112" s="361">
        <v>44.3</v>
      </c>
      <c r="AK112" s="301">
        <v>0</v>
      </c>
      <c r="AL112" s="303">
        <v>85.3</v>
      </c>
      <c r="AM112" s="332">
        <f t="shared" ref="AM112" si="298">AF112*10*H112</f>
        <v>0</v>
      </c>
      <c r="AN112" s="301">
        <f t="shared" ref="AN112:AS112" si="299">AG112*I112*10</f>
        <v>2121.6</v>
      </c>
      <c r="AO112" s="301">
        <f t="shared" si="299"/>
        <v>106.20000000000002</v>
      </c>
      <c r="AP112" s="361">
        <f t="shared" si="299"/>
        <v>73.989999999999995</v>
      </c>
      <c r="AQ112" s="361">
        <f t="shared" si="299"/>
        <v>2968.1</v>
      </c>
      <c r="AR112" s="301">
        <f t="shared" si="299"/>
        <v>0</v>
      </c>
      <c r="AS112" s="301">
        <f t="shared" si="299"/>
        <v>0</v>
      </c>
      <c r="AT112" s="332">
        <v>0</v>
      </c>
      <c r="AU112" s="301">
        <v>11.6</v>
      </c>
      <c r="AV112" s="308">
        <v>53.7</v>
      </c>
      <c r="AW112" s="361">
        <v>19.399999999999999</v>
      </c>
      <c r="AX112" s="361">
        <v>28.7</v>
      </c>
      <c r="AY112" s="301">
        <v>0</v>
      </c>
      <c r="AZ112" s="335">
        <v>0</v>
      </c>
      <c r="BA112" s="332">
        <f t="shared" ref="BA112:BG112" si="300">(H112*3*1000)/(1-AT112/100)</f>
        <v>0</v>
      </c>
      <c r="BB112" s="332">
        <f t="shared" si="300"/>
        <v>52941.176470588238</v>
      </c>
      <c r="BC112" s="332">
        <f t="shared" si="300"/>
        <v>38228.941684665238</v>
      </c>
      <c r="BD112" s="367">
        <f t="shared" si="300"/>
        <v>911.91066997518601</v>
      </c>
      <c r="BE112" s="367">
        <f t="shared" si="300"/>
        <v>28190.743338008411</v>
      </c>
      <c r="BF112" s="332">
        <f t="shared" si="300"/>
        <v>0</v>
      </c>
      <c r="BG112" s="332">
        <f t="shared" si="300"/>
        <v>0</v>
      </c>
      <c r="BH112" s="332">
        <f t="shared" ref="BH112" si="301">H112+I112+J112</f>
        <v>21.5</v>
      </c>
      <c r="BI112" s="301">
        <f t="shared" ref="BI112" si="302">K112+L112+M112+N112+O112</f>
        <v>6.9620000000000006</v>
      </c>
      <c r="BJ112" s="301">
        <f t="shared" ref="BJ112" si="303">BH112+BI112</f>
        <v>28.462</v>
      </c>
      <c r="BK112" s="301">
        <f t="shared" ref="BK112" si="304">Y112+Z112+AA112+AB112+AC112+AD112+AE112</f>
        <v>418.54100000000005</v>
      </c>
      <c r="BL112" s="301">
        <f t="shared" ref="BL112" si="305">AM112+AN112+AO112+AP112+AQ112+AR112+AS112</f>
        <v>5269.8899999999994</v>
      </c>
      <c r="BM112" s="301">
        <f t="shared" ref="BM112" si="306">BJ112*3*1000</f>
        <v>85386</v>
      </c>
      <c r="BN112" s="303">
        <f t="shared" ref="BN112" si="307">BA112+BB112+BC112+BD112+BE112+BF112+BG112</f>
        <v>120272.77216323707</v>
      </c>
      <c r="BO112" s="216">
        <v>73.7</v>
      </c>
      <c r="BP112" s="216">
        <v>0.38800000000000001</v>
      </c>
      <c r="BQ112" s="216">
        <v>5.23</v>
      </c>
      <c r="BR112" s="216">
        <v>69.8</v>
      </c>
      <c r="BS112" s="338">
        <v>0.32800000000000001</v>
      </c>
      <c r="BT112" s="216">
        <v>7.4</v>
      </c>
      <c r="BU112" s="218">
        <v>7.36</v>
      </c>
      <c r="BV112" s="218">
        <v>1.1299999999999999</v>
      </c>
      <c r="BW112" s="218">
        <v>950</v>
      </c>
      <c r="BX112" s="218">
        <v>5.37</v>
      </c>
      <c r="BY112" s="218">
        <v>7.37</v>
      </c>
      <c r="BZ112" s="218">
        <v>5400</v>
      </c>
      <c r="CA112" s="218">
        <v>7.38</v>
      </c>
      <c r="CB112" s="218">
        <v>1.1000000000000001</v>
      </c>
      <c r="CC112" s="218">
        <v>900</v>
      </c>
      <c r="CD112" s="218">
        <v>6.95</v>
      </c>
      <c r="CE112" s="218">
        <v>3.75</v>
      </c>
      <c r="CF112" s="218">
        <v>3700</v>
      </c>
      <c r="CG112" s="218">
        <v>7.38</v>
      </c>
      <c r="CH112" s="218">
        <v>1.0900000000000001</v>
      </c>
      <c r="CI112" s="218">
        <v>1500</v>
      </c>
      <c r="CJ112" s="218">
        <v>7.91</v>
      </c>
      <c r="CK112" s="218">
        <v>2.57</v>
      </c>
      <c r="CL112" s="218">
        <v>2400</v>
      </c>
      <c r="CM112" s="220">
        <v>0</v>
      </c>
      <c r="CN112" s="220">
        <v>0</v>
      </c>
      <c r="CO112" s="139"/>
      <c r="CP112" s="122"/>
      <c r="CQ112" s="122"/>
      <c r="CR112" s="123"/>
      <c r="CS112" s="122"/>
      <c r="CT112" s="122"/>
      <c r="CU112" s="140"/>
      <c r="CV112" s="79"/>
      <c r="CW112" s="79"/>
      <c r="CX112" s="79"/>
      <c r="CY112" s="141"/>
      <c r="CZ112" s="122"/>
      <c r="DA112" s="122"/>
      <c r="DB112" s="123"/>
      <c r="DC112" s="122"/>
      <c r="DD112" s="122"/>
      <c r="DE112" s="140"/>
      <c r="DF112" s="79"/>
      <c r="DG112" s="79"/>
      <c r="DH112" s="79"/>
      <c r="DI112" s="121"/>
      <c r="DJ112" s="122"/>
      <c r="DK112" s="122"/>
      <c r="DL112" s="123"/>
      <c r="DM112" s="122"/>
      <c r="DN112" s="122"/>
      <c r="DO112" s="121"/>
      <c r="DP112" s="121"/>
      <c r="DQ112" s="121"/>
      <c r="DR112" s="121"/>
      <c r="DS112" s="85">
        <v>1</v>
      </c>
      <c r="DT112" s="76">
        <v>7.93</v>
      </c>
      <c r="DU112" s="76">
        <v>1.52</v>
      </c>
      <c r="DV112" s="77">
        <v>75.099999999999994</v>
      </c>
      <c r="DW112" s="76">
        <v>24.6</v>
      </c>
      <c r="DX112" s="76">
        <v>2.0099999999999998</v>
      </c>
      <c r="DY112" s="86">
        <v>18.7</v>
      </c>
      <c r="DZ112" s="79">
        <v>2.0499999999999998</v>
      </c>
      <c r="EA112" s="79">
        <v>6</v>
      </c>
      <c r="EB112" s="79">
        <v>7</v>
      </c>
      <c r="EC112" s="79">
        <v>12</v>
      </c>
      <c r="ED112" s="79">
        <v>0</v>
      </c>
      <c r="EE112" s="79">
        <v>10</v>
      </c>
      <c r="EF112" s="79">
        <v>10</v>
      </c>
      <c r="EG112" s="79">
        <v>4</v>
      </c>
      <c r="EH112" s="79">
        <v>89</v>
      </c>
      <c r="EI112" s="79">
        <v>38</v>
      </c>
      <c r="EJ112" s="79">
        <v>0</v>
      </c>
      <c r="EK112" s="79">
        <f t="shared" ref="EK112:EK114" si="308">EA112+EB112+EC112+ED112+EE112+EF112+EG112+EH112+EI112+EJ112</f>
        <v>176</v>
      </c>
      <c r="EL112" s="87">
        <v>79</v>
      </c>
      <c r="EM112" s="121">
        <v>65</v>
      </c>
      <c r="EN112" s="122">
        <v>7.76</v>
      </c>
      <c r="EO112" s="122">
        <v>2.4700000000000002</v>
      </c>
      <c r="EP112" s="123">
        <v>70</v>
      </c>
      <c r="EQ112" s="122">
        <v>28.3</v>
      </c>
      <c r="ER112" s="122">
        <v>2.23</v>
      </c>
      <c r="ES112" s="121" t="s">
        <v>94</v>
      </c>
      <c r="ET112" s="121"/>
      <c r="EU112" s="121"/>
      <c r="EV112" s="121"/>
      <c r="EW112" s="121"/>
      <c r="EX112" s="121"/>
      <c r="EY112" s="121"/>
    </row>
    <row r="113" spans="1:155" ht="17.100000000000001" customHeight="1">
      <c r="A113" s="174"/>
      <c r="B113" s="397" t="s">
        <v>285</v>
      </c>
      <c r="C113" s="202" t="s">
        <v>90</v>
      </c>
      <c r="D113" s="317" t="e">
        <f t="shared" ref="D113:D115" si="309">(I113+H113)/(H113+I113+J113+K113+L113)*100</f>
        <v>#DIV/0!</v>
      </c>
      <c r="E113" s="320" t="e">
        <f t="shared" ref="E113:E115" si="310">J113/(H113+I113+J113+K113+L113)*100</f>
        <v>#DIV/0!</v>
      </c>
      <c r="F113" s="320"/>
      <c r="G113" s="323"/>
      <c r="H113" s="306"/>
      <c r="I113" s="309"/>
      <c r="J113" s="309"/>
      <c r="K113" s="365"/>
      <c r="L113" s="365"/>
      <c r="M113" s="309"/>
      <c r="N113" s="309"/>
      <c r="O113" s="309"/>
      <c r="P113" s="211"/>
      <c r="Q113" s="214"/>
      <c r="R113" s="306"/>
      <c r="S113" s="309"/>
      <c r="T113" s="309"/>
      <c r="U113" s="365"/>
      <c r="V113" s="365"/>
      <c r="W113" s="309"/>
      <c r="X113" s="336"/>
      <c r="Y113" s="306"/>
      <c r="Z113" s="309"/>
      <c r="AA113" s="309"/>
      <c r="AB113" s="365"/>
      <c r="AC113" s="365"/>
      <c r="AD113" s="309"/>
      <c r="AE113" s="336"/>
      <c r="AF113" s="306"/>
      <c r="AG113" s="211"/>
      <c r="AH113" s="211"/>
      <c r="AI113" s="362"/>
      <c r="AJ113" s="362"/>
      <c r="AK113" s="211"/>
      <c r="AL113" s="214"/>
      <c r="AM113" s="333"/>
      <c r="AN113" s="211"/>
      <c r="AO113" s="211"/>
      <c r="AP113" s="362"/>
      <c r="AQ113" s="362"/>
      <c r="AR113" s="211"/>
      <c r="AS113" s="211"/>
      <c r="AT113" s="333"/>
      <c r="AU113" s="211"/>
      <c r="AV113" s="309"/>
      <c r="AW113" s="362"/>
      <c r="AX113" s="362"/>
      <c r="AY113" s="211"/>
      <c r="AZ113" s="336"/>
      <c r="BA113" s="333"/>
      <c r="BB113" s="333"/>
      <c r="BC113" s="333"/>
      <c r="BD113" s="368"/>
      <c r="BE113" s="368"/>
      <c r="BF113" s="333"/>
      <c r="BG113" s="333"/>
      <c r="BH113" s="333"/>
      <c r="BI113" s="211"/>
      <c r="BJ113" s="211"/>
      <c r="BK113" s="211"/>
      <c r="BL113" s="211"/>
      <c r="BM113" s="211"/>
      <c r="BN113" s="214"/>
      <c r="BO113" s="196">
        <v>73</v>
      </c>
      <c r="BP113" s="196">
        <v>0.309</v>
      </c>
      <c r="BQ113" s="196">
        <v>5.08</v>
      </c>
      <c r="BR113" s="196">
        <v>77.400000000000006</v>
      </c>
      <c r="BS113" s="339">
        <v>0.35699999999999998</v>
      </c>
      <c r="BT113" s="196">
        <v>8.3800000000000008</v>
      </c>
      <c r="BU113" s="193">
        <v>7.42</v>
      </c>
      <c r="BV113" s="193">
        <v>1.01</v>
      </c>
      <c r="BW113" s="193">
        <v>870</v>
      </c>
      <c r="BX113" s="193">
        <v>5.1100000000000003</v>
      </c>
      <c r="BY113" s="193">
        <v>6.65</v>
      </c>
      <c r="BZ113" s="193">
        <v>5300</v>
      </c>
      <c r="CA113" s="193">
        <v>6.92</v>
      </c>
      <c r="CB113" s="193">
        <v>1.1499999999999999</v>
      </c>
      <c r="CC113" s="193">
        <v>970</v>
      </c>
      <c r="CD113" s="193">
        <v>6.42</v>
      </c>
      <c r="CE113" s="193">
        <v>3.42</v>
      </c>
      <c r="CF113" s="193">
        <v>3200</v>
      </c>
      <c r="CG113" s="193">
        <v>7.6</v>
      </c>
      <c r="CH113" s="193">
        <v>1.22</v>
      </c>
      <c r="CI113" s="193">
        <v>1030</v>
      </c>
      <c r="CJ113" s="193">
        <v>7.82</v>
      </c>
      <c r="CK113" s="193">
        <v>2.66</v>
      </c>
      <c r="CL113" s="193">
        <v>2400</v>
      </c>
      <c r="CM113" s="205"/>
      <c r="CN113" s="205"/>
      <c r="CO113" s="13">
        <v>10</v>
      </c>
      <c r="CP113" s="10">
        <v>8.14</v>
      </c>
      <c r="CQ113" s="10">
        <v>2.06</v>
      </c>
      <c r="CR113" s="11">
        <v>76.7</v>
      </c>
      <c r="CS113" s="10">
        <v>19</v>
      </c>
      <c r="CT113" s="10">
        <v>1.56</v>
      </c>
      <c r="CU113" s="20">
        <v>25.9</v>
      </c>
      <c r="CV113" s="8">
        <v>2.7</v>
      </c>
      <c r="CW113" s="8">
        <v>31</v>
      </c>
      <c r="CX113" s="8">
        <v>36</v>
      </c>
      <c r="CY113" s="19">
        <v>7</v>
      </c>
      <c r="CZ113" s="10">
        <v>7.66</v>
      </c>
      <c r="DA113" s="10">
        <v>1.98</v>
      </c>
      <c r="DB113" s="11">
        <v>74.8</v>
      </c>
      <c r="DC113" s="10">
        <v>23.9</v>
      </c>
      <c r="DD113" s="10">
        <v>1.89</v>
      </c>
      <c r="DE113" s="20">
        <v>20.100000000000001</v>
      </c>
      <c r="DF113" s="8">
        <v>2.2999999999999998</v>
      </c>
      <c r="DG113" s="8">
        <v>22</v>
      </c>
      <c r="DH113" s="8">
        <v>48</v>
      </c>
      <c r="DI113" s="23"/>
      <c r="DJ113" s="21"/>
      <c r="DK113" s="21"/>
      <c r="DL113" s="22"/>
      <c r="DM113" s="21"/>
      <c r="DN113" s="21"/>
      <c r="DO113" s="23"/>
      <c r="DP113" s="23"/>
      <c r="DQ113" s="23"/>
      <c r="DR113" s="23"/>
      <c r="DS113" s="19">
        <v>5</v>
      </c>
      <c r="DT113" s="10">
        <v>7.73</v>
      </c>
      <c r="DU113" s="10">
        <v>1.98</v>
      </c>
      <c r="DV113" s="11">
        <v>75</v>
      </c>
      <c r="DW113" s="10">
        <v>25.1</v>
      </c>
      <c r="DX113" s="10">
        <v>1.98</v>
      </c>
      <c r="DY113" s="20">
        <v>18.899999999999999</v>
      </c>
      <c r="DZ113" s="8">
        <v>1.95</v>
      </c>
      <c r="EA113" s="8">
        <v>7</v>
      </c>
      <c r="EB113" s="8">
        <v>8</v>
      </c>
      <c r="EC113" s="8">
        <v>12</v>
      </c>
      <c r="ED113" s="8">
        <v>0</v>
      </c>
      <c r="EE113" s="8">
        <v>8</v>
      </c>
      <c r="EF113" s="8">
        <v>8</v>
      </c>
      <c r="EG113" s="8">
        <v>0</v>
      </c>
      <c r="EH113" s="8">
        <v>95</v>
      </c>
      <c r="EI113" s="8">
        <v>20</v>
      </c>
      <c r="EJ113" s="8">
        <v>4</v>
      </c>
      <c r="EK113" s="8">
        <f t="shared" si="308"/>
        <v>162</v>
      </c>
      <c r="EL113" s="9">
        <v>80</v>
      </c>
      <c r="EM113" s="23">
        <v>70</v>
      </c>
      <c r="EN113" s="21">
        <v>7.74</v>
      </c>
      <c r="EO113" s="21">
        <v>2.58</v>
      </c>
      <c r="EP113" s="22">
        <v>69.2</v>
      </c>
      <c r="EQ113" s="21">
        <v>27.2</v>
      </c>
      <c r="ER113" s="21">
        <v>2.31</v>
      </c>
      <c r="ES113" s="23" t="s">
        <v>94</v>
      </c>
      <c r="ET113" s="23"/>
      <c r="EU113" s="23"/>
      <c r="EV113" s="23"/>
      <c r="EW113" s="23"/>
      <c r="EX113" s="23"/>
      <c r="EY113" s="23"/>
    </row>
    <row r="114" spans="1:155" ht="17.100000000000001" customHeight="1">
      <c r="A114" s="174"/>
      <c r="B114" s="397" t="s">
        <v>285</v>
      </c>
      <c r="C114" s="202" t="s">
        <v>96</v>
      </c>
      <c r="D114" s="317" t="e">
        <f t="shared" si="309"/>
        <v>#DIV/0!</v>
      </c>
      <c r="E114" s="320" t="e">
        <f t="shared" si="310"/>
        <v>#DIV/0!</v>
      </c>
      <c r="F114" s="320"/>
      <c r="G114" s="323"/>
      <c r="H114" s="306"/>
      <c r="I114" s="309"/>
      <c r="J114" s="309"/>
      <c r="K114" s="365"/>
      <c r="L114" s="365"/>
      <c r="M114" s="309"/>
      <c r="N114" s="309"/>
      <c r="O114" s="309"/>
      <c r="P114" s="211"/>
      <c r="Q114" s="214"/>
      <c r="R114" s="306"/>
      <c r="S114" s="309"/>
      <c r="T114" s="309"/>
      <c r="U114" s="365"/>
      <c r="V114" s="365"/>
      <c r="W114" s="309"/>
      <c r="X114" s="336"/>
      <c r="Y114" s="306"/>
      <c r="Z114" s="309"/>
      <c r="AA114" s="309"/>
      <c r="AB114" s="365"/>
      <c r="AC114" s="365"/>
      <c r="AD114" s="309"/>
      <c r="AE114" s="336"/>
      <c r="AF114" s="306"/>
      <c r="AG114" s="211"/>
      <c r="AH114" s="211"/>
      <c r="AI114" s="362"/>
      <c r="AJ114" s="362"/>
      <c r="AK114" s="211"/>
      <c r="AL114" s="214"/>
      <c r="AM114" s="333"/>
      <c r="AN114" s="211"/>
      <c r="AO114" s="211"/>
      <c r="AP114" s="362"/>
      <c r="AQ114" s="362"/>
      <c r="AR114" s="211"/>
      <c r="AS114" s="211"/>
      <c r="AT114" s="333"/>
      <c r="AU114" s="211"/>
      <c r="AV114" s="309"/>
      <c r="AW114" s="362"/>
      <c r="AX114" s="362"/>
      <c r="AY114" s="211"/>
      <c r="AZ114" s="336"/>
      <c r="BA114" s="333"/>
      <c r="BB114" s="333"/>
      <c r="BC114" s="333"/>
      <c r="BD114" s="368"/>
      <c r="BE114" s="368"/>
      <c r="BF114" s="333"/>
      <c r="BG114" s="333"/>
      <c r="BH114" s="333"/>
      <c r="BI114" s="211"/>
      <c r="BJ114" s="211"/>
      <c r="BK114" s="211"/>
      <c r="BL114" s="211"/>
      <c r="BM114" s="211"/>
      <c r="BN114" s="214"/>
      <c r="BO114" s="196">
        <v>73.599999999999994</v>
      </c>
      <c r="BP114" s="196">
        <v>0.58599999999999997</v>
      </c>
      <c r="BQ114" s="196">
        <v>7.57</v>
      </c>
      <c r="BR114" s="196">
        <v>73</v>
      </c>
      <c r="BS114" s="339">
        <v>0.51300000000000001</v>
      </c>
      <c r="BT114" s="196">
        <v>7.24</v>
      </c>
      <c r="BU114" s="193">
        <v>7.4</v>
      </c>
      <c r="BV114" s="193">
        <v>1.01</v>
      </c>
      <c r="BW114" s="193">
        <v>890</v>
      </c>
      <c r="BX114" s="193">
        <v>4.8899999999999997</v>
      </c>
      <c r="BY114" s="193">
        <v>7.7</v>
      </c>
      <c r="BZ114" s="193">
        <v>5700</v>
      </c>
      <c r="CA114" s="193">
        <v>6.82</v>
      </c>
      <c r="CB114" s="193">
        <v>1.1599999999999999</v>
      </c>
      <c r="CC114" s="193">
        <v>980</v>
      </c>
      <c r="CD114" s="193">
        <v>6.45</v>
      </c>
      <c r="CE114" s="193">
        <v>3.6</v>
      </c>
      <c r="CF114" s="193">
        <v>2600</v>
      </c>
      <c r="CG114" s="193">
        <v>7.24</v>
      </c>
      <c r="CH114" s="193">
        <v>1.04</v>
      </c>
      <c r="CI114" s="193">
        <v>890</v>
      </c>
      <c r="CJ114" s="193">
        <v>7.54</v>
      </c>
      <c r="CK114" s="193">
        <v>2.6</v>
      </c>
      <c r="CL114" s="193">
        <v>2400</v>
      </c>
      <c r="CM114" s="205"/>
      <c r="CN114" s="205"/>
      <c r="CO114" s="13">
        <v>9</v>
      </c>
      <c r="CP114" s="10">
        <v>8.06</v>
      </c>
      <c r="CQ114" s="10">
        <v>1.98</v>
      </c>
      <c r="CR114" s="11">
        <v>77</v>
      </c>
      <c r="CS114" s="10">
        <v>19.8</v>
      </c>
      <c r="CT114" s="10">
        <v>1.5</v>
      </c>
      <c r="CU114" s="20">
        <v>26.7</v>
      </c>
      <c r="CV114" s="8">
        <v>2.7</v>
      </c>
      <c r="CW114" s="8">
        <v>24</v>
      </c>
      <c r="CX114" s="8">
        <v>38</v>
      </c>
      <c r="CY114" s="19">
        <v>11</v>
      </c>
      <c r="CZ114" s="10">
        <v>7.77</v>
      </c>
      <c r="DA114" s="10">
        <v>1.88</v>
      </c>
      <c r="DB114" s="11">
        <v>75</v>
      </c>
      <c r="DC114" s="10">
        <v>23.7</v>
      </c>
      <c r="DD114" s="10">
        <v>1.86</v>
      </c>
      <c r="DE114" s="20">
        <v>20.5</v>
      </c>
      <c r="DF114" s="8">
        <v>2.4</v>
      </c>
      <c r="DG114" s="8">
        <v>23</v>
      </c>
      <c r="DH114" s="8">
        <v>45</v>
      </c>
      <c r="DI114" s="23"/>
      <c r="DJ114" s="21"/>
      <c r="DK114" s="21"/>
      <c r="DL114" s="22"/>
      <c r="DM114" s="21"/>
      <c r="DN114" s="21"/>
      <c r="DO114" s="23"/>
      <c r="DP114" s="23"/>
      <c r="DQ114" s="23"/>
      <c r="DR114" s="23"/>
      <c r="DS114" s="19">
        <v>8</v>
      </c>
      <c r="DT114" s="10">
        <v>7.76</v>
      </c>
      <c r="DU114" s="10">
        <v>1.86</v>
      </c>
      <c r="DV114" s="11">
        <v>75.3</v>
      </c>
      <c r="DW114" s="10">
        <v>25.6</v>
      </c>
      <c r="DX114" s="10">
        <v>20.100000000000001</v>
      </c>
      <c r="DY114" s="20">
        <v>18.5</v>
      </c>
      <c r="DZ114" s="8">
        <v>2.35</v>
      </c>
      <c r="EA114" s="8">
        <v>7</v>
      </c>
      <c r="EB114" s="8">
        <v>7</v>
      </c>
      <c r="EC114" s="8">
        <v>26</v>
      </c>
      <c r="ED114" s="8">
        <v>7</v>
      </c>
      <c r="EE114" s="8">
        <v>9</v>
      </c>
      <c r="EF114" s="8">
        <v>9</v>
      </c>
      <c r="EG114" s="8">
        <v>5</v>
      </c>
      <c r="EH114" s="8">
        <v>94</v>
      </c>
      <c r="EI114" s="8">
        <v>25</v>
      </c>
      <c r="EJ114" s="8">
        <v>2</v>
      </c>
      <c r="EK114" s="8">
        <f t="shared" si="308"/>
        <v>191</v>
      </c>
      <c r="EL114" s="9">
        <v>81</v>
      </c>
      <c r="EM114" s="23">
        <v>71</v>
      </c>
      <c r="EN114" s="21">
        <v>7.93</v>
      </c>
      <c r="EO114" s="21">
        <v>1.89</v>
      </c>
      <c r="EP114" s="22">
        <v>69.900000000000006</v>
      </c>
      <c r="EQ114" s="21">
        <v>30.2</v>
      </c>
      <c r="ER114" s="21">
        <v>2.14</v>
      </c>
      <c r="ES114" s="23" t="s">
        <v>131</v>
      </c>
      <c r="ET114" s="23"/>
      <c r="EU114" s="23"/>
      <c r="EV114" s="23"/>
      <c r="EW114" s="23"/>
      <c r="EX114" s="23"/>
      <c r="EY114" s="23"/>
    </row>
    <row r="115" spans="1:155" s="401" customFormat="1" ht="17.100000000000001" customHeight="1" thickBot="1">
      <c r="A115" s="175"/>
      <c r="B115" s="400" t="s">
        <v>285</v>
      </c>
      <c r="C115" s="203" t="s">
        <v>96</v>
      </c>
      <c r="D115" s="318" t="e">
        <f t="shared" si="309"/>
        <v>#DIV/0!</v>
      </c>
      <c r="E115" s="321" t="e">
        <f t="shared" si="310"/>
        <v>#DIV/0!</v>
      </c>
      <c r="F115" s="321"/>
      <c r="G115" s="324"/>
      <c r="H115" s="307"/>
      <c r="I115" s="310"/>
      <c r="J115" s="310"/>
      <c r="K115" s="366"/>
      <c r="L115" s="366"/>
      <c r="M115" s="310"/>
      <c r="N115" s="310"/>
      <c r="O115" s="310"/>
      <c r="P115" s="302"/>
      <c r="Q115" s="304"/>
      <c r="R115" s="307"/>
      <c r="S115" s="310"/>
      <c r="T115" s="310"/>
      <c r="U115" s="366"/>
      <c r="V115" s="366"/>
      <c r="W115" s="310"/>
      <c r="X115" s="337"/>
      <c r="Y115" s="307"/>
      <c r="Z115" s="310"/>
      <c r="AA115" s="310"/>
      <c r="AB115" s="366"/>
      <c r="AC115" s="366"/>
      <c r="AD115" s="310"/>
      <c r="AE115" s="337"/>
      <c r="AF115" s="307"/>
      <c r="AG115" s="302"/>
      <c r="AH115" s="302"/>
      <c r="AI115" s="363"/>
      <c r="AJ115" s="363"/>
      <c r="AK115" s="302"/>
      <c r="AL115" s="304"/>
      <c r="AM115" s="334"/>
      <c r="AN115" s="302"/>
      <c r="AO115" s="302"/>
      <c r="AP115" s="363"/>
      <c r="AQ115" s="363"/>
      <c r="AR115" s="302"/>
      <c r="AS115" s="302"/>
      <c r="AT115" s="334"/>
      <c r="AU115" s="302"/>
      <c r="AV115" s="310"/>
      <c r="AW115" s="363"/>
      <c r="AX115" s="363"/>
      <c r="AY115" s="302"/>
      <c r="AZ115" s="337"/>
      <c r="BA115" s="334"/>
      <c r="BB115" s="334"/>
      <c r="BC115" s="334"/>
      <c r="BD115" s="369"/>
      <c r="BE115" s="369"/>
      <c r="BF115" s="334"/>
      <c r="BG115" s="334"/>
      <c r="BH115" s="334"/>
      <c r="BI115" s="302"/>
      <c r="BJ115" s="302"/>
      <c r="BK115" s="302"/>
      <c r="BL115" s="302"/>
      <c r="BM115" s="302"/>
      <c r="BN115" s="304"/>
      <c r="BO115" s="217">
        <v>73.7</v>
      </c>
      <c r="BP115" s="217">
        <v>0.38800000000000001</v>
      </c>
      <c r="BQ115" s="217">
        <v>5.23</v>
      </c>
      <c r="BR115" s="217">
        <v>69.8</v>
      </c>
      <c r="BS115" s="340">
        <v>0.32800000000000001</v>
      </c>
      <c r="BT115" s="217">
        <v>7.4</v>
      </c>
      <c r="BU115" s="219">
        <v>7.36</v>
      </c>
      <c r="BV115" s="219">
        <v>1.1299999999999999</v>
      </c>
      <c r="BW115" s="219">
        <v>950</v>
      </c>
      <c r="BX115" s="219">
        <v>5.37</v>
      </c>
      <c r="BY115" s="219">
        <v>7.37</v>
      </c>
      <c r="BZ115" s="219">
        <v>5400</v>
      </c>
      <c r="CA115" s="219">
        <v>7.38</v>
      </c>
      <c r="CB115" s="219">
        <v>1.1000000000000001</v>
      </c>
      <c r="CC115" s="219">
        <v>900</v>
      </c>
      <c r="CD115" s="219">
        <v>6.95</v>
      </c>
      <c r="CE115" s="219">
        <v>3.75</v>
      </c>
      <c r="CF115" s="219">
        <v>3700</v>
      </c>
      <c r="CG115" s="219">
        <v>7.38</v>
      </c>
      <c r="CH115" s="219">
        <v>1.0900000000000001</v>
      </c>
      <c r="CI115" s="219">
        <v>1500</v>
      </c>
      <c r="CJ115" s="219">
        <v>7.91</v>
      </c>
      <c r="CK115" s="219">
        <v>2.57</v>
      </c>
      <c r="CL115" s="219">
        <v>2400</v>
      </c>
      <c r="CM115" s="221"/>
      <c r="CN115" s="221"/>
      <c r="CO115" s="98">
        <v>8</v>
      </c>
      <c r="CP115" s="107">
        <v>8.1</v>
      </c>
      <c r="CQ115" s="107">
        <v>1.94</v>
      </c>
      <c r="CR115" s="108">
        <v>76.599999999999994</v>
      </c>
      <c r="CS115" s="107">
        <v>19.399999999999999</v>
      </c>
      <c r="CT115" s="107">
        <v>1.48</v>
      </c>
      <c r="CU115" s="135">
        <v>27.2</v>
      </c>
      <c r="CV115" s="102">
        <v>2.7</v>
      </c>
      <c r="CW115" s="102">
        <v>27</v>
      </c>
      <c r="CX115" s="102">
        <v>39</v>
      </c>
      <c r="CY115" s="134">
        <v>10</v>
      </c>
      <c r="CZ115" s="107">
        <v>8.09</v>
      </c>
      <c r="DA115" s="107">
        <v>1.7</v>
      </c>
      <c r="DB115" s="108">
        <v>74.7</v>
      </c>
      <c r="DC115" s="107">
        <v>29.1</v>
      </c>
      <c r="DD115" s="107">
        <v>2.1</v>
      </c>
      <c r="DE115" s="135">
        <v>16.8</v>
      </c>
      <c r="DF115" s="102">
        <v>2.2999999999999998</v>
      </c>
      <c r="DG115" s="102">
        <v>25</v>
      </c>
      <c r="DH115" s="102">
        <v>33</v>
      </c>
      <c r="DI115" s="101"/>
      <c r="DJ115" s="99"/>
      <c r="DK115" s="99"/>
      <c r="DL115" s="100"/>
      <c r="DM115" s="99"/>
      <c r="DN115" s="99"/>
      <c r="DO115" s="101"/>
      <c r="DP115" s="101"/>
      <c r="DQ115" s="101"/>
      <c r="DR115" s="101"/>
      <c r="DZ115" s="116"/>
      <c r="EA115" s="116"/>
      <c r="EB115" s="116"/>
      <c r="EC115" s="116"/>
      <c r="ED115" s="116"/>
      <c r="EE115" s="116"/>
      <c r="EF115" s="116"/>
      <c r="EG115" s="116"/>
      <c r="EH115" s="116"/>
      <c r="EI115" s="116"/>
      <c r="EJ115" s="116"/>
      <c r="EK115" s="116"/>
      <c r="EL115" s="106" t="s">
        <v>202</v>
      </c>
      <c r="EM115" s="101">
        <v>41</v>
      </c>
      <c r="EN115" s="99">
        <v>7.81</v>
      </c>
      <c r="EO115" s="99">
        <v>2.2999999999999998</v>
      </c>
      <c r="EP115" s="100">
        <v>69.099999999999994</v>
      </c>
      <c r="EQ115" s="99">
        <v>29.4</v>
      </c>
      <c r="ER115" s="99">
        <v>2.2000000000000002</v>
      </c>
      <c r="ES115" s="101" t="s">
        <v>94</v>
      </c>
      <c r="ET115" s="101"/>
      <c r="EU115" s="101"/>
      <c r="EV115" s="101"/>
      <c r="EW115" s="101"/>
      <c r="EX115" s="101"/>
      <c r="EY115" s="101"/>
    </row>
    <row r="116" spans="1:155" s="398" customFormat="1" ht="17.100000000000001" customHeight="1">
      <c r="A116" s="173">
        <v>28</v>
      </c>
      <c r="B116" s="397" t="s">
        <v>286</v>
      </c>
      <c r="C116" s="189" t="s">
        <v>96</v>
      </c>
      <c r="D116" s="316">
        <f t="shared" ref="D116" si="311">(I116+H116)/(H116+I116+J116)*100</f>
        <v>71.428571428571431</v>
      </c>
      <c r="E116" s="319">
        <f t="shared" ref="E116" si="312">J116/(H116+I116+J116)*100</f>
        <v>28.571428571428577</v>
      </c>
      <c r="F116" s="319"/>
      <c r="G116" s="322"/>
      <c r="H116" s="305">
        <v>16</v>
      </c>
      <c r="I116" s="308">
        <v>0</v>
      </c>
      <c r="J116" s="308">
        <v>6.4</v>
      </c>
      <c r="K116" s="364">
        <v>0.26</v>
      </c>
      <c r="L116" s="364">
        <v>6.5</v>
      </c>
      <c r="M116" s="308">
        <v>1.7</v>
      </c>
      <c r="N116" s="308">
        <v>0.2</v>
      </c>
      <c r="O116" s="308">
        <v>0.05</v>
      </c>
      <c r="P116" s="301"/>
      <c r="Q116" s="303"/>
      <c r="R116" s="305">
        <v>0.94</v>
      </c>
      <c r="S116" s="308">
        <v>0</v>
      </c>
      <c r="T116" s="308">
        <v>0.42</v>
      </c>
      <c r="U116" s="364">
        <v>0</v>
      </c>
      <c r="V116" s="364">
        <v>3.27</v>
      </c>
      <c r="W116" s="308">
        <v>3.48</v>
      </c>
      <c r="X116" s="335">
        <v>20.5</v>
      </c>
      <c r="Y116" s="305">
        <f t="shared" ref="Y116:AD116" si="313">H116*R116*10</f>
        <v>150.39999999999998</v>
      </c>
      <c r="Z116" s="308">
        <f t="shared" si="313"/>
        <v>0</v>
      </c>
      <c r="AA116" s="308">
        <f t="shared" si="313"/>
        <v>26.880000000000003</v>
      </c>
      <c r="AB116" s="364">
        <f t="shared" si="313"/>
        <v>0</v>
      </c>
      <c r="AC116" s="364">
        <f t="shared" si="313"/>
        <v>212.54999999999998</v>
      </c>
      <c r="AD116" s="308">
        <f t="shared" si="313"/>
        <v>59.16</v>
      </c>
      <c r="AE116" s="335">
        <f t="shared" ref="AE116" si="314">X116*O116*10</f>
        <v>10.250000000000002</v>
      </c>
      <c r="AF116" s="305">
        <v>12.1</v>
      </c>
      <c r="AG116" s="301">
        <v>0</v>
      </c>
      <c r="AH116" s="301">
        <v>1.8</v>
      </c>
      <c r="AI116" s="361">
        <v>15.1</v>
      </c>
      <c r="AJ116" s="361">
        <v>42.6</v>
      </c>
      <c r="AK116" s="301">
        <v>30.2</v>
      </c>
      <c r="AL116" s="303">
        <v>85.3</v>
      </c>
      <c r="AM116" s="332">
        <f t="shared" ref="AM116" si="315">AF116*10*H116</f>
        <v>1936</v>
      </c>
      <c r="AN116" s="301">
        <f t="shared" ref="AN116:AS116" si="316">AG116*I116*10</f>
        <v>0</v>
      </c>
      <c r="AO116" s="301">
        <f t="shared" si="316"/>
        <v>115.20000000000002</v>
      </c>
      <c r="AP116" s="361">
        <f t="shared" si="316"/>
        <v>39.260000000000005</v>
      </c>
      <c r="AQ116" s="361">
        <f t="shared" si="316"/>
        <v>2769.0000000000005</v>
      </c>
      <c r="AR116" s="301">
        <f t="shared" si="316"/>
        <v>513.4</v>
      </c>
      <c r="AS116" s="301">
        <f t="shared" si="316"/>
        <v>170.6</v>
      </c>
      <c r="AT116" s="332">
        <v>24.8</v>
      </c>
      <c r="AU116" s="301">
        <v>0</v>
      </c>
      <c r="AV116" s="301">
        <v>51.3</v>
      </c>
      <c r="AW116" s="361">
        <v>19.2</v>
      </c>
      <c r="AX116" s="361">
        <v>29.8</v>
      </c>
      <c r="AY116" s="301">
        <v>19.2</v>
      </c>
      <c r="AZ116" s="335">
        <v>27</v>
      </c>
      <c r="BA116" s="332">
        <f t="shared" ref="BA116:BG116" si="317">(H116*3*1000)/(1-AT116/100)</f>
        <v>63829.787234042553</v>
      </c>
      <c r="BB116" s="332">
        <f t="shared" si="317"/>
        <v>0</v>
      </c>
      <c r="BC116" s="332">
        <f t="shared" si="317"/>
        <v>39425.051334702264</v>
      </c>
      <c r="BD116" s="367">
        <f t="shared" si="317"/>
        <v>965.34653465346526</v>
      </c>
      <c r="BE116" s="367">
        <f t="shared" si="317"/>
        <v>27777.777777777781</v>
      </c>
      <c r="BF116" s="332">
        <f t="shared" si="317"/>
        <v>6311.8811881188112</v>
      </c>
      <c r="BG116" s="332">
        <f t="shared" si="317"/>
        <v>821.91780821917826</v>
      </c>
      <c r="BH116" s="332">
        <f t="shared" ref="BH116" si="318">H116+I116+J116</f>
        <v>22.4</v>
      </c>
      <c r="BI116" s="301">
        <f t="shared" ref="BI116" si="319">K116+L116+M116+N116+O116</f>
        <v>8.7099999999999991</v>
      </c>
      <c r="BJ116" s="301">
        <f t="shared" ref="BJ116" si="320">BH116+BI116</f>
        <v>31.11</v>
      </c>
      <c r="BK116" s="301">
        <f t="shared" ref="BK116" si="321">Y116+Z116+AA116+AB116+AC116+AD116+AE116</f>
        <v>459.2399999999999</v>
      </c>
      <c r="BL116" s="301">
        <f t="shared" ref="BL116" si="322">AM116+AN116+AO116+AP116+AQ116+AR116+AS116</f>
        <v>5543.4600000000009</v>
      </c>
      <c r="BM116" s="301">
        <f t="shared" ref="BM116" si="323">BJ116*3*1000</f>
        <v>93330</v>
      </c>
      <c r="BN116" s="303">
        <f t="shared" ref="BN116" si="324">BA116+BB116+BC116+BD116+BE116+BF116+BG116</f>
        <v>139131.76187751404</v>
      </c>
      <c r="BO116" s="216">
        <v>71.599999999999994</v>
      </c>
      <c r="BP116" s="216">
        <v>0.73299999999999998</v>
      </c>
      <c r="BQ116" s="216">
        <v>7.41</v>
      </c>
      <c r="BR116" s="216">
        <v>76.2</v>
      </c>
      <c r="BS116" s="338">
        <v>0.59199999999999997</v>
      </c>
      <c r="BT116" s="216">
        <v>7.53</v>
      </c>
      <c r="BU116" s="218">
        <v>7.21</v>
      </c>
      <c r="BV116" s="218">
        <v>1.24</v>
      </c>
      <c r="BW116" s="218">
        <v>900</v>
      </c>
      <c r="BX116" s="218">
        <v>6.09</v>
      </c>
      <c r="BY116" s="218">
        <v>7.8</v>
      </c>
      <c r="BZ116" s="218">
        <v>5700</v>
      </c>
      <c r="CA116" s="218">
        <v>7.01</v>
      </c>
      <c r="CB116" s="218">
        <v>1.2</v>
      </c>
      <c r="CC116" s="218">
        <v>1001</v>
      </c>
      <c r="CD116" s="218">
        <v>6.73</v>
      </c>
      <c r="CE116" s="218">
        <v>4.53</v>
      </c>
      <c r="CF116" s="218">
        <v>4000</v>
      </c>
      <c r="CG116" s="218">
        <v>6.97</v>
      </c>
      <c r="CH116" s="218">
        <v>1.53</v>
      </c>
      <c r="CI116" s="218">
        <v>1170</v>
      </c>
      <c r="CJ116" s="218">
        <v>7.68</v>
      </c>
      <c r="CK116" s="218">
        <v>2.85</v>
      </c>
      <c r="CL116" s="218">
        <v>2600</v>
      </c>
      <c r="CM116" s="220">
        <v>77.599999999999994</v>
      </c>
      <c r="CN116" s="220">
        <v>77.099999999999994</v>
      </c>
      <c r="CO116" s="75">
        <v>4</v>
      </c>
      <c r="CP116" s="76">
        <v>8.06</v>
      </c>
      <c r="CQ116" s="76">
        <v>1.82</v>
      </c>
      <c r="CR116" s="77">
        <v>76.7</v>
      </c>
      <c r="CS116" s="76">
        <v>22.3</v>
      </c>
      <c r="CT116" s="76">
        <v>1.54</v>
      </c>
      <c r="CU116" s="78">
        <v>25.2</v>
      </c>
      <c r="CV116" s="79">
        <v>2.6</v>
      </c>
      <c r="CW116" s="79">
        <v>11</v>
      </c>
      <c r="CX116" s="79">
        <v>52</v>
      </c>
      <c r="CY116" s="75">
        <v>11</v>
      </c>
      <c r="CZ116" s="76">
        <v>7.84</v>
      </c>
      <c r="DA116" s="76">
        <v>1.8</v>
      </c>
      <c r="DB116" s="77">
        <v>75.900000000000006</v>
      </c>
      <c r="DC116" s="76">
        <v>23.1</v>
      </c>
      <c r="DD116" s="76">
        <v>1.8</v>
      </c>
      <c r="DE116" s="78">
        <v>21.3</v>
      </c>
      <c r="DF116" s="79">
        <v>2.1</v>
      </c>
      <c r="DG116" s="79">
        <v>11</v>
      </c>
      <c r="DH116" s="79">
        <v>48</v>
      </c>
      <c r="DI116" s="121"/>
      <c r="DJ116" s="122"/>
      <c r="DK116" s="122"/>
      <c r="DL116" s="123"/>
      <c r="DM116" s="122"/>
      <c r="DN116" s="122"/>
      <c r="DO116" s="121"/>
      <c r="DP116" s="121"/>
      <c r="DQ116" s="121"/>
      <c r="DR116" s="121"/>
      <c r="DS116" s="139">
        <v>2</v>
      </c>
      <c r="DT116" s="122">
        <v>7.52</v>
      </c>
      <c r="DU116" s="122">
        <v>1.83</v>
      </c>
      <c r="DV116" s="123">
        <v>75.2</v>
      </c>
      <c r="DW116" s="122">
        <v>25.1</v>
      </c>
      <c r="DX116" s="122">
        <v>2.0099999999999998</v>
      </c>
      <c r="DY116" s="152" t="s">
        <v>203</v>
      </c>
      <c r="DZ116" s="79">
        <v>1.95</v>
      </c>
      <c r="EA116" s="79">
        <v>6</v>
      </c>
      <c r="EB116" s="79">
        <v>8</v>
      </c>
      <c r="EC116" s="79">
        <v>12</v>
      </c>
      <c r="ED116" s="79">
        <v>2</v>
      </c>
      <c r="EE116" s="79">
        <v>14</v>
      </c>
      <c r="EF116" s="79">
        <v>7</v>
      </c>
      <c r="EG116" s="79">
        <v>7</v>
      </c>
      <c r="EH116" s="79">
        <v>89</v>
      </c>
      <c r="EI116" s="79">
        <v>25</v>
      </c>
      <c r="EJ116" s="79">
        <v>17</v>
      </c>
      <c r="EK116" s="79">
        <f>EA116+EB116+EC116+ED116+EE116+EF116+EG116+EH116+EI116+EJ116</f>
        <v>187</v>
      </c>
      <c r="EL116" s="87">
        <v>82</v>
      </c>
      <c r="EM116" s="121">
        <v>29</v>
      </c>
      <c r="EN116" s="122">
        <v>7.85</v>
      </c>
      <c r="EO116" s="122">
        <v>2.1</v>
      </c>
      <c r="EP116" s="123">
        <v>68.2</v>
      </c>
      <c r="EQ116" s="122">
        <v>29.4</v>
      </c>
      <c r="ER116" s="122">
        <v>2.25</v>
      </c>
      <c r="ES116" s="121" t="s">
        <v>174</v>
      </c>
      <c r="ET116" s="121"/>
      <c r="EU116" s="121"/>
      <c r="EV116" s="121"/>
      <c r="EW116" s="121"/>
      <c r="EX116" s="121"/>
      <c r="EY116" s="121"/>
    </row>
    <row r="117" spans="1:155" ht="17.100000000000001" customHeight="1">
      <c r="A117" s="174"/>
      <c r="B117" s="397" t="s">
        <v>286</v>
      </c>
      <c r="C117" s="190"/>
      <c r="D117" s="317" t="e">
        <f t="shared" ref="D117:D119" si="325">(I117+H117)/(H117+I117+J117+K117+L117)*100</f>
        <v>#DIV/0!</v>
      </c>
      <c r="E117" s="320" t="e">
        <f t="shared" ref="E117:E119" si="326">J117/(H117+I117+J117+K117+L117)*100</f>
        <v>#DIV/0!</v>
      </c>
      <c r="F117" s="320"/>
      <c r="G117" s="323"/>
      <c r="H117" s="306"/>
      <c r="I117" s="309"/>
      <c r="J117" s="309"/>
      <c r="K117" s="365"/>
      <c r="L117" s="365"/>
      <c r="M117" s="309"/>
      <c r="N117" s="309"/>
      <c r="O117" s="309"/>
      <c r="P117" s="211"/>
      <c r="Q117" s="214"/>
      <c r="R117" s="306"/>
      <c r="S117" s="309"/>
      <c r="T117" s="309"/>
      <c r="U117" s="365"/>
      <c r="V117" s="365"/>
      <c r="W117" s="309"/>
      <c r="X117" s="336"/>
      <c r="Y117" s="306"/>
      <c r="Z117" s="309"/>
      <c r="AA117" s="309"/>
      <c r="AB117" s="365"/>
      <c r="AC117" s="365"/>
      <c r="AD117" s="309"/>
      <c r="AE117" s="336"/>
      <c r="AF117" s="306"/>
      <c r="AG117" s="211"/>
      <c r="AH117" s="211"/>
      <c r="AI117" s="362"/>
      <c r="AJ117" s="362"/>
      <c r="AK117" s="211"/>
      <c r="AL117" s="214"/>
      <c r="AM117" s="333"/>
      <c r="AN117" s="211"/>
      <c r="AO117" s="211"/>
      <c r="AP117" s="362"/>
      <c r="AQ117" s="362"/>
      <c r="AR117" s="211"/>
      <c r="AS117" s="211"/>
      <c r="AT117" s="333"/>
      <c r="AU117" s="211"/>
      <c r="AV117" s="211"/>
      <c r="AW117" s="362"/>
      <c r="AX117" s="362"/>
      <c r="AY117" s="211"/>
      <c r="AZ117" s="336"/>
      <c r="BA117" s="333"/>
      <c r="BB117" s="333"/>
      <c r="BC117" s="333"/>
      <c r="BD117" s="368"/>
      <c r="BE117" s="368"/>
      <c r="BF117" s="333"/>
      <c r="BG117" s="333"/>
      <c r="BH117" s="333"/>
      <c r="BI117" s="211"/>
      <c r="BJ117" s="211"/>
      <c r="BK117" s="211"/>
      <c r="BL117" s="211"/>
      <c r="BM117" s="211"/>
      <c r="BN117" s="214"/>
      <c r="BO117" s="196">
        <v>71.3</v>
      </c>
      <c r="BP117" s="196">
        <v>0.38600000000000001</v>
      </c>
      <c r="BQ117" s="196">
        <v>4.78</v>
      </c>
      <c r="BR117" s="196">
        <v>72.2</v>
      </c>
      <c r="BS117" s="339">
        <v>0.95399999999999996</v>
      </c>
      <c r="BT117" s="196">
        <v>5.5</v>
      </c>
      <c r="BU117" s="193">
        <v>7.25</v>
      </c>
      <c r="BV117" s="193">
        <v>1.1000000000000001</v>
      </c>
      <c r="BW117" s="193">
        <v>1000</v>
      </c>
      <c r="BX117" s="193">
        <v>4.7300000000000004</v>
      </c>
      <c r="BY117" s="193">
        <v>8.3000000000000007</v>
      </c>
      <c r="BZ117" s="193">
        <v>5300</v>
      </c>
      <c r="CA117" s="193">
        <v>6.96</v>
      </c>
      <c r="CB117" s="193">
        <v>1.42</v>
      </c>
      <c r="CC117" s="193">
        <v>1110</v>
      </c>
      <c r="CD117" s="193">
        <v>6.41</v>
      </c>
      <c r="CE117" s="193">
        <v>3.64</v>
      </c>
      <c r="CF117" s="193">
        <v>3300</v>
      </c>
      <c r="CG117" s="193">
        <v>6.88</v>
      </c>
      <c r="CH117" s="193">
        <v>1.46</v>
      </c>
      <c r="CI117" s="193">
        <v>1090</v>
      </c>
      <c r="CJ117" s="193">
        <v>7.54</v>
      </c>
      <c r="CK117" s="193">
        <v>3.35</v>
      </c>
      <c r="CL117" s="193">
        <v>3000</v>
      </c>
      <c r="CM117" s="205"/>
      <c r="CN117" s="205"/>
      <c r="CO117" s="13">
        <v>3</v>
      </c>
      <c r="CP117" s="10">
        <v>8.1300000000000008</v>
      </c>
      <c r="CQ117" s="10">
        <v>1.76</v>
      </c>
      <c r="CR117" s="11">
        <v>76.900000000000006</v>
      </c>
      <c r="CS117" s="10">
        <v>21.8</v>
      </c>
      <c r="CT117" s="10">
        <v>1.61</v>
      </c>
      <c r="CU117" s="12">
        <v>24.2</v>
      </c>
      <c r="CV117" s="8">
        <v>2.6</v>
      </c>
      <c r="CW117" s="8">
        <v>6</v>
      </c>
      <c r="CX117" s="8">
        <v>48</v>
      </c>
      <c r="CY117" s="13">
        <v>7</v>
      </c>
      <c r="CZ117" s="10">
        <v>7.91</v>
      </c>
      <c r="DA117" s="10">
        <v>1.89</v>
      </c>
      <c r="DB117" s="11">
        <v>75.599999999999994</v>
      </c>
      <c r="DC117" s="10">
        <v>23.7</v>
      </c>
      <c r="DD117" s="10">
        <v>1.82</v>
      </c>
      <c r="DE117" s="12">
        <v>20.9</v>
      </c>
      <c r="DF117" s="8">
        <v>2.15</v>
      </c>
      <c r="DG117" s="8">
        <v>11</v>
      </c>
      <c r="DH117" s="8">
        <v>49</v>
      </c>
      <c r="DI117" s="23"/>
      <c r="DJ117" s="21"/>
      <c r="DK117" s="21"/>
      <c r="DL117" s="22"/>
      <c r="DM117" s="21"/>
      <c r="DN117" s="21"/>
      <c r="DO117" s="23"/>
      <c r="DP117" s="23"/>
      <c r="DQ117" s="23"/>
      <c r="DR117" s="23"/>
      <c r="DS117" s="24">
        <v>9</v>
      </c>
      <c r="DT117" s="21">
        <v>7.74</v>
      </c>
      <c r="DU117" s="21">
        <v>2.02</v>
      </c>
      <c r="DV117" s="22">
        <v>74.7</v>
      </c>
      <c r="DW117" s="21">
        <v>24.6</v>
      </c>
      <c r="DX117" s="21">
        <v>2.0299999999999998</v>
      </c>
      <c r="DY117" s="40" t="s">
        <v>102</v>
      </c>
      <c r="DZ117" s="8">
        <v>2.0499999999999998</v>
      </c>
      <c r="EA117" s="8">
        <v>3</v>
      </c>
      <c r="EB117" s="8">
        <v>11</v>
      </c>
      <c r="EC117" s="8">
        <v>12</v>
      </c>
      <c r="ED117" s="8">
        <v>2</v>
      </c>
      <c r="EE117" s="8">
        <v>14</v>
      </c>
      <c r="EF117" s="8">
        <v>8</v>
      </c>
      <c r="EG117" s="8">
        <v>6</v>
      </c>
      <c r="EH117" s="8">
        <v>86</v>
      </c>
      <c r="EI117" s="8">
        <v>18</v>
      </c>
      <c r="EJ117" s="8">
        <v>7</v>
      </c>
      <c r="EK117" s="8">
        <f>EA117+EB117+EC117+ED117+EE117+EF117+EG117+EH117+EI117+EJ117</f>
        <v>167</v>
      </c>
      <c r="EL117" s="9">
        <v>83</v>
      </c>
      <c r="EM117" s="23">
        <v>23</v>
      </c>
      <c r="EN117" s="21">
        <v>7.83</v>
      </c>
      <c r="EO117" s="21">
        <v>1.9</v>
      </c>
      <c r="EP117" s="22">
        <v>69.400000000000006</v>
      </c>
      <c r="EQ117" s="21">
        <v>29.7</v>
      </c>
      <c r="ER117" s="21">
        <v>2.2599999999999998</v>
      </c>
      <c r="ES117" s="23" t="s">
        <v>204</v>
      </c>
      <c r="ET117" s="23"/>
      <c r="EU117" s="23"/>
      <c r="EV117" s="23"/>
      <c r="EW117" s="23"/>
      <c r="EX117" s="23"/>
      <c r="EY117" s="23"/>
    </row>
    <row r="118" spans="1:155" ht="17.100000000000001" customHeight="1">
      <c r="A118" s="174"/>
      <c r="B118" s="397" t="s">
        <v>286</v>
      </c>
      <c r="C118" s="190"/>
      <c r="D118" s="317" t="e">
        <f t="shared" si="325"/>
        <v>#DIV/0!</v>
      </c>
      <c r="E118" s="320" t="e">
        <f t="shared" si="326"/>
        <v>#DIV/0!</v>
      </c>
      <c r="F118" s="320"/>
      <c r="G118" s="323"/>
      <c r="H118" s="306"/>
      <c r="I118" s="309"/>
      <c r="J118" s="309"/>
      <c r="K118" s="365"/>
      <c r="L118" s="365"/>
      <c r="M118" s="309"/>
      <c r="N118" s="309"/>
      <c r="O118" s="309"/>
      <c r="P118" s="211"/>
      <c r="Q118" s="214"/>
      <c r="R118" s="306"/>
      <c r="S118" s="309"/>
      <c r="T118" s="309"/>
      <c r="U118" s="365"/>
      <c r="V118" s="365"/>
      <c r="W118" s="309"/>
      <c r="X118" s="336"/>
      <c r="Y118" s="306"/>
      <c r="Z118" s="309"/>
      <c r="AA118" s="309"/>
      <c r="AB118" s="365"/>
      <c r="AC118" s="365"/>
      <c r="AD118" s="309"/>
      <c r="AE118" s="336"/>
      <c r="AF118" s="306"/>
      <c r="AG118" s="211"/>
      <c r="AH118" s="211"/>
      <c r="AI118" s="362"/>
      <c r="AJ118" s="362"/>
      <c r="AK118" s="211"/>
      <c r="AL118" s="214"/>
      <c r="AM118" s="333"/>
      <c r="AN118" s="211"/>
      <c r="AO118" s="211"/>
      <c r="AP118" s="362"/>
      <c r="AQ118" s="362"/>
      <c r="AR118" s="211"/>
      <c r="AS118" s="211"/>
      <c r="AT118" s="333"/>
      <c r="AU118" s="211"/>
      <c r="AV118" s="211"/>
      <c r="AW118" s="362"/>
      <c r="AX118" s="362"/>
      <c r="AY118" s="211"/>
      <c r="AZ118" s="336"/>
      <c r="BA118" s="333"/>
      <c r="BB118" s="333"/>
      <c r="BC118" s="333"/>
      <c r="BD118" s="368"/>
      <c r="BE118" s="368"/>
      <c r="BF118" s="333"/>
      <c r="BG118" s="333"/>
      <c r="BH118" s="333"/>
      <c r="BI118" s="211"/>
      <c r="BJ118" s="211"/>
      <c r="BK118" s="211"/>
      <c r="BL118" s="211"/>
      <c r="BM118" s="211"/>
      <c r="BN118" s="214"/>
      <c r="BO118" s="196">
        <v>72.099999999999994</v>
      </c>
      <c r="BP118" s="196">
        <v>0.73699999999999999</v>
      </c>
      <c r="BQ118" s="196">
        <v>6.34</v>
      </c>
      <c r="BR118" s="196">
        <v>68.400000000000006</v>
      </c>
      <c r="BS118" s="339">
        <v>0.69099999999999995</v>
      </c>
      <c r="BT118" s="196">
        <v>5.91</v>
      </c>
      <c r="BU118" s="193">
        <v>7.1</v>
      </c>
      <c r="BV118" s="193">
        <v>1.53</v>
      </c>
      <c r="BW118" s="193">
        <v>1280</v>
      </c>
      <c r="BX118" s="193">
        <v>4.96</v>
      </c>
      <c r="BY118" s="193">
        <v>8.9</v>
      </c>
      <c r="BZ118" s="193">
        <v>7500</v>
      </c>
      <c r="CA118" s="193">
        <v>7.4</v>
      </c>
      <c r="CB118" s="193">
        <v>1.52</v>
      </c>
      <c r="CC118" s="193">
        <v>1320</v>
      </c>
      <c r="CD118" s="193">
        <v>6.9</v>
      </c>
      <c r="CE118" s="193">
        <v>4.09</v>
      </c>
      <c r="CF118" s="193">
        <v>3000</v>
      </c>
      <c r="CG118" s="193">
        <v>7.2</v>
      </c>
      <c r="CH118" s="193">
        <v>1.48</v>
      </c>
      <c r="CI118" s="193">
        <v>1200</v>
      </c>
      <c r="CJ118" s="193">
        <v>7.5</v>
      </c>
      <c r="CK118" s="193">
        <v>3.58</v>
      </c>
      <c r="CL118" s="193">
        <v>2800</v>
      </c>
      <c r="CM118" s="205"/>
      <c r="CN118" s="205"/>
      <c r="CO118" s="13">
        <v>5</v>
      </c>
      <c r="CP118" s="10">
        <v>8</v>
      </c>
      <c r="CQ118" s="10">
        <v>1.8</v>
      </c>
      <c r="CR118" s="11">
        <v>76.7</v>
      </c>
      <c r="CS118" s="10">
        <v>21.7</v>
      </c>
      <c r="CT118" s="10">
        <v>1.61</v>
      </c>
      <c r="CU118" s="12">
        <v>24.3</v>
      </c>
      <c r="CV118" s="8">
        <v>2.1</v>
      </c>
      <c r="CW118" s="8">
        <v>17</v>
      </c>
      <c r="CX118" s="8">
        <v>52</v>
      </c>
      <c r="CY118" s="13">
        <v>4</v>
      </c>
      <c r="CZ118" s="10">
        <v>7.75</v>
      </c>
      <c r="DA118" s="10">
        <v>1.61</v>
      </c>
      <c r="DB118" s="11">
        <v>76.2</v>
      </c>
      <c r="DC118" s="10">
        <v>23.3</v>
      </c>
      <c r="DD118" s="10">
        <v>1.86</v>
      </c>
      <c r="DE118" s="12">
        <v>20.6</v>
      </c>
      <c r="DF118" s="8">
        <v>2</v>
      </c>
      <c r="DG118" s="8">
        <v>16</v>
      </c>
      <c r="DH118" s="8">
        <v>47</v>
      </c>
      <c r="DI118" s="23"/>
      <c r="DJ118" s="21"/>
      <c r="DK118" s="21"/>
      <c r="DL118" s="22"/>
      <c r="DM118" s="21"/>
      <c r="DN118" s="21"/>
      <c r="DO118" s="23"/>
      <c r="DP118" s="23"/>
      <c r="DQ118" s="23"/>
      <c r="DR118" s="23"/>
      <c r="DS118" s="24">
        <v>12</v>
      </c>
      <c r="DT118" s="21">
        <v>7.56</v>
      </c>
      <c r="DU118" s="21">
        <v>75</v>
      </c>
      <c r="DV118" s="22">
        <v>1.84</v>
      </c>
      <c r="DW118" s="21">
        <v>24.8</v>
      </c>
      <c r="DX118" s="21">
        <v>2.0299999999999998</v>
      </c>
      <c r="DY118" s="40" t="s">
        <v>102</v>
      </c>
      <c r="DZ118" s="8">
        <v>1.95</v>
      </c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>
        <f>EA118+EB118+EC118+ED118+EE118+EF118+EG118+EH118+EI118+EJ118</f>
        <v>0</v>
      </c>
      <c r="EL118" s="9">
        <v>84</v>
      </c>
      <c r="EM118" s="23">
        <v>72</v>
      </c>
      <c r="EN118" s="21">
        <v>7.67</v>
      </c>
      <c r="EO118" s="21">
        <v>2.09</v>
      </c>
      <c r="EP118" s="22">
        <v>68.5</v>
      </c>
      <c r="EQ118" s="21">
        <v>27.8</v>
      </c>
      <c r="ER118" s="21">
        <v>2.31</v>
      </c>
      <c r="ES118" s="23" t="s">
        <v>174</v>
      </c>
      <c r="ET118" s="23"/>
      <c r="EU118" s="23"/>
      <c r="EV118" s="23"/>
      <c r="EW118" s="23"/>
      <c r="EX118" s="23"/>
      <c r="EY118" s="23"/>
    </row>
    <row r="119" spans="1:155" s="401" customFormat="1" ht="17.100000000000001" customHeight="1" thickBot="1">
      <c r="A119" s="175"/>
      <c r="B119" s="400" t="s">
        <v>286</v>
      </c>
      <c r="C119" s="191"/>
      <c r="D119" s="318" t="e">
        <f t="shared" si="325"/>
        <v>#DIV/0!</v>
      </c>
      <c r="E119" s="321" t="e">
        <f t="shared" si="326"/>
        <v>#DIV/0!</v>
      </c>
      <c r="F119" s="321"/>
      <c r="G119" s="324"/>
      <c r="H119" s="307"/>
      <c r="I119" s="310"/>
      <c r="J119" s="310"/>
      <c r="K119" s="366"/>
      <c r="L119" s="366"/>
      <c r="M119" s="310"/>
      <c r="N119" s="310"/>
      <c r="O119" s="310"/>
      <c r="P119" s="302"/>
      <c r="Q119" s="304"/>
      <c r="R119" s="307"/>
      <c r="S119" s="310"/>
      <c r="T119" s="310"/>
      <c r="U119" s="366"/>
      <c r="V119" s="366"/>
      <c r="W119" s="310"/>
      <c r="X119" s="337"/>
      <c r="Y119" s="307"/>
      <c r="Z119" s="310"/>
      <c r="AA119" s="310"/>
      <c r="AB119" s="366"/>
      <c r="AC119" s="366"/>
      <c r="AD119" s="310"/>
      <c r="AE119" s="337"/>
      <c r="AF119" s="307"/>
      <c r="AG119" s="302"/>
      <c r="AH119" s="302"/>
      <c r="AI119" s="363"/>
      <c r="AJ119" s="363"/>
      <c r="AK119" s="302"/>
      <c r="AL119" s="304"/>
      <c r="AM119" s="334"/>
      <c r="AN119" s="302"/>
      <c r="AO119" s="302"/>
      <c r="AP119" s="363"/>
      <c r="AQ119" s="363"/>
      <c r="AR119" s="302"/>
      <c r="AS119" s="302"/>
      <c r="AT119" s="334"/>
      <c r="AU119" s="302"/>
      <c r="AV119" s="302"/>
      <c r="AW119" s="363"/>
      <c r="AX119" s="363"/>
      <c r="AY119" s="302"/>
      <c r="AZ119" s="337"/>
      <c r="BA119" s="334"/>
      <c r="BB119" s="334"/>
      <c r="BC119" s="334"/>
      <c r="BD119" s="369"/>
      <c r="BE119" s="369"/>
      <c r="BF119" s="334"/>
      <c r="BG119" s="334"/>
      <c r="BH119" s="334"/>
      <c r="BI119" s="302"/>
      <c r="BJ119" s="302"/>
      <c r="BK119" s="302"/>
      <c r="BL119" s="302"/>
      <c r="BM119" s="302"/>
      <c r="BN119" s="304"/>
      <c r="BO119" s="217">
        <v>71.599999999999994</v>
      </c>
      <c r="BP119" s="217">
        <v>0.73299999999999998</v>
      </c>
      <c r="BQ119" s="217">
        <v>7.41</v>
      </c>
      <c r="BR119" s="217">
        <v>76.2</v>
      </c>
      <c r="BS119" s="340">
        <v>0.59199999999999997</v>
      </c>
      <c r="BT119" s="217">
        <v>7.53</v>
      </c>
      <c r="BU119" s="219">
        <v>7.21</v>
      </c>
      <c r="BV119" s="219">
        <v>1.24</v>
      </c>
      <c r="BW119" s="219">
        <v>900</v>
      </c>
      <c r="BX119" s="219">
        <v>6.09</v>
      </c>
      <c r="BY119" s="219">
        <v>7.8</v>
      </c>
      <c r="BZ119" s="219">
        <v>5700</v>
      </c>
      <c r="CA119" s="219">
        <v>7.01</v>
      </c>
      <c r="CB119" s="219">
        <v>1.2</v>
      </c>
      <c r="CC119" s="219">
        <v>1001</v>
      </c>
      <c r="CD119" s="219">
        <v>6.73</v>
      </c>
      <c r="CE119" s="219">
        <v>4.53</v>
      </c>
      <c r="CF119" s="219">
        <v>4000</v>
      </c>
      <c r="CG119" s="219">
        <v>6.97</v>
      </c>
      <c r="CH119" s="219">
        <v>1.53</v>
      </c>
      <c r="CI119" s="219">
        <v>1170</v>
      </c>
      <c r="CJ119" s="219">
        <v>7.68</v>
      </c>
      <c r="CK119" s="219">
        <v>2.85</v>
      </c>
      <c r="CL119" s="219">
        <v>2600</v>
      </c>
      <c r="CM119" s="221"/>
      <c r="CN119" s="221"/>
      <c r="CO119" s="103"/>
      <c r="CP119" s="99"/>
      <c r="CQ119" s="99"/>
      <c r="CR119" s="100"/>
      <c r="CS119" s="99"/>
      <c r="CT119" s="99"/>
      <c r="CU119" s="153"/>
      <c r="CV119" s="102"/>
      <c r="CW119" s="102"/>
      <c r="CX119" s="102"/>
      <c r="CY119" s="103"/>
      <c r="CZ119" s="99"/>
      <c r="DA119" s="99"/>
      <c r="DB119" s="100"/>
      <c r="DC119" s="99"/>
      <c r="DD119" s="99"/>
      <c r="DE119" s="153"/>
      <c r="DF119" s="102"/>
      <c r="DG119" s="102"/>
      <c r="DH119" s="102"/>
      <c r="DI119" s="101"/>
      <c r="DJ119" s="99"/>
      <c r="DK119" s="99"/>
      <c r="DL119" s="100"/>
      <c r="DM119" s="99"/>
      <c r="DN119" s="99"/>
      <c r="DO119" s="101"/>
      <c r="DP119" s="101"/>
      <c r="DQ119" s="101"/>
      <c r="DR119" s="101"/>
      <c r="DZ119" s="116"/>
      <c r="EA119" s="116"/>
      <c r="EB119" s="116"/>
      <c r="EC119" s="116"/>
      <c r="ED119" s="116"/>
      <c r="EE119" s="116"/>
      <c r="EF119" s="116"/>
      <c r="EG119" s="116"/>
      <c r="EH119" s="116"/>
      <c r="EI119" s="116"/>
      <c r="EJ119" s="116"/>
      <c r="EK119" s="116"/>
      <c r="EL119" s="106" t="s">
        <v>205</v>
      </c>
      <c r="EM119" s="101">
        <v>40</v>
      </c>
      <c r="EN119" s="99">
        <v>7.35</v>
      </c>
      <c r="EO119" s="99">
        <v>2.16</v>
      </c>
      <c r="EP119" s="100">
        <v>69.900000000000006</v>
      </c>
      <c r="EQ119" s="99">
        <v>30.4</v>
      </c>
      <c r="ER119" s="99">
        <v>2.2400000000000002</v>
      </c>
      <c r="ES119" s="101" t="s">
        <v>206</v>
      </c>
      <c r="ET119" s="101"/>
      <c r="EU119" s="101"/>
      <c r="EV119" s="101"/>
      <c r="EW119" s="101"/>
      <c r="EX119" s="101"/>
      <c r="EY119" s="101"/>
    </row>
    <row r="120" spans="1:155" s="398" customFormat="1" ht="17.100000000000001" customHeight="1">
      <c r="A120" s="173">
        <v>29</v>
      </c>
      <c r="B120" s="397" t="s">
        <v>287</v>
      </c>
      <c r="C120" s="189" t="s">
        <v>96</v>
      </c>
      <c r="D120" s="316">
        <f t="shared" ref="D120" si="327">(I120+H120)/(H120+I120+J120)*100</f>
        <v>71.111111111111114</v>
      </c>
      <c r="E120" s="319">
        <f t="shared" ref="E120" si="328">J120/(H120+I120+J120)*100</f>
        <v>28.888888888888886</v>
      </c>
      <c r="F120" s="319"/>
      <c r="G120" s="322"/>
      <c r="H120" s="305">
        <v>16</v>
      </c>
      <c r="I120" s="308">
        <v>0</v>
      </c>
      <c r="J120" s="308">
        <v>6.5</v>
      </c>
      <c r="K120" s="364">
        <v>0</v>
      </c>
      <c r="L120" s="364">
        <v>8.6</v>
      </c>
      <c r="M120" s="308">
        <v>0.4</v>
      </c>
      <c r="N120" s="308">
        <v>0</v>
      </c>
      <c r="O120" s="308">
        <v>0</v>
      </c>
      <c r="P120" s="301"/>
      <c r="Q120" s="303"/>
      <c r="R120" s="305">
        <v>0.94</v>
      </c>
      <c r="S120" s="308">
        <v>0</v>
      </c>
      <c r="T120" s="308">
        <v>0.42</v>
      </c>
      <c r="U120" s="364">
        <v>0</v>
      </c>
      <c r="V120" s="364">
        <v>3.22</v>
      </c>
      <c r="W120" s="308">
        <v>3.48</v>
      </c>
      <c r="X120" s="335">
        <v>20.5</v>
      </c>
      <c r="Y120" s="305">
        <f t="shared" ref="Y120:AD120" si="329">H120*R120*10</f>
        <v>150.39999999999998</v>
      </c>
      <c r="Z120" s="308">
        <f t="shared" si="329"/>
        <v>0</v>
      </c>
      <c r="AA120" s="308">
        <f t="shared" si="329"/>
        <v>27.3</v>
      </c>
      <c r="AB120" s="364">
        <f t="shared" si="329"/>
        <v>0</v>
      </c>
      <c r="AC120" s="364">
        <f t="shared" si="329"/>
        <v>276.92</v>
      </c>
      <c r="AD120" s="308">
        <f t="shared" si="329"/>
        <v>13.920000000000002</v>
      </c>
      <c r="AE120" s="335">
        <f t="shared" ref="AE120" si="330">X120*O120*10</f>
        <v>0</v>
      </c>
      <c r="AF120" s="305">
        <v>12.1</v>
      </c>
      <c r="AG120" s="301">
        <v>0</v>
      </c>
      <c r="AH120" s="301">
        <v>1.8</v>
      </c>
      <c r="AI120" s="361">
        <v>30.2</v>
      </c>
      <c r="AJ120" s="361">
        <v>42.8</v>
      </c>
      <c r="AK120" s="301">
        <v>30.2</v>
      </c>
      <c r="AL120" s="303">
        <v>85.3</v>
      </c>
      <c r="AM120" s="332">
        <f t="shared" ref="AM120" si="331">AF120*10*H120</f>
        <v>1936</v>
      </c>
      <c r="AN120" s="301">
        <f t="shared" ref="AN120:AS120" si="332">AG120*I120*10</f>
        <v>0</v>
      </c>
      <c r="AO120" s="301">
        <f t="shared" si="332"/>
        <v>117.00000000000001</v>
      </c>
      <c r="AP120" s="361">
        <f t="shared" si="332"/>
        <v>0</v>
      </c>
      <c r="AQ120" s="361">
        <f t="shared" si="332"/>
        <v>3680.7999999999997</v>
      </c>
      <c r="AR120" s="301">
        <f t="shared" si="332"/>
        <v>120.8</v>
      </c>
      <c r="AS120" s="301">
        <f t="shared" si="332"/>
        <v>0</v>
      </c>
      <c r="AT120" s="332">
        <v>23.5</v>
      </c>
      <c r="AU120" s="301">
        <v>0</v>
      </c>
      <c r="AV120" s="301">
        <v>51.9</v>
      </c>
      <c r="AW120" s="361">
        <v>19.2</v>
      </c>
      <c r="AX120" s="361">
        <v>28.3</v>
      </c>
      <c r="AY120" s="301">
        <v>19.2</v>
      </c>
      <c r="AZ120" s="303"/>
      <c r="BA120" s="332">
        <f t="shared" ref="BA120:BG120" si="333">(H120*3*1000)/(1-AT120/100)</f>
        <v>62745.098039215685</v>
      </c>
      <c r="BB120" s="332">
        <f t="shared" si="333"/>
        <v>0</v>
      </c>
      <c r="BC120" s="332">
        <f t="shared" si="333"/>
        <v>40540.54054054054</v>
      </c>
      <c r="BD120" s="367">
        <f t="shared" si="333"/>
        <v>0</v>
      </c>
      <c r="BE120" s="367">
        <f t="shared" si="333"/>
        <v>35983.263598326354</v>
      </c>
      <c r="BF120" s="332">
        <f t="shared" si="333"/>
        <v>1485.1485148514853</v>
      </c>
      <c r="BG120" s="332">
        <f t="shared" si="333"/>
        <v>0</v>
      </c>
      <c r="BH120" s="332">
        <f t="shared" ref="BH120" si="334">H120+I120+J120</f>
        <v>22.5</v>
      </c>
      <c r="BI120" s="301">
        <f t="shared" ref="BI120" si="335">K120+L120+M120+N120+O120</f>
        <v>9</v>
      </c>
      <c r="BJ120" s="301">
        <f t="shared" ref="BJ120" si="336">BH120+BI120</f>
        <v>31.5</v>
      </c>
      <c r="BK120" s="301">
        <f t="shared" ref="BK120" si="337">Y120+Z120+AA120+AB120+AC120+AD120+AE120</f>
        <v>468.54</v>
      </c>
      <c r="BL120" s="301">
        <f t="shared" ref="BL120" si="338">AM120+AN120+AO120+AP120+AQ120+AR120+AS120</f>
        <v>5854.5999999999995</v>
      </c>
      <c r="BM120" s="301">
        <f t="shared" ref="BM120" si="339">BJ120*3*1000</f>
        <v>94500</v>
      </c>
      <c r="BN120" s="303">
        <f t="shared" ref="BN120" si="340">BA120+BB120+BC120+BD120+BE120+BF120+BG120</f>
        <v>140754.05069293408</v>
      </c>
      <c r="BO120" s="216">
        <v>71.3</v>
      </c>
      <c r="BP120" s="216">
        <v>0.38600000000000001</v>
      </c>
      <c r="BQ120" s="216">
        <v>4.78</v>
      </c>
      <c r="BR120" s="216">
        <v>72.2</v>
      </c>
      <c r="BS120" s="338">
        <v>0.95399999999999996</v>
      </c>
      <c r="BT120" s="216">
        <v>5.5</v>
      </c>
      <c r="BU120" s="218">
        <v>7.25</v>
      </c>
      <c r="BV120" s="218">
        <v>1.1000000000000001</v>
      </c>
      <c r="BW120" s="218">
        <v>1000</v>
      </c>
      <c r="BX120" s="218">
        <v>4.7300000000000004</v>
      </c>
      <c r="BY120" s="218">
        <v>8.3000000000000007</v>
      </c>
      <c r="BZ120" s="218">
        <v>5300</v>
      </c>
      <c r="CA120" s="218">
        <v>6.96</v>
      </c>
      <c r="CB120" s="218">
        <v>1.42</v>
      </c>
      <c r="CC120" s="218">
        <v>1110</v>
      </c>
      <c r="CD120" s="218">
        <v>6.41</v>
      </c>
      <c r="CE120" s="218">
        <v>3.64</v>
      </c>
      <c r="CF120" s="218">
        <v>3300</v>
      </c>
      <c r="CG120" s="218">
        <v>6.88</v>
      </c>
      <c r="CH120" s="218">
        <v>1.46</v>
      </c>
      <c r="CI120" s="218">
        <v>1090</v>
      </c>
      <c r="CJ120" s="218">
        <v>7.54</v>
      </c>
      <c r="CK120" s="218">
        <v>3.35</v>
      </c>
      <c r="CL120" s="218">
        <v>3000</v>
      </c>
      <c r="CM120" s="220">
        <v>0</v>
      </c>
      <c r="CN120" s="220">
        <v>0</v>
      </c>
      <c r="CO120" s="75">
        <v>9</v>
      </c>
      <c r="CP120" s="76">
        <v>7.86</v>
      </c>
      <c r="CQ120" s="76">
        <v>1.92</v>
      </c>
      <c r="CR120" s="77">
        <v>76</v>
      </c>
      <c r="CS120" s="76">
        <v>21</v>
      </c>
      <c r="CT120" s="76">
        <v>1.47</v>
      </c>
      <c r="CU120" s="78">
        <v>26.8</v>
      </c>
      <c r="CV120" s="79">
        <v>2.9</v>
      </c>
      <c r="CW120" s="79">
        <v>13</v>
      </c>
      <c r="CX120" s="79">
        <v>36</v>
      </c>
      <c r="CY120" s="75">
        <v>8</v>
      </c>
      <c r="CZ120" s="76">
        <v>7.73</v>
      </c>
      <c r="DA120" s="76">
        <v>2.11</v>
      </c>
      <c r="DB120" s="77">
        <v>74.400000000000006</v>
      </c>
      <c r="DC120" s="76">
        <v>24.3</v>
      </c>
      <c r="DD120" s="76">
        <v>1.75</v>
      </c>
      <c r="DE120" s="78">
        <v>21.6</v>
      </c>
      <c r="DF120" s="79">
        <v>2.2999999999999998</v>
      </c>
      <c r="DG120" s="79">
        <v>20</v>
      </c>
      <c r="DH120" s="79">
        <v>43</v>
      </c>
      <c r="DP120" s="154"/>
      <c r="DQ120" s="154"/>
      <c r="DR120" s="154"/>
      <c r="DS120" s="155">
        <v>11</v>
      </c>
      <c r="DT120" s="122">
        <v>7.67</v>
      </c>
      <c r="DU120" s="122">
        <v>2.02</v>
      </c>
      <c r="DV120" s="123">
        <v>74.8</v>
      </c>
      <c r="DW120" s="122">
        <v>24.8</v>
      </c>
      <c r="DX120" s="122">
        <v>1.98</v>
      </c>
      <c r="DY120" s="152" t="s">
        <v>187</v>
      </c>
      <c r="DZ120" s="79">
        <v>2.2000000000000002</v>
      </c>
      <c r="EA120" s="79">
        <v>9</v>
      </c>
      <c r="EB120" s="79">
        <v>5</v>
      </c>
      <c r="EC120" s="79">
        <v>12</v>
      </c>
      <c r="ED120" s="79">
        <v>1</v>
      </c>
      <c r="EE120" s="79">
        <v>10</v>
      </c>
      <c r="EF120" s="79">
        <v>8</v>
      </c>
      <c r="EG120" s="79">
        <v>6</v>
      </c>
      <c r="EH120" s="79">
        <v>85</v>
      </c>
      <c r="EI120" s="79">
        <v>10</v>
      </c>
      <c r="EJ120" s="79">
        <v>23</v>
      </c>
      <c r="EK120" s="79">
        <f t="shared" ref="EK120:EK122" si="341">EA120+EB120+EC120+ED120+EE120+EF120+EG120+EH120+EI120+EJ120</f>
        <v>169</v>
      </c>
      <c r="EL120" s="87">
        <v>85</v>
      </c>
      <c r="EM120" s="121">
        <v>38</v>
      </c>
      <c r="EN120" s="122">
        <v>7.94</v>
      </c>
      <c r="EO120" s="122">
        <v>2.19</v>
      </c>
      <c r="EP120" s="123">
        <v>68.2</v>
      </c>
      <c r="EQ120" s="122">
        <v>29.3</v>
      </c>
      <c r="ER120" s="122">
        <v>2.3199999999999998</v>
      </c>
      <c r="ES120" s="121" t="s">
        <v>207</v>
      </c>
      <c r="ET120" s="121"/>
      <c r="EU120" s="121"/>
      <c r="EV120" s="121"/>
      <c r="EW120" s="121"/>
      <c r="EX120" s="121"/>
      <c r="EY120" s="121"/>
    </row>
    <row r="121" spans="1:155" ht="17.100000000000001" customHeight="1">
      <c r="A121" s="174"/>
      <c r="B121" s="397" t="s">
        <v>287</v>
      </c>
      <c r="C121" s="190"/>
      <c r="D121" s="317" t="e">
        <f t="shared" ref="D121:D123" si="342">(I121+H121)/(H121+I121+J121+K121+L121)*100</f>
        <v>#DIV/0!</v>
      </c>
      <c r="E121" s="320" t="e">
        <f t="shared" ref="E121:E123" si="343">J121/(H121+I121+J121+K121+L121)*100</f>
        <v>#DIV/0!</v>
      </c>
      <c r="F121" s="320"/>
      <c r="G121" s="323"/>
      <c r="H121" s="306"/>
      <c r="I121" s="309"/>
      <c r="J121" s="309"/>
      <c r="K121" s="365"/>
      <c r="L121" s="365"/>
      <c r="M121" s="309"/>
      <c r="N121" s="309"/>
      <c r="O121" s="309"/>
      <c r="P121" s="211"/>
      <c r="Q121" s="214"/>
      <c r="R121" s="306"/>
      <c r="S121" s="309"/>
      <c r="T121" s="309"/>
      <c r="U121" s="365"/>
      <c r="V121" s="365"/>
      <c r="W121" s="309"/>
      <c r="X121" s="336"/>
      <c r="Y121" s="306"/>
      <c r="Z121" s="309"/>
      <c r="AA121" s="309"/>
      <c r="AB121" s="365"/>
      <c r="AC121" s="365"/>
      <c r="AD121" s="309"/>
      <c r="AE121" s="336"/>
      <c r="AF121" s="306"/>
      <c r="AG121" s="211"/>
      <c r="AH121" s="211"/>
      <c r="AI121" s="362"/>
      <c r="AJ121" s="362"/>
      <c r="AK121" s="211"/>
      <c r="AL121" s="214"/>
      <c r="AM121" s="333"/>
      <c r="AN121" s="211"/>
      <c r="AO121" s="211"/>
      <c r="AP121" s="362"/>
      <c r="AQ121" s="362"/>
      <c r="AR121" s="211"/>
      <c r="AS121" s="211"/>
      <c r="AT121" s="333"/>
      <c r="AU121" s="211"/>
      <c r="AV121" s="211"/>
      <c r="AW121" s="362"/>
      <c r="AX121" s="362"/>
      <c r="AY121" s="211"/>
      <c r="AZ121" s="214"/>
      <c r="BA121" s="333"/>
      <c r="BB121" s="333"/>
      <c r="BC121" s="333"/>
      <c r="BD121" s="368"/>
      <c r="BE121" s="368"/>
      <c r="BF121" s="333"/>
      <c r="BG121" s="333"/>
      <c r="BH121" s="333"/>
      <c r="BI121" s="211"/>
      <c r="BJ121" s="211"/>
      <c r="BK121" s="211"/>
      <c r="BL121" s="211"/>
      <c r="BM121" s="211"/>
      <c r="BN121" s="214"/>
      <c r="BO121" s="196">
        <v>72.099999999999994</v>
      </c>
      <c r="BP121" s="196">
        <v>0.73699999999999999</v>
      </c>
      <c r="BQ121" s="196">
        <v>6.34</v>
      </c>
      <c r="BR121" s="196">
        <v>68.400000000000006</v>
      </c>
      <c r="BS121" s="339">
        <v>0.69099999999999995</v>
      </c>
      <c r="BT121" s="196">
        <v>5.91</v>
      </c>
      <c r="BU121" s="193">
        <v>7.1</v>
      </c>
      <c r="BV121" s="193">
        <v>1.53</v>
      </c>
      <c r="BW121" s="193">
        <v>1280</v>
      </c>
      <c r="BX121" s="193">
        <v>4.96</v>
      </c>
      <c r="BY121" s="193">
        <v>8.9</v>
      </c>
      <c r="BZ121" s="193">
        <v>7500</v>
      </c>
      <c r="CA121" s="193">
        <v>7.4</v>
      </c>
      <c r="CB121" s="193">
        <v>1.52</v>
      </c>
      <c r="CC121" s="193">
        <v>1320</v>
      </c>
      <c r="CD121" s="193">
        <v>6.9</v>
      </c>
      <c r="CE121" s="193">
        <v>4.09</v>
      </c>
      <c r="CF121" s="193">
        <v>3000</v>
      </c>
      <c r="CG121" s="193">
        <v>7.2</v>
      </c>
      <c r="CH121" s="193">
        <v>1.48</v>
      </c>
      <c r="CI121" s="193">
        <v>1200</v>
      </c>
      <c r="CJ121" s="193">
        <v>7.5</v>
      </c>
      <c r="CK121" s="193">
        <v>3.58</v>
      </c>
      <c r="CL121" s="193">
        <v>2800</v>
      </c>
      <c r="CM121" s="205"/>
      <c r="CN121" s="205"/>
      <c r="CO121" s="13">
        <v>8</v>
      </c>
      <c r="CP121" s="10">
        <v>7.8</v>
      </c>
      <c r="CQ121" s="10">
        <v>1.96</v>
      </c>
      <c r="CR121" s="11">
        <v>75.599999999999994</v>
      </c>
      <c r="CS121" s="10">
        <v>21.7</v>
      </c>
      <c r="CT121" s="10">
        <v>1.5</v>
      </c>
      <c r="CU121" s="12">
        <v>26.1</v>
      </c>
      <c r="CV121" s="8">
        <v>2.7</v>
      </c>
      <c r="CW121" s="8">
        <v>5</v>
      </c>
      <c r="CX121" s="8">
        <v>38</v>
      </c>
      <c r="CY121" s="13">
        <v>5</v>
      </c>
      <c r="CZ121" s="10">
        <v>7.78</v>
      </c>
      <c r="DA121" s="10">
        <v>2.1</v>
      </c>
      <c r="DB121" s="11">
        <v>74.7</v>
      </c>
      <c r="DC121" s="10">
        <v>24</v>
      </c>
      <c r="DD121" s="10">
        <v>1.72</v>
      </c>
      <c r="DE121" s="12">
        <v>22</v>
      </c>
      <c r="DF121" s="8">
        <v>2.1</v>
      </c>
      <c r="DG121" s="8">
        <v>8</v>
      </c>
      <c r="DH121" s="8">
        <v>55</v>
      </c>
      <c r="DI121" s="23"/>
      <c r="DJ121" s="21"/>
      <c r="DK121" s="21"/>
      <c r="DL121" s="22"/>
      <c r="DM121" s="21"/>
      <c r="DN121" s="21"/>
      <c r="DO121" s="23"/>
      <c r="DP121" s="23"/>
      <c r="DQ121" s="23"/>
      <c r="DR121" s="23"/>
      <c r="DS121" s="41">
        <v>3</v>
      </c>
      <c r="DT121" s="21">
        <v>7.45</v>
      </c>
      <c r="DU121" s="21">
        <v>2.11</v>
      </c>
      <c r="DV121" s="22">
        <v>75.3</v>
      </c>
      <c r="DW121" s="21">
        <v>25</v>
      </c>
      <c r="DX121" s="21">
        <v>2.0099999999999998</v>
      </c>
      <c r="DY121" s="40" t="s">
        <v>103</v>
      </c>
      <c r="DZ121" s="8">
        <v>2.1</v>
      </c>
      <c r="EA121" s="8">
        <v>6</v>
      </c>
      <c r="EB121" s="8">
        <v>2</v>
      </c>
      <c r="EC121" s="8">
        <v>13</v>
      </c>
      <c r="ED121" s="8">
        <v>4</v>
      </c>
      <c r="EE121" s="8">
        <v>8</v>
      </c>
      <c r="EF121" s="8">
        <v>9</v>
      </c>
      <c r="EG121" s="8">
        <v>5</v>
      </c>
      <c r="EH121" s="8">
        <v>95</v>
      </c>
      <c r="EI121" s="8">
        <v>42</v>
      </c>
      <c r="EJ121" s="8">
        <v>6</v>
      </c>
      <c r="EK121" s="8">
        <f t="shared" si="341"/>
        <v>190</v>
      </c>
      <c r="EL121" s="9">
        <v>86</v>
      </c>
      <c r="EM121" s="23">
        <v>66</v>
      </c>
      <c r="EN121" s="21">
        <v>7.9</v>
      </c>
      <c r="EO121" s="21">
        <v>2.1</v>
      </c>
      <c r="EP121" s="22">
        <v>68</v>
      </c>
      <c r="EQ121" s="21">
        <v>29.3</v>
      </c>
      <c r="ER121" s="21">
        <v>2.2799999999999998</v>
      </c>
      <c r="ES121" s="23" t="s">
        <v>137</v>
      </c>
      <c r="ET121" s="23"/>
      <c r="EU121" s="23"/>
      <c r="EV121" s="23"/>
      <c r="EW121" s="23"/>
      <c r="EX121" s="23"/>
      <c r="EY121" s="23"/>
    </row>
    <row r="122" spans="1:155" ht="17.100000000000001" customHeight="1">
      <c r="A122" s="174"/>
      <c r="B122" s="397" t="s">
        <v>287</v>
      </c>
      <c r="C122" s="190"/>
      <c r="D122" s="317" t="e">
        <f t="shared" si="342"/>
        <v>#DIV/0!</v>
      </c>
      <c r="E122" s="320" t="e">
        <f t="shared" si="343"/>
        <v>#DIV/0!</v>
      </c>
      <c r="F122" s="320"/>
      <c r="G122" s="323"/>
      <c r="H122" s="306"/>
      <c r="I122" s="309"/>
      <c r="J122" s="309"/>
      <c r="K122" s="365"/>
      <c r="L122" s="365"/>
      <c r="M122" s="309"/>
      <c r="N122" s="309"/>
      <c r="O122" s="309"/>
      <c r="P122" s="211"/>
      <c r="Q122" s="214"/>
      <c r="R122" s="306"/>
      <c r="S122" s="309"/>
      <c r="T122" s="309"/>
      <c r="U122" s="365"/>
      <c r="V122" s="365"/>
      <c r="W122" s="309"/>
      <c r="X122" s="336"/>
      <c r="Y122" s="306"/>
      <c r="Z122" s="309"/>
      <c r="AA122" s="309"/>
      <c r="AB122" s="365"/>
      <c r="AC122" s="365"/>
      <c r="AD122" s="309"/>
      <c r="AE122" s="336"/>
      <c r="AF122" s="306"/>
      <c r="AG122" s="211"/>
      <c r="AH122" s="211"/>
      <c r="AI122" s="362"/>
      <c r="AJ122" s="362"/>
      <c r="AK122" s="211"/>
      <c r="AL122" s="214"/>
      <c r="AM122" s="333"/>
      <c r="AN122" s="211"/>
      <c r="AO122" s="211"/>
      <c r="AP122" s="362"/>
      <c r="AQ122" s="362"/>
      <c r="AR122" s="211"/>
      <c r="AS122" s="211"/>
      <c r="AT122" s="333"/>
      <c r="AU122" s="211"/>
      <c r="AV122" s="211"/>
      <c r="AW122" s="362"/>
      <c r="AX122" s="362"/>
      <c r="AY122" s="211"/>
      <c r="AZ122" s="214"/>
      <c r="BA122" s="333"/>
      <c r="BB122" s="333"/>
      <c r="BC122" s="333"/>
      <c r="BD122" s="368"/>
      <c r="BE122" s="368"/>
      <c r="BF122" s="333"/>
      <c r="BG122" s="333"/>
      <c r="BH122" s="333"/>
      <c r="BI122" s="211"/>
      <c r="BJ122" s="211"/>
      <c r="BK122" s="211"/>
      <c r="BL122" s="211"/>
      <c r="BM122" s="211"/>
      <c r="BN122" s="214"/>
      <c r="BO122" s="196">
        <v>71.599999999999994</v>
      </c>
      <c r="BP122" s="196">
        <v>0.73299999999999998</v>
      </c>
      <c r="BQ122" s="196">
        <v>7.41</v>
      </c>
      <c r="BR122" s="196">
        <v>76.2</v>
      </c>
      <c r="BS122" s="339">
        <v>0.59199999999999997</v>
      </c>
      <c r="BT122" s="196">
        <v>7.53</v>
      </c>
      <c r="BU122" s="193">
        <v>7.21</v>
      </c>
      <c r="BV122" s="193">
        <v>1.24</v>
      </c>
      <c r="BW122" s="193">
        <v>900</v>
      </c>
      <c r="BX122" s="193">
        <v>6.09</v>
      </c>
      <c r="BY122" s="193">
        <v>7.8</v>
      </c>
      <c r="BZ122" s="193">
        <v>5700</v>
      </c>
      <c r="CA122" s="193">
        <v>7.01</v>
      </c>
      <c r="CB122" s="193">
        <v>1.2</v>
      </c>
      <c r="CC122" s="193">
        <v>1001</v>
      </c>
      <c r="CD122" s="193">
        <v>6.73</v>
      </c>
      <c r="CE122" s="193">
        <v>4.53</v>
      </c>
      <c r="CF122" s="193">
        <v>4000</v>
      </c>
      <c r="CG122" s="193">
        <v>6.97</v>
      </c>
      <c r="CH122" s="193">
        <v>1.53</v>
      </c>
      <c r="CI122" s="193">
        <v>1170</v>
      </c>
      <c r="CJ122" s="193">
        <v>7.68</v>
      </c>
      <c r="CK122" s="193">
        <v>2.85</v>
      </c>
      <c r="CL122" s="193">
        <v>2600</v>
      </c>
      <c r="CM122" s="205"/>
      <c r="CN122" s="205"/>
      <c r="CO122" s="13">
        <v>6</v>
      </c>
      <c r="CP122" s="10">
        <v>7.76</v>
      </c>
      <c r="CQ122" s="10">
        <v>1.9</v>
      </c>
      <c r="CR122" s="11">
        <v>75.8</v>
      </c>
      <c r="CS122" s="10">
        <v>20.8</v>
      </c>
      <c r="CT122" s="10">
        <v>1.5</v>
      </c>
      <c r="CU122" s="12">
        <v>26.4</v>
      </c>
      <c r="CV122" s="8">
        <v>2.7</v>
      </c>
      <c r="CW122" s="8">
        <v>8</v>
      </c>
      <c r="CX122" s="8">
        <v>36</v>
      </c>
      <c r="CY122" s="13">
        <v>6</v>
      </c>
      <c r="CZ122" s="10">
        <v>7.7</v>
      </c>
      <c r="DA122" s="10">
        <v>1.94</v>
      </c>
      <c r="DB122" s="11">
        <v>74.7</v>
      </c>
      <c r="DC122" s="10">
        <v>24</v>
      </c>
      <c r="DD122" s="10">
        <v>1.75</v>
      </c>
      <c r="DE122" s="12">
        <v>21.7</v>
      </c>
      <c r="DF122" s="8">
        <v>2.1</v>
      </c>
      <c r="DG122" s="8">
        <v>23</v>
      </c>
      <c r="DH122" s="8">
        <v>38</v>
      </c>
      <c r="DI122" s="23"/>
      <c r="DJ122" s="21"/>
      <c r="DK122" s="21"/>
      <c r="DL122" s="22"/>
      <c r="DM122" s="21"/>
      <c r="DN122" s="21"/>
      <c r="DO122" s="23"/>
      <c r="DP122" s="23"/>
      <c r="DQ122" s="23"/>
      <c r="DR122" s="23"/>
      <c r="DS122" s="41">
        <v>10</v>
      </c>
      <c r="DT122" s="21">
        <v>7.64</v>
      </c>
      <c r="DU122" s="21">
        <v>2.16</v>
      </c>
      <c r="DV122" s="22">
        <v>74.8</v>
      </c>
      <c r="DW122" s="21">
        <v>25.1</v>
      </c>
      <c r="DX122" s="21">
        <v>2.06</v>
      </c>
      <c r="DY122" s="40" t="s">
        <v>208</v>
      </c>
      <c r="DZ122" s="8">
        <v>2.5</v>
      </c>
      <c r="EA122" s="8">
        <v>5</v>
      </c>
      <c r="EB122" s="8">
        <v>9</v>
      </c>
      <c r="EC122" s="8">
        <v>10</v>
      </c>
      <c r="ED122" s="8">
        <v>2</v>
      </c>
      <c r="EE122" s="8">
        <v>9</v>
      </c>
      <c r="EF122" s="8">
        <v>10</v>
      </c>
      <c r="EG122" s="8">
        <v>4</v>
      </c>
      <c r="EH122" s="8">
        <v>87</v>
      </c>
      <c r="EI122" s="8">
        <v>21</v>
      </c>
      <c r="EJ122" s="8">
        <v>30</v>
      </c>
      <c r="EK122" s="8">
        <f t="shared" si="341"/>
        <v>187</v>
      </c>
      <c r="EL122" s="9">
        <v>87</v>
      </c>
      <c r="EM122" s="23">
        <v>4</v>
      </c>
      <c r="EN122" s="21">
        <v>7.6</v>
      </c>
      <c r="EO122" s="21">
        <v>2.4700000000000002</v>
      </c>
      <c r="EP122" s="22">
        <v>67.5</v>
      </c>
      <c r="EQ122" s="21">
        <v>29.4</v>
      </c>
      <c r="ER122" s="21">
        <v>2.1800000000000002</v>
      </c>
      <c r="ES122" s="23" t="s">
        <v>141</v>
      </c>
      <c r="ET122" s="23"/>
      <c r="EU122" s="23"/>
      <c r="EV122" s="23"/>
      <c r="EW122" s="23"/>
      <c r="EX122" s="23"/>
      <c r="EY122" s="23"/>
    </row>
    <row r="123" spans="1:155" s="401" customFormat="1" ht="17.100000000000001" customHeight="1" thickBot="1">
      <c r="A123" s="175"/>
      <c r="B123" s="400" t="s">
        <v>287</v>
      </c>
      <c r="C123" s="191"/>
      <c r="D123" s="318" t="e">
        <f t="shared" si="342"/>
        <v>#DIV/0!</v>
      </c>
      <c r="E123" s="321" t="e">
        <f t="shared" si="343"/>
        <v>#DIV/0!</v>
      </c>
      <c r="F123" s="321"/>
      <c r="G123" s="324"/>
      <c r="H123" s="307"/>
      <c r="I123" s="310"/>
      <c r="J123" s="310"/>
      <c r="K123" s="366"/>
      <c r="L123" s="366"/>
      <c r="M123" s="310"/>
      <c r="N123" s="310"/>
      <c r="O123" s="310"/>
      <c r="P123" s="302"/>
      <c r="Q123" s="304"/>
      <c r="R123" s="307"/>
      <c r="S123" s="310"/>
      <c r="T123" s="310"/>
      <c r="U123" s="366"/>
      <c r="V123" s="366"/>
      <c r="W123" s="310"/>
      <c r="X123" s="337"/>
      <c r="Y123" s="307"/>
      <c r="Z123" s="310"/>
      <c r="AA123" s="310"/>
      <c r="AB123" s="366"/>
      <c r="AC123" s="366"/>
      <c r="AD123" s="310"/>
      <c r="AE123" s="337"/>
      <c r="AF123" s="307"/>
      <c r="AG123" s="302"/>
      <c r="AH123" s="302"/>
      <c r="AI123" s="363"/>
      <c r="AJ123" s="363"/>
      <c r="AK123" s="302"/>
      <c r="AL123" s="304"/>
      <c r="AM123" s="334"/>
      <c r="AN123" s="302"/>
      <c r="AO123" s="302"/>
      <c r="AP123" s="363"/>
      <c r="AQ123" s="363"/>
      <c r="AR123" s="302"/>
      <c r="AS123" s="302"/>
      <c r="AT123" s="334"/>
      <c r="AU123" s="302"/>
      <c r="AV123" s="302"/>
      <c r="AW123" s="363"/>
      <c r="AX123" s="363"/>
      <c r="AY123" s="302"/>
      <c r="AZ123" s="304"/>
      <c r="BA123" s="334"/>
      <c r="BB123" s="334"/>
      <c r="BC123" s="334"/>
      <c r="BD123" s="369"/>
      <c r="BE123" s="369"/>
      <c r="BF123" s="334"/>
      <c r="BG123" s="334"/>
      <c r="BH123" s="334"/>
      <c r="BI123" s="302"/>
      <c r="BJ123" s="302"/>
      <c r="BK123" s="302"/>
      <c r="BL123" s="302"/>
      <c r="BM123" s="302"/>
      <c r="BN123" s="304"/>
      <c r="BO123" s="217">
        <v>71.3</v>
      </c>
      <c r="BP123" s="217">
        <v>0.38600000000000001</v>
      </c>
      <c r="BQ123" s="217">
        <v>4.78</v>
      </c>
      <c r="BR123" s="217">
        <v>72.2</v>
      </c>
      <c r="BS123" s="340">
        <v>0.95399999999999996</v>
      </c>
      <c r="BT123" s="217">
        <v>5.5</v>
      </c>
      <c r="BU123" s="219">
        <v>7.25</v>
      </c>
      <c r="BV123" s="219">
        <v>1.1000000000000001</v>
      </c>
      <c r="BW123" s="219">
        <v>1000</v>
      </c>
      <c r="BX123" s="219">
        <v>4.7300000000000004</v>
      </c>
      <c r="BY123" s="219">
        <v>8.3000000000000007</v>
      </c>
      <c r="BZ123" s="219">
        <v>5300</v>
      </c>
      <c r="CA123" s="219">
        <v>6.96</v>
      </c>
      <c r="CB123" s="219">
        <v>1.42</v>
      </c>
      <c r="CC123" s="219">
        <v>1110</v>
      </c>
      <c r="CD123" s="219">
        <v>6.41</v>
      </c>
      <c r="CE123" s="219">
        <v>3.64</v>
      </c>
      <c r="CF123" s="219">
        <v>3300</v>
      </c>
      <c r="CG123" s="219">
        <v>6.88</v>
      </c>
      <c r="CH123" s="219">
        <v>1.46</v>
      </c>
      <c r="CI123" s="219">
        <v>1090</v>
      </c>
      <c r="CJ123" s="219">
        <v>7.54</v>
      </c>
      <c r="CK123" s="219">
        <v>3.35</v>
      </c>
      <c r="CL123" s="219">
        <v>3000</v>
      </c>
      <c r="CM123" s="221"/>
      <c r="CN123" s="221"/>
      <c r="CO123" s="98"/>
      <c r="CP123" s="99"/>
      <c r="CQ123" s="99"/>
      <c r="CR123" s="100"/>
      <c r="CS123" s="99"/>
      <c r="CT123" s="99"/>
      <c r="CU123" s="153"/>
      <c r="CV123" s="102"/>
      <c r="CW123" s="102"/>
      <c r="CX123" s="102"/>
      <c r="CY123" s="98"/>
      <c r="CZ123" s="99"/>
      <c r="DA123" s="99"/>
      <c r="DB123" s="100"/>
      <c r="DC123" s="99"/>
      <c r="DD123" s="99"/>
      <c r="DE123" s="153"/>
      <c r="DF123" s="102"/>
      <c r="DG123" s="102"/>
      <c r="DH123" s="102"/>
      <c r="DI123" s="101"/>
      <c r="DJ123" s="99"/>
      <c r="DK123" s="99"/>
      <c r="DL123" s="100"/>
      <c r="DM123" s="99"/>
      <c r="DN123" s="99"/>
      <c r="DO123" s="101"/>
      <c r="DP123" s="101"/>
      <c r="DQ123" s="101"/>
      <c r="DR123" s="101"/>
      <c r="DS123" s="156"/>
      <c r="DT123" s="99"/>
      <c r="DU123" s="99"/>
      <c r="DV123" s="100"/>
      <c r="DW123" s="99"/>
      <c r="DX123" s="99"/>
      <c r="DY123" s="153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6" t="s">
        <v>209</v>
      </c>
      <c r="EM123" s="101">
        <v>8</v>
      </c>
      <c r="EN123" s="99">
        <v>7.51</v>
      </c>
      <c r="EO123" s="99">
        <v>2.0499999999999998</v>
      </c>
      <c r="EP123" s="100">
        <v>68.099999999999994</v>
      </c>
      <c r="EQ123" s="99">
        <v>29.2</v>
      </c>
      <c r="ER123" s="99">
        <v>2.17</v>
      </c>
      <c r="ES123" s="101" t="s">
        <v>131</v>
      </c>
      <c r="ET123" s="101"/>
      <c r="EU123" s="101"/>
      <c r="EV123" s="101"/>
      <c r="EW123" s="101"/>
      <c r="EX123" s="101"/>
      <c r="EY123" s="101"/>
    </row>
    <row r="124" spans="1:155" s="398" customFormat="1" ht="17.100000000000001" customHeight="1">
      <c r="A124" s="173">
        <v>30</v>
      </c>
      <c r="B124" s="397" t="s">
        <v>288</v>
      </c>
      <c r="C124" s="189" t="s">
        <v>96</v>
      </c>
      <c r="D124" s="316">
        <f t="shared" ref="D124" si="344">(I124+H124)/(H124+I124+J124)*100</f>
        <v>72.340425531914903</v>
      </c>
      <c r="E124" s="319">
        <f t="shared" ref="E124" si="345">J124/(H124+I124+J124)*100</f>
        <v>27.659574468085108</v>
      </c>
      <c r="F124" s="319"/>
      <c r="G124" s="322"/>
      <c r="H124" s="305">
        <v>17</v>
      </c>
      <c r="I124" s="308">
        <v>0</v>
      </c>
      <c r="J124" s="308">
        <v>6.5</v>
      </c>
      <c r="K124" s="364">
        <v>0.32</v>
      </c>
      <c r="L124" s="364">
        <v>4.0999999999999996</v>
      </c>
      <c r="M124" s="308">
        <v>4.3</v>
      </c>
      <c r="N124" s="308">
        <v>0.9</v>
      </c>
      <c r="O124" s="308">
        <v>0.1</v>
      </c>
      <c r="P124" s="301"/>
      <c r="Q124" s="303"/>
      <c r="R124" s="305">
        <v>0.94</v>
      </c>
      <c r="S124" s="308">
        <v>0</v>
      </c>
      <c r="T124" s="308">
        <v>0.42</v>
      </c>
      <c r="U124" s="364">
        <v>0</v>
      </c>
      <c r="V124" s="364">
        <v>3.22</v>
      </c>
      <c r="W124" s="308">
        <v>3.48</v>
      </c>
      <c r="X124" s="335">
        <v>20.5</v>
      </c>
      <c r="Y124" s="305">
        <f t="shared" ref="Y124:AD124" si="346">H124*R124*10</f>
        <v>159.79999999999998</v>
      </c>
      <c r="Z124" s="308">
        <f t="shared" si="346"/>
        <v>0</v>
      </c>
      <c r="AA124" s="308">
        <f t="shared" si="346"/>
        <v>27.3</v>
      </c>
      <c r="AB124" s="364">
        <f t="shared" si="346"/>
        <v>0</v>
      </c>
      <c r="AC124" s="364">
        <f t="shared" si="346"/>
        <v>132.02000000000001</v>
      </c>
      <c r="AD124" s="308">
        <f t="shared" si="346"/>
        <v>149.63999999999999</v>
      </c>
      <c r="AE124" s="335">
        <f t="shared" ref="AE124" si="347">X124*O124*10</f>
        <v>20.500000000000004</v>
      </c>
      <c r="AF124" s="305">
        <v>12.1</v>
      </c>
      <c r="AG124" s="301">
        <v>0</v>
      </c>
      <c r="AH124" s="301">
        <v>1.8</v>
      </c>
      <c r="AI124" s="361">
        <v>30.2</v>
      </c>
      <c r="AJ124" s="361">
        <v>42.8</v>
      </c>
      <c r="AK124" s="301">
        <v>30.2</v>
      </c>
      <c r="AL124" s="303">
        <v>85.3</v>
      </c>
      <c r="AM124" s="332">
        <f t="shared" ref="AM124" si="348">AF124*10*H124</f>
        <v>2057</v>
      </c>
      <c r="AN124" s="301">
        <f t="shared" ref="AN124:AS124" si="349">AG124*I124*10</f>
        <v>0</v>
      </c>
      <c r="AO124" s="301">
        <f t="shared" si="349"/>
        <v>117.00000000000001</v>
      </c>
      <c r="AP124" s="361">
        <f t="shared" si="349"/>
        <v>96.64</v>
      </c>
      <c r="AQ124" s="361">
        <f t="shared" si="349"/>
        <v>1754.7999999999997</v>
      </c>
      <c r="AR124" s="301">
        <f t="shared" si="349"/>
        <v>1298.5999999999999</v>
      </c>
      <c r="AS124" s="301">
        <f t="shared" si="349"/>
        <v>767.69999999999993</v>
      </c>
      <c r="AT124" s="332">
        <v>20.6</v>
      </c>
      <c r="AU124" s="301">
        <v>0</v>
      </c>
      <c r="AV124" s="301">
        <v>51.4</v>
      </c>
      <c r="AW124" s="361">
        <v>18.2</v>
      </c>
      <c r="AX124" s="361">
        <v>28.5</v>
      </c>
      <c r="AY124" s="301">
        <v>18.2</v>
      </c>
      <c r="AZ124" s="303">
        <v>27.5</v>
      </c>
      <c r="BA124" s="332">
        <f t="shared" ref="BA124:BG124" si="350">(H124*3*1000)/(1-AT124/100)</f>
        <v>64231.738035264483</v>
      </c>
      <c r="BB124" s="332">
        <f t="shared" si="350"/>
        <v>0</v>
      </c>
      <c r="BC124" s="332">
        <f t="shared" si="350"/>
        <v>40123.456790123455</v>
      </c>
      <c r="BD124" s="367">
        <f t="shared" si="350"/>
        <v>1173.5941320293398</v>
      </c>
      <c r="BE124" s="367">
        <f t="shared" si="350"/>
        <v>17202.797202797199</v>
      </c>
      <c r="BF124" s="332">
        <f t="shared" si="350"/>
        <v>15770.171149144251</v>
      </c>
      <c r="BG124" s="332">
        <f t="shared" si="350"/>
        <v>3724.1379310344828</v>
      </c>
      <c r="BH124" s="332">
        <f t="shared" ref="BH124" si="351">H124+I124+J124</f>
        <v>23.5</v>
      </c>
      <c r="BI124" s="301">
        <f t="shared" ref="BI124" si="352">K124+L124+M124+N124+O124</f>
        <v>9.7199999999999989</v>
      </c>
      <c r="BJ124" s="301">
        <f t="shared" ref="BJ124" si="353">BH124+BI124</f>
        <v>33.22</v>
      </c>
      <c r="BK124" s="301">
        <f t="shared" ref="BK124" si="354">Y124+Z124+AA124+AB124+AC124+AD124+AE124</f>
        <v>489.26</v>
      </c>
      <c r="BL124" s="301">
        <f t="shared" ref="BL124" si="355">AM124+AN124+AO124+AP124+AQ124+AR124+AS124</f>
        <v>6091.7399999999989</v>
      </c>
      <c r="BM124" s="301">
        <f t="shared" ref="BM124" si="356">BJ124*3*1000</f>
        <v>99660</v>
      </c>
      <c r="BN124" s="303">
        <f t="shared" ref="BN124" si="357">BA124+BB124+BC124+BD124+BE124+BF124+BG124</f>
        <v>142225.89524039321</v>
      </c>
      <c r="BO124" s="216">
        <v>72.099999999999994</v>
      </c>
      <c r="BP124" s="216">
        <v>0.73699999999999999</v>
      </c>
      <c r="BQ124" s="216">
        <v>6.34</v>
      </c>
      <c r="BR124" s="216">
        <v>68.400000000000006</v>
      </c>
      <c r="BS124" s="338">
        <v>0.69099999999999995</v>
      </c>
      <c r="BT124" s="216">
        <v>5.91</v>
      </c>
      <c r="BU124" s="218">
        <v>7.1</v>
      </c>
      <c r="BV124" s="218">
        <v>1.53</v>
      </c>
      <c r="BW124" s="218">
        <v>1280</v>
      </c>
      <c r="BX124" s="218">
        <v>4.96</v>
      </c>
      <c r="BY124" s="218">
        <v>8.9</v>
      </c>
      <c r="BZ124" s="218">
        <v>7500</v>
      </c>
      <c r="CA124" s="218">
        <v>7.4</v>
      </c>
      <c r="CB124" s="218">
        <v>1.52</v>
      </c>
      <c r="CC124" s="218">
        <v>1320</v>
      </c>
      <c r="CD124" s="218">
        <v>6.9</v>
      </c>
      <c r="CE124" s="218">
        <v>4.09</v>
      </c>
      <c r="CF124" s="218">
        <v>3000</v>
      </c>
      <c r="CG124" s="218">
        <v>7.2</v>
      </c>
      <c r="CH124" s="218">
        <v>1.48</v>
      </c>
      <c r="CI124" s="218">
        <v>1200</v>
      </c>
      <c r="CJ124" s="218">
        <v>7.5</v>
      </c>
      <c r="CK124" s="218">
        <v>3.58</v>
      </c>
      <c r="CL124" s="218">
        <v>2800</v>
      </c>
      <c r="CM124" s="220">
        <v>0</v>
      </c>
      <c r="CN124" s="220">
        <v>0</v>
      </c>
      <c r="CO124" s="75">
        <v>9</v>
      </c>
      <c r="CP124" s="122" t="s">
        <v>185</v>
      </c>
      <c r="CQ124" s="122">
        <v>1.98</v>
      </c>
      <c r="CR124" s="123">
        <v>73.400000000000006</v>
      </c>
      <c r="CS124" s="122">
        <v>20.100000000000001</v>
      </c>
      <c r="CT124" s="122">
        <v>1.49</v>
      </c>
      <c r="CU124" s="152" t="s">
        <v>210</v>
      </c>
      <c r="CV124" s="79">
        <v>2.7</v>
      </c>
      <c r="CW124" s="79">
        <v>6</v>
      </c>
      <c r="CX124" s="79">
        <v>60</v>
      </c>
      <c r="CY124" s="75">
        <v>11</v>
      </c>
      <c r="CZ124" s="122">
        <v>7.79</v>
      </c>
      <c r="DA124" s="122">
        <v>2.0699999999999998</v>
      </c>
      <c r="DB124" s="123">
        <v>74.8</v>
      </c>
      <c r="DC124" s="122">
        <v>21.7</v>
      </c>
      <c r="DD124" s="122">
        <v>1.68</v>
      </c>
      <c r="DE124" s="152" t="s">
        <v>211</v>
      </c>
      <c r="DF124" s="79">
        <v>2.1</v>
      </c>
      <c r="DG124" s="79">
        <v>10</v>
      </c>
      <c r="DH124" s="79">
        <v>37</v>
      </c>
      <c r="DP124" s="154"/>
      <c r="DQ124" s="154"/>
      <c r="DR124" s="154"/>
      <c r="DS124" s="155">
        <v>6</v>
      </c>
      <c r="DT124" s="122">
        <v>7.7</v>
      </c>
      <c r="DU124" s="122">
        <v>2.17</v>
      </c>
      <c r="DV124" s="123">
        <v>74.2</v>
      </c>
      <c r="DW124" s="122">
        <v>23.6</v>
      </c>
      <c r="DX124" s="122">
        <v>1.89</v>
      </c>
      <c r="DY124" s="152" t="s">
        <v>166</v>
      </c>
      <c r="DZ124" s="79">
        <v>1.95</v>
      </c>
      <c r="EA124" s="79">
        <v>2</v>
      </c>
      <c r="EB124" s="79">
        <v>12</v>
      </c>
      <c r="EC124" s="79">
        <v>8</v>
      </c>
      <c r="ED124" s="79">
        <v>6</v>
      </c>
      <c r="EE124" s="79">
        <v>10</v>
      </c>
      <c r="EF124" s="79">
        <v>8</v>
      </c>
      <c r="EG124" s="79">
        <v>6</v>
      </c>
      <c r="EH124" s="79">
        <v>89</v>
      </c>
      <c r="EI124" s="79">
        <v>8</v>
      </c>
      <c r="EJ124" s="79">
        <v>18</v>
      </c>
      <c r="EK124" s="79">
        <f t="shared" ref="EK124:EK126" si="358">EA124+EB124+EC124+ED124+EE124+EF124+EG124+EH124+EI124+EJ124</f>
        <v>167</v>
      </c>
      <c r="EL124" s="87">
        <v>88</v>
      </c>
      <c r="EM124" s="121">
        <v>88</v>
      </c>
      <c r="EN124" s="122">
        <v>7.64</v>
      </c>
      <c r="EO124" s="122">
        <v>2.4500000000000002</v>
      </c>
      <c r="EP124" s="123">
        <v>68.3</v>
      </c>
      <c r="EQ124" s="122">
        <v>28.5</v>
      </c>
      <c r="ER124" s="122">
        <v>2.2400000000000002</v>
      </c>
      <c r="ES124" s="121" t="s">
        <v>200</v>
      </c>
      <c r="ET124" s="121"/>
      <c r="EU124" s="121"/>
      <c r="EV124" s="121"/>
      <c r="EW124" s="121"/>
      <c r="EX124" s="121"/>
      <c r="EY124" s="121"/>
    </row>
    <row r="125" spans="1:155" ht="17.100000000000001" customHeight="1">
      <c r="A125" s="174"/>
      <c r="B125" s="397" t="s">
        <v>288</v>
      </c>
      <c r="C125" s="190"/>
      <c r="D125" s="317" t="e">
        <f t="shared" ref="D125:D127" si="359">(I125+H125)/(H125+I125+J125+K125+L125)*100</f>
        <v>#DIV/0!</v>
      </c>
      <c r="E125" s="320" t="e">
        <f t="shared" ref="E125:E127" si="360">J125/(H125+I125+J125+K125+L125)*100</f>
        <v>#DIV/0!</v>
      </c>
      <c r="F125" s="320"/>
      <c r="G125" s="323"/>
      <c r="H125" s="306"/>
      <c r="I125" s="309"/>
      <c r="J125" s="309"/>
      <c r="K125" s="365"/>
      <c r="L125" s="365"/>
      <c r="M125" s="309"/>
      <c r="N125" s="309"/>
      <c r="O125" s="309"/>
      <c r="P125" s="211"/>
      <c r="Q125" s="214"/>
      <c r="R125" s="306"/>
      <c r="S125" s="309"/>
      <c r="T125" s="309"/>
      <c r="U125" s="365"/>
      <c r="V125" s="365"/>
      <c r="W125" s="309"/>
      <c r="X125" s="336"/>
      <c r="Y125" s="306"/>
      <c r="Z125" s="309"/>
      <c r="AA125" s="309"/>
      <c r="AB125" s="365"/>
      <c r="AC125" s="365"/>
      <c r="AD125" s="309"/>
      <c r="AE125" s="336"/>
      <c r="AF125" s="306"/>
      <c r="AG125" s="211"/>
      <c r="AH125" s="211"/>
      <c r="AI125" s="362"/>
      <c r="AJ125" s="362"/>
      <c r="AK125" s="211"/>
      <c r="AL125" s="214"/>
      <c r="AM125" s="333"/>
      <c r="AN125" s="211"/>
      <c r="AO125" s="211"/>
      <c r="AP125" s="362"/>
      <c r="AQ125" s="362"/>
      <c r="AR125" s="211"/>
      <c r="AS125" s="211"/>
      <c r="AT125" s="333"/>
      <c r="AU125" s="211"/>
      <c r="AV125" s="211"/>
      <c r="AW125" s="362"/>
      <c r="AX125" s="362"/>
      <c r="AY125" s="211"/>
      <c r="AZ125" s="214"/>
      <c r="BA125" s="333"/>
      <c r="BB125" s="333"/>
      <c r="BC125" s="333"/>
      <c r="BD125" s="368"/>
      <c r="BE125" s="368"/>
      <c r="BF125" s="333"/>
      <c r="BG125" s="333"/>
      <c r="BH125" s="333"/>
      <c r="BI125" s="211"/>
      <c r="BJ125" s="211"/>
      <c r="BK125" s="211"/>
      <c r="BL125" s="211"/>
      <c r="BM125" s="211"/>
      <c r="BN125" s="214"/>
      <c r="BO125" s="196">
        <v>71.599999999999994</v>
      </c>
      <c r="BP125" s="196">
        <v>0.73299999999999998</v>
      </c>
      <c r="BQ125" s="196">
        <v>7.41</v>
      </c>
      <c r="BR125" s="196">
        <v>76.2</v>
      </c>
      <c r="BS125" s="339">
        <v>0.59199999999999997</v>
      </c>
      <c r="BT125" s="196">
        <v>7.53</v>
      </c>
      <c r="BU125" s="193">
        <v>7.21</v>
      </c>
      <c r="BV125" s="193">
        <v>1.24</v>
      </c>
      <c r="BW125" s="193">
        <v>900</v>
      </c>
      <c r="BX125" s="193">
        <v>6.09</v>
      </c>
      <c r="BY125" s="193">
        <v>7.8</v>
      </c>
      <c r="BZ125" s="193">
        <v>5700</v>
      </c>
      <c r="CA125" s="193">
        <v>7.01</v>
      </c>
      <c r="CB125" s="193">
        <v>1.2</v>
      </c>
      <c r="CC125" s="193">
        <v>1001</v>
      </c>
      <c r="CD125" s="193">
        <v>6.73</v>
      </c>
      <c r="CE125" s="193">
        <v>4.53</v>
      </c>
      <c r="CF125" s="193">
        <v>4000</v>
      </c>
      <c r="CG125" s="193">
        <v>6.97</v>
      </c>
      <c r="CH125" s="193">
        <v>1.53</v>
      </c>
      <c r="CI125" s="193">
        <v>1170</v>
      </c>
      <c r="CJ125" s="193">
        <v>7.68</v>
      </c>
      <c r="CK125" s="193">
        <v>2.85</v>
      </c>
      <c r="CL125" s="193">
        <v>2600</v>
      </c>
      <c r="CM125" s="205"/>
      <c r="CN125" s="205"/>
      <c r="CO125" s="13">
        <v>10</v>
      </c>
      <c r="CP125" s="21">
        <v>7.78</v>
      </c>
      <c r="CQ125" s="21">
        <v>1.94</v>
      </c>
      <c r="CR125" s="22">
        <v>75.400000000000006</v>
      </c>
      <c r="CS125" s="21">
        <v>19.7</v>
      </c>
      <c r="CT125" s="21">
        <v>1.47</v>
      </c>
      <c r="CU125" s="40" t="s">
        <v>212</v>
      </c>
      <c r="CV125" s="8">
        <v>2.7</v>
      </c>
      <c r="CW125" s="8">
        <v>6</v>
      </c>
      <c r="CX125" s="8">
        <v>62</v>
      </c>
      <c r="CY125" s="13">
        <v>6</v>
      </c>
      <c r="CZ125" s="21">
        <v>7.88</v>
      </c>
      <c r="DA125" s="21">
        <v>2.11</v>
      </c>
      <c r="DB125" s="22">
        <v>74.8</v>
      </c>
      <c r="DC125" s="21">
        <v>20.9</v>
      </c>
      <c r="DD125" s="21">
        <v>1.75</v>
      </c>
      <c r="DE125" s="40" t="s">
        <v>107</v>
      </c>
      <c r="DF125" s="8">
        <v>2.1</v>
      </c>
      <c r="DG125" s="8">
        <v>15</v>
      </c>
      <c r="DH125" s="8">
        <v>46</v>
      </c>
      <c r="DI125" s="23"/>
      <c r="DJ125" s="21"/>
      <c r="DK125" s="21"/>
      <c r="DL125" s="22"/>
      <c r="DM125" s="21"/>
      <c r="DN125" s="21"/>
      <c r="DO125" s="23"/>
      <c r="DP125" s="23"/>
      <c r="DQ125" s="23"/>
      <c r="DR125" s="23"/>
      <c r="DS125" s="41">
        <v>5</v>
      </c>
      <c r="DT125" s="21">
        <v>7.67</v>
      </c>
      <c r="DU125" s="21">
        <v>2.2200000000000002</v>
      </c>
      <c r="DV125" s="22">
        <v>74</v>
      </c>
      <c r="DW125" s="21">
        <v>23.1</v>
      </c>
      <c r="DX125" s="21">
        <v>1.88</v>
      </c>
      <c r="DY125" s="40" t="s">
        <v>213</v>
      </c>
      <c r="DZ125" s="8">
        <v>2</v>
      </c>
      <c r="EA125" s="8">
        <v>10</v>
      </c>
      <c r="EB125" s="8">
        <v>4</v>
      </c>
      <c r="EC125" s="8">
        <v>8</v>
      </c>
      <c r="ED125" s="8">
        <v>0</v>
      </c>
      <c r="EE125" s="8">
        <v>8</v>
      </c>
      <c r="EF125" s="8">
        <v>14</v>
      </c>
      <c r="EG125" s="8">
        <v>0</v>
      </c>
      <c r="EH125" s="8">
        <v>92</v>
      </c>
      <c r="EI125" s="8">
        <v>15</v>
      </c>
      <c r="EJ125" s="8">
        <v>24</v>
      </c>
      <c r="EK125" s="8">
        <f t="shared" si="358"/>
        <v>175</v>
      </c>
      <c r="EL125" s="9">
        <v>89</v>
      </c>
      <c r="EM125" s="23">
        <v>48</v>
      </c>
      <c r="EN125" s="21">
        <v>7.6</v>
      </c>
      <c r="EO125" s="21">
        <v>2.75</v>
      </c>
      <c r="EP125" s="22">
        <v>67.400000000000006</v>
      </c>
      <c r="EQ125" s="21">
        <v>28.6</v>
      </c>
      <c r="ER125" s="21">
        <v>2.2400000000000002</v>
      </c>
      <c r="ES125" s="23" t="s">
        <v>200</v>
      </c>
      <c r="ET125" s="23"/>
      <c r="EU125" s="23"/>
      <c r="EV125" s="23"/>
      <c r="EW125" s="23"/>
      <c r="EX125" s="23"/>
      <c r="EY125" s="23"/>
    </row>
    <row r="126" spans="1:155" ht="17.100000000000001" customHeight="1">
      <c r="A126" s="174"/>
      <c r="B126" s="397" t="s">
        <v>288</v>
      </c>
      <c r="C126" s="190"/>
      <c r="D126" s="317" t="e">
        <f t="shared" si="359"/>
        <v>#DIV/0!</v>
      </c>
      <c r="E126" s="320" t="e">
        <f t="shared" si="360"/>
        <v>#DIV/0!</v>
      </c>
      <c r="F126" s="320"/>
      <c r="G126" s="323"/>
      <c r="H126" s="306"/>
      <c r="I126" s="309"/>
      <c r="J126" s="309"/>
      <c r="K126" s="365"/>
      <c r="L126" s="365"/>
      <c r="M126" s="309"/>
      <c r="N126" s="309"/>
      <c r="O126" s="309"/>
      <c r="P126" s="211"/>
      <c r="Q126" s="214"/>
      <c r="R126" s="306"/>
      <c r="S126" s="309"/>
      <c r="T126" s="309"/>
      <c r="U126" s="365"/>
      <c r="V126" s="365"/>
      <c r="W126" s="309"/>
      <c r="X126" s="336"/>
      <c r="Y126" s="306"/>
      <c r="Z126" s="309"/>
      <c r="AA126" s="309"/>
      <c r="AB126" s="365"/>
      <c r="AC126" s="365"/>
      <c r="AD126" s="309"/>
      <c r="AE126" s="336"/>
      <c r="AF126" s="306"/>
      <c r="AG126" s="211"/>
      <c r="AH126" s="211"/>
      <c r="AI126" s="362"/>
      <c r="AJ126" s="362"/>
      <c r="AK126" s="211"/>
      <c r="AL126" s="214"/>
      <c r="AM126" s="333"/>
      <c r="AN126" s="211"/>
      <c r="AO126" s="211"/>
      <c r="AP126" s="362"/>
      <c r="AQ126" s="362"/>
      <c r="AR126" s="211"/>
      <c r="AS126" s="211"/>
      <c r="AT126" s="333"/>
      <c r="AU126" s="211"/>
      <c r="AV126" s="211"/>
      <c r="AW126" s="362"/>
      <c r="AX126" s="362"/>
      <c r="AY126" s="211"/>
      <c r="AZ126" s="214"/>
      <c r="BA126" s="333"/>
      <c r="BB126" s="333"/>
      <c r="BC126" s="333"/>
      <c r="BD126" s="368"/>
      <c r="BE126" s="368"/>
      <c r="BF126" s="333"/>
      <c r="BG126" s="333"/>
      <c r="BH126" s="333"/>
      <c r="BI126" s="211"/>
      <c r="BJ126" s="211"/>
      <c r="BK126" s="211"/>
      <c r="BL126" s="211"/>
      <c r="BM126" s="211"/>
      <c r="BN126" s="214"/>
      <c r="BO126" s="196">
        <v>71.3</v>
      </c>
      <c r="BP126" s="196">
        <v>0.38600000000000001</v>
      </c>
      <c r="BQ126" s="196">
        <v>4.78</v>
      </c>
      <c r="BR126" s="196">
        <v>72.2</v>
      </c>
      <c r="BS126" s="339">
        <v>0.95399999999999996</v>
      </c>
      <c r="BT126" s="196">
        <v>5.5</v>
      </c>
      <c r="BU126" s="193">
        <v>7.25</v>
      </c>
      <c r="BV126" s="193">
        <v>1.1000000000000001</v>
      </c>
      <c r="BW126" s="193">
        <v>1000</v>
      </c>
      <c r="BX126" s="193">
        <v>4.7300000000000004</v>
      </c>
      <c r="BY126" s="193">
        <v>8.3000000000000007</v>
      </c>
      <c r="BZ126" s="193">
        <v>5300</v>
      </c>
      <c r="CA126" s="193">
        <v>6.96</v>
      </c>
      <c r="CB126" s="193">
        <v>1.42</v>
      </c>
      <c r="CC126" s="193">
        <v>1110</v>
      </c>
      <c r="CD126" s="193">
        <v>6.41</v>
      </c>
      <c r="CE126" s="193">
        <v>3.64</v>
      </c>
      <c r="CF126" s="193">
        <v>3300</v>
      </c>
      <c r="CG126" s="193">
        <v>6.88</v>
      </c>
      <c r="CH126" s="193">
        <v>1.46</v>
      </c>
      <c r="CI126" s="193">
        <v>1090</v>
      </c>
      <c r="CJ126" s="193">
        <v>7.54</v>
      </c>
      <c r="CK126" s="193">
        <v>3.35</v>
      </c>
      <c r="CL126" s="193">
        <v>3000</v>
      </c>
      <c r="CM126" s="205"/>
      <c r="CN126" s="205"/>
      <c r="CO126" s="13">
        <v>3</v>
      </c>
      <c r="CP126" s="21" t="s">
        <v>214</v>
      </c>
      <c r="CQ126" s="21">
        <v>2.02</v>
      </c>
      <c r="CR126" s="22">
        <v>75</v>
      </c>
      <c r="CS126" s="21">
        <v>20.6</v>
      </c>
      <c r="CT126" s="21">
        <v>1.47</v>
      </c>
      <c r="CU126" s="40" t="s">
        <v>106</v>
      </c>
      <c r="CV126" s="8">
        <v>2.7</v>
      </c>
      <c r="CW126" s="8">
        <v>6</v>
      </c>
      <c r="CX126" s="8">
        <v>61</v>
      </c>
      <c r="CY126" s="13">
        <v>10</v>
      </c>
      <c r="CZ126" s="21">
        <v>7.7</v>
      </c>
      <c r="DA126" s="21">
        <v>2.1800000000000002</v>
      </c>
      <c r="DB126" s="22">
        <v>74.7</v>
      </c>
      <c r="DC126" s="21">
        <v>21.5</v>
      </c>
      <c r="DD126" s="21">
        <v>1.69</v>
      </c>
      <c r="DE126" s="40" t="s">
        <v>100</v>
      </c>
      <c r="DF126" s="8">
        <v>2.1</v>
      </c>
      <c r="DG126" s="8">
        <v>10</v>
      </c>
      <c r="DH126" s="8">
        <v>18</v>
      </c>
      <c r="DI126" s="23"/>
      <c r="DJ126" s="21"/>
      <c r="DK126" s="21"/>
      <c r="DL126" s="22"/>
      <c r="DM126" s="21"/>
      <c r="DN126" s="21"/>
      <c r="DO126" s="23"/>
      <c r="DP126" s="23"/>
      <c r="DQ126" s="23"/>
      <c r="DR126" s="23"/>
      <c r="DS126" s="41">
        <v>7</v>
      </c>
      <c r="DT126" s="21">
        <v>7.78</v>
      </c>
      <c r="DU126" s="21">
        <v>2.1</v>
      </c>
      <c r="DV126" s="22">
        <v>74</v>
      </c>
      <c r="DW126" s="21">
        <v>23.4</v>
      </c>
      <c r="DX126" s="21">
        <v>1.83</v>
      </c>
      <c r="DY126" s="40">
        <v>20.9</v>
      </c>
      <c r="DZ126" s="8">
        <v>2.35</v>
      </c>
      <c r="EA126" s="8">
        <v>14</v>
      </c>
      <c r="EB126" s="8">
        <v>2</v>
      </c>
      <c r="EC126" s="8">
        <v>5</v>
      </c>
      <c r="ED126" s="8">
        <v>3</v>
      </c>
      <c r="EE126" s="8">
        <v>8</v>
      </c>
      <c r="EF126" s="8">
        <v>14</v>
      </c>
      <c r="EG126" s="8">
        <v>0</v>
      </c>
      <c r="EH126" s="8">
        <v>92</v>
      </c>
      <c r="EI126" s="8">
        <v>14</v>
      </c>
      <c r="EJ126" s="8">
        <v>18</v>
      </c>
      <c r="EK126" s="8">
        <f t="shared" si="358"/>
        <v>170</v>
      </c>
      <c r="EL126" s="9">
        <v>90</v>
      </c>
      <c r="EM126" s="23">
        <v>15</v>
      </c>
      <c r="EN126" s="21">
        <v>7.79</v>
      </c>
      <c r="EO126" s="21">
        <v>2.56</v>
      </c>
      <c r="EP126" s="22">
        <v>67.599999999999994</v>
      </c>
      <c r="EQ126" s="21">
        <v>27.8</v>
      </c>
      <c r="ER126" s="21">
        <v>2.2400000000000002</v>
      </c>
      <c r="ES126" s="23" t="s">
        <v>141</v>
      </c>
      <c r="ET126" s="23"/>
      <c r="EU126" s="23"/>
      <c r="EV126" s="23"/>
      <c r="EW126" s="23"/>
      <c r="EX126" s="23"/>
      <c r="EY126" s="23"/>
    </row>
    <row r="127" spans="1:155" s="401" customFormat="1" ht="17.100000000000001" customHeight="1" thickBot="1">
      <c r="A127" s="175"/>
      <c r="B127" s="400" t="s">
        <v>288</v>
      </c>
      <c r="C127" s="191"/>
      <c r="D127" s="318" t="e">
        <f t="shared" si="359"/>
        <v>#DIV/0!</v>
      </c>
      <c r="E127" s="321" t="e">
        <f t="shared" si="360"/>
        <v>#DIV/0!</v>
      </c>
      <c r="F127" s="321"/>
      <c r="G127" s="324"/>
      <c r="H127" s="307"/>
      <c r="I127" s="310"/>
      <c r="J127" s="310"/>
      <c r="K127" s="366"/>
      <c r="L127" s="366"/>
      <c r="M127" s="310"/>
      <c r="N127" s="310"/>
      <c r="O127" s="310"/>
      <c r="P127" s="302"/>
      <c r="Q127" s="304"/>
      <c r="R127" s="307"/>
      <c r="S127" s="310"/>
      <c r="T127" s="310"/>
      <c r="U127" s="366"/>
      <c r="V127" s="366"/>
      <c r="W127" s="310"/>
      <c r="X127" s="337"/>
      <c r="Y127" s="307"/>
      <c r="Z127" s="310"/>
      <c r="AA127" s="310"/>
      <c r="AB127" s="366"/>
      <c r="AC127" s="366"/>
      <c r="AD127" s="310"/>
      <c r="AE127" s="337"/>
      <c r="AF127" s="307"/>
      <c r="AG127" s="302"/>
      <c r="AH127" s="302"/>
      <c r="AI127" s="363"/>
      <c r="AJ127" s="363"/>
      <c r="AK127" s="302"/>
      <c r="AL127" s="304"/>
      <c r="AM127" s="334"/>
      <c r="AN127" s="302"/>
      <c r="AO127" s="302"/>
      <c r="AP127" s="363"/>
      <c r="AQ127" s="363"/>
      <c r="AR127" s="302"/>
      <c r="AS127" s="302"/>
      <c r="AT127" s="334"/>
      <c r="AU127" s="302"/>
      <c r="AV127" s="302"/>
      <c r="AW127" s="363"/>
      <c r="AX127" s="363"/>
      <c r="AY127" s="302"/>
      <c r="AZ127" s="304"/>
      <c r="BA127" s="334"/>
      <c r="BB127" s="334"/>
      <c r="BC127" s="334"/>
      <c r="BD127" s="369"/>
      <c r="BE127" s="369"/>
      <c r="BF127" s="334"/>
      <c r="BG127" s="334"/>
      <c r="BH127" s="334"/>
      <c r="BI127" s="302"/>
      <c r="BJ127" s="302"/>
      <c r="BK127" s="302"/>
      <c r="BL127" s="302"/>
      <c r="BM127" s="302"/>
      <c r="BN127" s="304"/>
      <c r="BO127" s="217">
        <v>72.099999999999994</v>
      </c>
      <c r="BP127" s="217">
        <v>0.73699999999999999</v>
      </c>
      <c r="BQ127" s="217">
        <v>6.34</v>
      </c>
      <c r="BR127" s="217">
        <v>68.400000000000006</v>
      </c>
      <c r="BS127" s="340">
        <v>0.69099999999999995</v>
      </c>
      <c r="BT127" s="217">
        <v>5.91</v>
      </c>
      <c r="BU127" s="219">
        <v>7.1</v>
      </c>
      <c r="BV127" s="219">
        <v>1.53</v>
      </c>
      <c r="BW127" s="219">
        <v>1280</v>
      </c>
      <c r="BX127" s="219">
        <v>4.96</v>
      </c>
      <c r="BY127" s="219">
        <v>8.9</v>
      </c>
      <c r="BZ127" s="219">
        <v>7500</v>
      </c>
      <c r="CA127" s="219">
        <v>7.4</v>
      </c>
      <c r="CB127" s="219">
        <v>1.52</v>
      </c>
      <c r="CC127" s="219">
        <v>1320</v>
      </c>
      <c r="CD127" s="219">
        <v>6.9</v>
      </c>
      <c r="CE127" s="219">
        <v>4.09</v>
      </c>
      <c r="CF127" s="219">
        <v>3000</v>
      </c>
      <c r="CG127" s="219">
        <v>7.2</v>
      </c>
      <c r="CH127" s="219">
        <v>1.48</v>
      </c>
      <c r="CI127" s="219">
        <v>1200</v>
      </c>
      <c r="CJ127" s="219">
        <v>7.5</v>
      </c>
      <c r="CK127" s="219">
        <v>3.58</v>
      </c>
      <c r="CL127" s="219">
        <v>2800</v>
      </c>
      <c r="CM127" s="221"/>
      <c r="CN127" s="221"/>
      <c r="CO127" s="98"/>
      <c r="CP127" s="99"/>
      <c r="CQ127" s="99"/>
      <c r="CR127" s="100"/>
      <c r="CS127" s="99"/>
      <c r="CT127" s="99"/>
      <c r="CU127" s="153"/>
      <c r="CV127" s="102"/>
      <c r="CW127" s="102"/>
      <c r="CX127" s="102"/>
      <c r="CY127" s="98"/>
      <c r="CZ127" s="99"/>
      <c r="DA127" s="99"/>
      <c r="DB127" s="100"/>
      <c r="DC127" s="99"/>
      <c r="DD127" s="99"/>
      <c r="DE127" s="153"/>
      <c r="DF127" s="102"/>
      <c r="DG127" s="102"/>
      <c r="DH127" s="102"/>
      <c r="DI127" s="101"/>
      <c r="DJ127" s="99"/>
      <c r="DK127" s="99"/>
      <c r="DL127" s="100"/>
      <c r="DM127" s="99"/>
      <c r="DN127" s="99"/>
      <c r="DO127" s="101"/>
      <c r="DP127" s="101"/>
      <c r="DQ127" s="101"/>
      <c r="DR127" s="101"/>
      <c r="DS127" s="156"/>
      <c r="DT127" s="99"/>
      <c r="DU127" s="99"/>
      <c r="DV127" s="100"/>
      <c r="DW127" s="99"/>
      <c r="DX127" s="99"/>
      <c r="DY127" s="153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6" t="s">
        <v>215</v>
      </c>
      <c r="EM127" s="101">
        <v>11</v>
      </c>
      <c r="EN127" s="99">
        <v>7.69</v>
      </c>
      <c r="EO127" s="99">
        <v>2.7</v>
      </c>
      <c r="EP127" s="100">
        <v>68.2</v>
      </c>
      <c r="EQ127" s="99">
        <v>28</v>
      </c>
      <c r="ER127" s="99">
        <v>2.2599999999999998</v>
      </c>
      <c r="ES127" s="101" t="s">
        <v>200</v>
      </c>
      <c r="ET127" s="101"/>
      <c r="EU127" s="101"/>
      <c r="EV127" s="101"/>
      <c r="EW127" s="101"/>
      <c r="EX127" s="101"/>
      <c r="EY127" s="101"/>
    </row>
    <row r="128" spans="1:155" ht="17.100000000000001" customHeight="1">
      <c r="A128" s="178">
        <v>31</v>
      </c>
      <c r="B128" s="397" t="s">
        <v>289</v>
      </c>
      <c r="C128" s="382" t="s">
        <v>96</v>
      </c>
      <c r="D128" s="373">
        <f t="shared" ref="D128" si="361">(I128+H128)/(H128+I128+J128)*100</f>
        <v>71.489361702127667</v>
      </c>
      <c r="E128" s="375">
        <f t="shared" ref="E128" si="362">J128/(H128+I128+J128)*100</f>
        <v>28.510638297872344</v>
      </c>
      <c r="F128" s="375"/>
      <c r="G128" s="376"/>
      <c r="H128" s="377">
        <v>16.8</v>
      </c>
      <c r="I128" s="370">
        <v>0</v>
      </c>
      <c r="J128" s="370">
        <v>6.7</v>
      </c>
      <c r="K128" s="371">
        <v>0.33300000000000002</v>
      </c>
      <c r="L128" s="370">
        <v>0</v>
      </c>
      <c r="M128" s="370">
        <v>7.6</v>
      </c>
      <c r="N128" s="370">
        <v>1.8</v>
      </c>
      <c r="O128" s="370">
        <v>0</v>
      </c>
      <c r="P128" s="210"/>
      <c r="Q128" s="213"/>
      <c r="R128" s="377">
        <v>1.2</v>
      </c>
      <c r="S128" s="370">
        <v>0</v>
      </c>
      <c r="T128" s="370">
        <v>0.28999999999999998</v>
      </c>
      <c r="U128" s="371">
        <v>0</v>
      </c>
      <c r="V128" s="370">
        <v>0</v>
      </c>
      <c r="W128" s="370">
        <v>3.54</v>
      </c>
      <c r="X128" s="384">
        <v>20.5</v>
      </c>
      <c r="Y128" s="377">
        <f t="shared" ref="Y128:AD128" si="363">H128*R128*10</f>
        <v>201.6</v>
      </c>
      <c r="Z128" s="370">
        <f t="shared" si="363"/>
        <v>0</v>
      </c>
      <c r="AA128" s="370">
        <f t="shared" si="363"/>
        <v>19.43</v>
      </c>
      <c r="AB128" s="370">
        <f t="shared" si="363"/>
        <v>0</v>
      </c>
      <c r="AC128" s="370">
        <f t="shared" si="363"/>
        <v>0</v>
      </c>
      <c r="AD128" s="370">
        <f t="shared" si="363"/>
        <v>269.04000000000002</v>
      </c>
      <c r="AE128" s="384">
        <f t="shared" ref="AE128" si="364">X128*O128*10</f>
        <v>0</v>
      </c>
      <c r="AF128" s="377">
        <v>12.6</v>
      </c>
      <c r="AG128" s="210">
        <v>0</v>
      </c>
      <c r="AH128" s="210">
        <v>2.2000000000000002</v>
      </c>
      <c r="AI128" s="380">
        <v>30.2</v>
      </c>
      <c r="AJ128" s="210">
        <v>0</v>
      </c>
      <c r="AK128" s="210">
        <v>28.5</v>
      </c>
      <c r="AL128" s="213">
        <v>85.3</v>
      </c>
      <c r="AM128" s="379">
        <f t="shared" ref="AM128" si="365">AF128*10*H128</f>
        <v>2116.8000000000002</v>
      </c>
      <c r="AN128" s="210">
        <f t="shared" ref="AN128:AS128" si="366">AG128*I128*10</f>
        <v>0</v>
      </c>
      <c r="AO128" s="210">
        <f t="shared" si="366"/>
        <v>147.40000000000003</v>
      </c>
      <c r="AP128" s="380">
        <f t="shared" si="366"/>
        <v>100.566</v>
      </c>
      <c r="AQ128" s="210">
        <f t="shared" si="366"/>
        <v>0</v>
      </c>
      <c r="AR128" s="210">
        <f t="shared" si="366"/>
        <v>2166</v>
      </c>
      <c r="AS128" s="210">
        <f t="shared" si="366"/>
        <v>1535.3999999999999</v>
      </c>
      <c r="AT128" s="379">
        <v>21.5</v>
      </c>
      <c r="AU128" s="210">
        <v>0</v>
      </c>
      <c r="AV128" s="210">
        <v>50.8</v>
      </c>
      <c r="AW128" s="380">
        <v>18.2</v>
      </c>
      <c r="AX128" s="210">
        <v>0</v>
      </c>
      <c r="AY128" s="210">
        <v>18.2</v>
      </c>
      <c r="AZ128" s="213">
        <v>26.8</v>
      </c>
      <c r="BA128" s="379">
        <f t="shared" ref="BA128:BG128" si="367">(H128*3*1000)/(1-AT128/100)</f>
        <v>64203.821656050961</v>
      </c>
      <c r="BB128" s="379">
        <f t="shared" si="367"/>
        <v>0</v>
      </c>
      <c r="BC128" s="379">
        <f t="shared" si="367"/>
        <v>40853.658536585368</v>
      </c>
      <c r="BD128" s="386">
        <f t="shared" si="367"/>
        <v>1221.2713936430318</v>
      </c>
      <c r="BE128" s="379">
        <f t="shared" si="367"/>
        <v>0</v>
      </c>
      <c r="BF128" s="379">
        <f t="shared" si="367"/>
        <v>27872.860635696816</v>
      </c>
      <c r="BG128" s="379">
        <f t="shared" si="367"/>
        <v>7377.0491803278692</v>
      </c>
      <c r="BH128" s="379">
        <f t="shared" ref="BH128" si="368">H128+I128+J128</f>
        <v>23.5</v>
      </c>
      <c r="BI128" s="210">
        <f t="shared" ref="BI128" si="369">K128+L128+M128+N128+O128</f>
        <v>9.7330000000000005</v>
      </c>
      <c r="BJ128" s="210">
        <f t="shared" ref="BJ128" si="370">BH128+BI128</f>
        <v>33.233000000000004</v>
      </c>
      <c r="BK128" s="210">
        <f t="shared" ref="BK128" si="371">Y128+Z128+AA128+AB128+AC128+AD128+AE128</f>
        <v>490.07000000000005</v>
      </c>
      <c r="BL128" s="210">
        <f t="shared" ref="BL128" si="372">AM128+AN128+AO128+AP128+AQ128+AR128+AS128</f>
        <v>6066.1659999999993</v>
      </c>
      <c r="BM128" s="210">
        <f t="shared" ref="BM128" si="373">BJ128*3*1000</f>
        <v>99699.000000000015</v>
      </c>
      <c r="BN128" s="213">
        <f t="shared" ref="BN128" si="374">BA128+BB128+BC128+BD128+BE128+BF128+BG128</f>
        <v>141528.66140230405</v>
      </c>
      <c r="BO128" s="195">
        <v>71.599999999999994</v>
      </c>
      <c r="BP128" s="195">
        <v>0.55500000000000005</v>
      </c>
      <c r="BQ128" s="195">
        <v>4.93</v>
      </c>
      <c r="BR128" s="195">
        <v>68.8</v>
      </c>
      <c r="BS128" s="388">
        <v>0.54</v>
      </c>
      <c r="BT128" s="195">
        <v>4.18</v>
      </c>
      <c r="BU128" s="192">
        <v>6.8</v>
      </c>
      <c r="BV128" s="192">
        <v>1.43</v>
      </c>
      <c r="BW128" s="192">
        <v>1220</v>
      </c>
      <c r="BX128" s="192">
        <v>5.46</v>
      </c>
      <c r="BY128" s="192">
        <v>7.22</v>
      </c>
      <c r="BZ128" s="192">
        <v>5100</v>
      </c>
      <c r="CA128" s="192">
        <v>6.9</v>
      </c>
      <c r="CB128" s="192">
        <v>1.39</v>
      </c>
      <c r="CC128" s="192">
        <v>1130</v>
      </c>
      <c r="CD128" s="192">
        <v>7.4</v>
      </c>
      <c r="CE128" s="192">
        <v>4.3</v>
      </c>
      <c r="CF128" s="192">
        <v>3700</v>
      </c>
      <c r="CG128" s="192">
        <v>7.21</v>
      </c>
      <c r="CH128" s="192">
        <v>1.43</v>
      </c>
      <c r="CI128" s="192">
        <v>970</v>
      </c>
      <c r="CJ128" s="192">
        <v>7.72</v>
      </c>
      <c r="CK128" s="192">
        <v>3.79</v>
      </c>
      <c r="CL128" s="192">
        <v>2700</v>
      </c>
      <c r="CM128" s="204">
        <v>74</v>
      </c>
      <c r="CN128" s="204">
        <v>74.8</v>
      </c>
      <c r="CO128" s="6">
        <v>5</v>
      </c>
      <c r="CP128" s="46">
        <v>7.83</v>
      </c>
      <c r="CQ128" s="46">
        <v>1.83</v>
      </c>
      <c r="CR128" s="47">
        <v>74.599999999999994</v>
      </c>
      <c r="CS128" s="46">
        <v>19.8</v>
      </c>
      <c r="CT128" s="46">
        <v>1.54</v>
      </c>
      <c r="CU128" s="150" t="s">
        <v>91</v>
      </c>
      <c r="CV128" s="7">
        <v>2.7</v>
      </c>
      <c r="CW128" s="7">
        <v>8</v>
      </c>
      <c r="CX128" s="7">
        <v>72</v>
      </c>
      <c r="CY128" s="6">
        <v>8</v>
      </c>
      <c r="CZ128" s="46">
        <v>8.1300000000000008</v>
      </c>
      <c r="DA128" s="46">
        <v>2.0699999999999998</v>
      </c>
      <c r="DB128" s="47">
        <v>74.8</v>
      </c>
      <c r="DC128" s="46">
        <v>21.3</v>
      </c>
      <c r="DD128" s="46">
        <v>1.75</v>
      </c>
      <c r="DE128" s="150" t="s">
        <v>216</v>
      </c>
      <c r="DF128" s="7">
        <v>2.4</v>
      </c>
      <c r="DG128" s="7">
        <v>9</v>
      </c>
      <c r="DH128" s="7">
        <v>43</v>
      </c>
      <c r="DS128" s="151">
        <v>1</v>
      </c>
      <c r="DT128" s="46">
        <v>7.86</v>
      </c>
      <c r="DU128" s="46">
        <v>2.09</v>
      </c>
      <c r="DV128" s="47">
        <v>74.099999999999994</v>
      </c>
      <c r="DW128" s="46">
        <v>23.1</v>
      </c>
      <c r="DX128" s="46">
        <v>1.94</v>
      </c>
      <c r="DY128" s="150" t="s">
        <v>179</v>
      </c>
      <c r="DZ128" s="7">
        <v>2.25</v>
      </c>
      <c r="EA128" s="7">
        <v>4</v>
      </c>
      <c r="EB128" s="7">
        <v>10</v>
      </c>
      <c r="EC128" s="7">
        <v>6</v>
      </c>
      <c r="ED128" s="7">
        <v>2</v>
      </c>
      <c r="EE128" s="7">
        <v>8</v>
      </c>
      <c r="EF128" s="7">
        <v>14</v>
      </c>
      <c r="EG128" s="7">
        <v>0</v>
      </c>
      <c r="EH128" s="7">
        <v>95</v>
      </c>
      <c r="EI128" s="7"/>
      <c r="EJ128" s="7"/>
      <c r="EK128" s="7">
        <f t="shared" ref="EK128:EK130" si="375">EA128+EB128+EC128+ED128+EE128+EF128+EG128+EH128+EI128+EJ128</f>
        <v>139</v>
      </c>
      <c r="EL128" s="110">
        <v>91</v>
      </c>
      <c r="EM128" s="120">
        <v>52</v>
      </c>
      <c r="EN128" s="46">
        <v>7.79</v>
      </c>
      <c r="EO128" s="46">
        <v>2.38</v>
      </c>
      <c r="EP128" s="47">
        <v>68.599999999999994</v>
      </c>
      <c r="EQ128" s="46">
        <v>26.2</v>
      </c>
      <c r="ER128" s="46">
        <v>2.34</v>
      </c>
      <c r="ES128" s="120" t="s">
        <v>217</v>
      </c>
      <c r="ET128" s="120"/>
      <c r="EU128" s="120"/>
      <c r="EV128" s="120"/>
      <c r="EW128" s="120"/>
      <c r="EX128" s="120"/>
      <c r="EY128" s="120"/>
    </row>
    <row r="129" spans="1:155" ht="17.100000000000001" customHeight="1">
      <c r="A129" s="174"/>
      <c r="B129" s="397" t="s">
        <v>289</v>
      </c>
      <c r="C129" s="190"/>
      <c r="D129" s="317" t="e">
        <f t="shared" ref="D129:D136" si="376">(I129+H129)/(H129+I129+J129+K129+L129)*100</f>
        <v>#DIV/0!</v>
      </c>
      <c r="E129" s="320" t="e">
        <f t="shared" ref="E129:E131" si="377">J129/(H129+I129+J129+K129+L129)*100</f>
        <v>#DIV/0!</v>
      </c>
      <c r="F129" s="320"/>
      <c r="G129" s="323"/>
      <c r="H129" s="306"/>
      <c r="I129" s="309"/>
      <c r="J129" s="309"/>
      <c r="K129" s="365"/>
      <c r="L129" s="309"/>
      <c r="M129" s="309"/>
      <c r="N129" s="309"/>
      <c r="O129" s="309"/>
      <c r="P129" s="211"/>
      <c r="Q129" s="214"/>
      <c r="R129" s="306"/>
      <c r="S129" s="309"/>
      <c r="T129" s="309"/>
      <c r="U129" s="365"/>
      <c r="V129" s="309"/>
      <c r="W129" s="309"/>
      <c r="X129" s="336"/>
      <c r="Y129" s="306"/>
      <c r="Z129" s="309"/>
      <c r="AA129" s="309"/>
      <c r="AB129" s="309"/>
      <c r="AC129" s="309"/>
      <c r="AD129" s="309"/>
      <c r="AE129" s="336"/>
      <c r="AF129" s="306"/>
      <c r="AG129" s="211"/>
      <c r="AH129" s="211"/>
      <c r="AI129" s="362"/>
      <c r="AJ129" s="211"/>
      <c r="AK129" s="211"/>
      <c r="AL129" s="214"/>
      <c r="AM129" s="333"/>
      <c r="AN129" s="211"/>
      <c r="AO129" s="211"/>
      <c r="AP129" s="362"/>
      <c r="AQ129" s="211"/>
      <c r="AR129" s="211"/>
      <c r="AS129" s="211"/>
      <c r="AT129" s="333"/>
      <c r="AU129" s="211"/>
      <c r="AV129" s="211"/>
      <c r="AW129" s="362"/>
      <c r="AX129" s="211"/>
      <c r="AY129" s="211"/>
      <c r="AZ129" s="214"/>
      <c r="BA129" s="333"/>
      <c r="BB129" s="333"/>
      <c r="BC129" s="333"/>
      <c r="BD129" s="368"/>
      <c r="BE129" s="333"/>
      <c r="BF129" s="333"/>
      <c r="BG129" s="333"/>
      <c r="BH129" s="333"/>
      <c r="BI129" s="211"/>
      <c r="BJ129" s="211"/>
      <c r="BK129" s="211"/>
      <c r="BL129" s="211"/>
      <c r="BM129" s="211"/>
      <c r="BN129" s="214"/>
      <c r="BO129" s="196">
        <v>71.8</v>
      </c>
      <c r="BP129" s="196">
        <v>0.76400000000000001</v>
      </c>
      <c r="BQ129" s="196">
        <v>4.3600000000000003</v>
      </c>
      <c r="BR129" s="196">
        <v>72.400000000000006</v>
      </c>
      <c r="BS129" s="339">
        <v>0.67200000000000004</v>
      </c>
      <c r="BT129" s="196">
        <v>6.72</v>
      </c>
      <c r="BU129" s="193">
        <v>7.31</v>
      </c>
      <c r="BV129" s="193">
        <v>1.2</v>
      </c>
      <c r="BW129" s="193">
        <v>980</v>
      </c>
      <c r="BX129" s="193">
        <v>5.4</v>
      </c>
      <c r="BY129" s="193">
        <v>7.98</v>
      </c>
      <c r="BZ129" s="193">
        <v>6800</v>
      </c>
      <c r="CA129" s="193"/>
      <c r="CB129" s="193"/>
      <c r="CC129" s="193"/>
      <c r="CD129" s="193"/>
      <c r="CE129" s="193"/>
      <c r="CF129" s="193"/>
      <c r="CG129" s="193"/>
      <c r="CH129" s="193"/>
      <c r="CI129" s="193"/>
      <c r="CJ129" s="193"/>
      <c r="CK129" s="193"/>
      <c r="CL129" s="193"/>
      <c r="CM129" s="205"/>
      <c r="CN129" s="205"/>
      <c r="CO129" s="13">
        <v>7</v>
      </c>
      <c r="CP129" s="21">
        <v>7.86</v>
      </c>
      <c r="CQ129" s="21">
        <v>1.94</v>
      </c>
      <c r="CR129" s="22">
        <v>74.400000000000006</v>
      </c>
      <c r="CS129" s="21">
        <v>19.100000000000001</v>
      </c>
      <c r="CT129" s="21">
        <v>1.5</v>
      </c>
      <c r="CU129" s="40" t="s">
        <v>218</v>
      </c>
      <c r="CV129" s="8">
        <v>2.7</v>
      </c>
      <c r="CW129" s="8">
        <v>9</v>
      </c>
      <c r="CX129" s="8">
        <v>71</v>
      </c>
      <c r="CY129" s="13">
        <v>10</v>
      </c>
      <c r="CZ129" s="21">
        <v>8.19</v>
      </c>
      <c r="DA129" s="21">
        <v>2.04</v>
      </c>
      <c r="DB129" s="22">
        <v>75.400000000000006</v>
      </c>
      <c r="DC129" s="21">
        <v>20.8</v>
      </c>
      <c r="DD129" s="21">
        <v>1.78</v>
      </c>
      <c r="DE129" s="40" t="s">
        <v>128</v>
      </c>
      <c r="DF129" s="8">
        <v>2.25</v>
      </c>
      <c r="DG129" s="8">
        <v>9</v>
      </c>
      <c r="DH129" s="8"/>
      <c r="DI129" s="23"/>
      <c r="DJ129" s="21"/>
      <c r="DK129" s="21"/>
      <c r="DL129" s="22"/>
      <c r="DM129" s="21"/>
      <c r="DN129" s="21"/>
      <c r="DO129" s="23"/>
      <c r="DP129" s="23"/>
      <c r="DQ129" s="23"/>
      <c r="DR129" s="23"/>
      <c r="DS129" s="41">
        <v>4</v>
      </c>
      <c r="DT129" s="21">
        <v>7.79</v>
      </c>
      <c r="DU129" s="21">
        <v>2.06</v>
      </c>
      <c r="DV129" s="22">
        <v>74.3</v>
      </c>
      <c r="DW129" s="21">
        <v>22.8</v>
      </c>
      <c r="DX129" s="21">
        <v>1.91</v>
      </c>
      <c r="DY129" s="40" t="s">
        <v>166</v>
      </c>
      <c r="DZ129" s="8">
        <v>2.25</v>
      </c>
      <c r="EA129" s="8">
        <v>8</v>
      </c>
      <c r="EB129" s="8">
        <v>5</v>
      </c>
      <c r="EC129" s="8">
        <v>8</v>
      </c>
      <c r="ED129" s="8">
        <v>2</v>
      </c>
      <c r="EE129" s="8">
        <v>9</v>
      </c>
      <c r="EF129" s="8">
        <v>14</v>
      </c>
      <c r="EG129" s="8">
        <v>0</v>
      </c>
      <c r="EH129" s="8">
        <v>95</v>
      </c>
      <c r="EI129" s="8">
        <v>9</v>
      </c>
      <c r="EJ129" s="8">
        <v>19</v>
      </c>
      <c r="EK129" s="8">
        <f t="shared" si="375"/>
        <v>169</v>
      </c>
      <c r="EL129" s="9">
        <v>92</v>
      </c>
      <c r="EM129" s="23">
        <v>49</v>
      </c>
      <c r="EN129" s="21">
        <v>7.72</v>
      </c>
      <c r="EO129" s="21">
        <v>2.64</v>
      </c>
      <c r="EP129" s="22">
        <v>67.900000000000006</v>
      </c>
      <c r="EQ129" s="21">
        <v>26.6</v>
      </c>
      <c r="ER129" s="21">
        <v>2.19</v>
      </c>
      <c r="ES129" s="23" t="s">
        <v>119</v>
      </c>
      <c r="ET129" s="23"/>
      <c r="EU129" s="23"/>
      <c r="EV129" s="23"/>
      <c r="EW129" s="23"/>
      <c r="EX129" s="23"/>
      <c r="EY129" s="23"/>
    </row>
    <row r="130" spans="1:155" ht="17.100000000000001" customHeight="1">
      <c r="A130" s="174"/>
      <c r="B130" s="397" t="s">
        <v>289</v>
      </c>
      <c r="C130" s="190"/>
      <c r="D130" s="317" t="e">
        <f t="shared" si="376"/>
        <v>#DIV/0!</v>
      </c>
      <c r="E130" s="320" t="e">
        <f t="shared" si="377"/>
        <v>#DIV/0!</v>
      </c>
      <c r="F130" s="320"/>
      <c r="G130" s="323"/>
      <c r="H130" s="306"/>
      <c r="I130" s="309"/>
      <c r="J130" s="309"/>
      <c r="K130" s="365"/>
      <c r="L130" s="309"/>
      <c r="M130" s="309"/>
      <c r="N130" s="309"/>
      <c r="O130" s="309"/>
      <c r="P130" s="211"/>
      <c r="Q130" s="214"/>
      <c r="R130" s="306"/>
      <c r="S130" s="309"/>
      <c r="T130" s="309"/>
      <c r="U130" s="365"/>
      <c r="V130" s="309"/>
      <c r="W130" s="309"/>
      <c r="X130" s="336"/>
      <c r="Y130" s="306"/>
      <c r="Z130" s="309"/>
      <c r="AA130" s="309"/>
      <c r="AB130" s="309"/>
      <c r="AC130" s="309"/>
      <c r="AD130" s="309"/>
      <c r="AE130" s="336"/>
      <c r="AF130" s="306"/>
      <c r="AG130" s="211"/>
      <c r="AH130" s="211"/>
      <c r="AI130" s="362"/>
      <c r="AJ130" s="211"/>
      <c r="AK130" s="211"/>
      <c r="AL130" s="214"/>
      <c r="AM130" s="333"/>
      <c r="AN130" s="211"/>
      <c r="AO130" s="211"/>
      <c r="AP130" s="362"/>
      <c r="AQ130" s="211"/>
      <c r="AR130" s="211"/>
      <c r="AS130" s="211"/>
      <c r="AT130" s="333"/>
      <c r="AU130" s="211"/>
      <c r="AV130" s="211"/>
      <c r="AW130" s="362"/>
      <c r="AX130" s="211"/>
      <c r="AY130" s="211"/>
      <c r="AZ130" s="214"/>
      <c r="BA130" s="333"/>
      <c r="BB130" s="333"/>
      <c r="BC130" s="333"/>
      <c r="BD130" s="368"/>
      <c r="BE130" s="333"/>
      <c r="BF130" s="333"/>
      <c r="BG130" s="333"/>
      <c r="BH130" s="333"/>
      <c r="BI130" s="211"/>
      <c r="BJ130" s="211"/>
      <c r="BK130" s="211"/>
      <c r="BL130" s="211"/>
      <c r="BM130" s="211"/>
      <c r="BN130" s="214"/>
      <c r="BO130" s="196">
        <v>71.599999999999994</v>
      </c>
      <c r="BP130" s="196">
        <v>0.45400000000000001</v>
      </c>
      <c r="BQ130" s="196">
        <v>3.78</v>
      </c>
      <c r="BR130" s="196">
        <v>68.8</v>
      </c>
      <c r="BS130" s="339">
        <v>0.54</v>
      </c>
      <c r="BT130" s="196">
        <v>4.18</v>
      </c>
      <c r="BU130" s="193">
        <v>6.8</v>
      </c>
      <c r="BV130" s="193">
        <v>1.43</v>
      </c>
      <c r="BW130" s="193">
        <v>1220</v>
      </c>
      <c r="BX130" s="193">
        <v>5.46</v>
      </c>
      <c r="BY130" s="193">
        <v>7.22</v>
      </c>
      <c r="BZ130" s="193">
        <v>5100</v>
      </c>
      <c r="CA130" s="193">
        <v>6.9</v>
      </c>
      <c r="CB130" s="193">
        <v>1.39</v>
      </c>
      <c r="CC130" s="193">
        <v>1130</v>
      </c>
      <c r="CD130" s="193">
        <v>7.4</v>
      </c>
      <c r="CE130" s="193">
        <v>4.3</v>
      </c>
      <c r="CF130" s="193">
        <v>3700</v>
      </c>
      <c r="CG130" s="193">
        <v>7.21</v>
      </c>
      <c r="CH130" s="193">
        <v>1.43</v>
      </c>
      <c r="CI130" s="193">
        <v>970</v>
      </c>
      <c r="CJ130" s="193">
        <v>7.72</v>
      </c>
      <c r="CK130" s="193">
        <v>3.79</v>
      </c>
      <c r="CL130" s="193">
        <v>2700</v>
      </c>
      <c r="CM130" s="205"/>
      <c r="CN130" s="205"/>
      <c r="CO130" s="13">
        <v>8</v>
      </c>
      <c r="CP130" s="21">
        <v>7.96</v>
      </c>
      <c r="CQ130" s="21">
        <v>1.87</v>
      </c>
      <c r="CR130" s="22">
        <v>74.599999999999994</v>
      </c>
      <c r="CS130" s="21">
        <v>18.899999999999999</v>
      </c>
      <c r="CT130" s="21">
        <v>1.56</v>
      </c>
      <c r="CU130" s="40" t="s">
        <v>185</v>
      </c>
      <c r="CV130" s="8">
        <v>2.9</v>
      </c>
      <c r="CW130" s="8">
        <v>9</v>
      </c>
      <c r="CX130" s="8">
        <v>68</v>
      </c>
      <c r="CY130" s="13">
        <v>7</v>
      </c>
      <c r="CZ130" s="21">
        <v>8.11</v>
      </c>
      <c r="DA130" s="21">
        <v>2.1</v>
      </c>
      <c r="DB130" s="22">
        <v>75</v>
      </c>
      <c r="DC130" s="21">
        <v>20.399999999999999</v>
      </c>
      <c r="DD130" s="21">
        <v>1.75</v>
      </c>
      <c r="DE130" s="40" t="s">
        <v>219</v>
      </c>
      <c r="DF130" s="8">
        <v>2.35</v>
      </c>
      <c r="DG130" s="8">
        <v>9</v>
      </c>
      <c r="DH130" s="8">
        <v>49</v>
      </c>
      <c r="DI130" s="23"/>
      <c r="DJ130" s="21"/>
      <c r="DK130" s="21"/>
      <c r="DL130" s="22"/>
      <c r="DM130" s="21"/>
      <c r="DN130" s="21"/>
      <c r="DO130" s="23"/>
      <c r="DP130" s="23"/>
      <c r="DQ130" s="23"/>
      <c r="DR130" s="23"/>
      <c r="DS130" s="41">
        <v>8</v>
      </c>
      <c r="DT130" s="21">
        <v>7.73</v>
      </c>
      <c r="DU130" s="21">
        <v>2.2400000000000002</v>
      </c>
      <c r="DV130" s="22">
        <v>74.400000000000006</v>
      </c>
      <c r="DW130" s="21">
        <v>23.4</v>
      </c>
      <c r="DX130" s="21">
        <v>1.96</v>
      </c>
      <c r="DY130" s="40" t="s">
        <v>109</v>
      </c>
      <c r="DZ130" s="8">
        <v>2.4500000000000002</v>
      </c>
      <c r="EA130" s="8">
        <v>3</v>
      </c>
      <c r="EB130" s="8">
        <v>11</v>
      </c>
      <c r="EC130" s="8">
        <v>7</v>
      </c>
      <c r="ED130" s="8">
        <v>3</v>
      </c>
      <c r="EE130" s="8">
        <v>10</v>
      </c>
      <c r="EF130" s="8">
        <v>9</v>
      </c>
      <c r="EG130" s="8">
        <v>5</v>
      </c>
      <c r="EH130" s="8">
        <v>89</v>
      </c>
      <c r="EI130" s="8">
        <v>4</v>
      </c>
      <c r="EJ130" s="8">
        <v>6</v>
      </c>
      <c r="EK130" s="8">
        <f t="shared" si="375"/>
        <v>147</v>
      </c>
      <c r="EL130" s="9">
        <v>93</v>
      </c>
      <c r="EM130" s="23">
        <v>67</v>
      </c>
      <c r="EN130" s="21">
        <v>7.53</v>
      </c>
      <c r="EO130" s="21">
        <v>2.59</v>
      </c>
      <c r="EP130" s="22">
        <v>67</v>
      </c>
      <c r="EQ130" s="21">
        <v>26.8</v>
      </c>
      <c r="ER130" s="21">
        <v>2.17</v>
      </c>
      <c r="ES130" s="23" t="s">
        <v>190</v>
      </c>
      <c r="ET130" s="23"/>
      <c r="EU130" s="23"/>
      <c r="EV130" s="23"/>
      <c r="EW130" s="23"/>
      <c r="EX130" s="23"/>
      <c r="EY130" s="23"/>
    </row>
    <row r="131" spans="1:155" ht="17.100000000000001" customHeight="1" thickBot="1">
      <c r="A131" s="177"/>
      <c r="B131" s="400" t="s">
        <v>289</v>
      </c>
      <c r="C131" s="383"/>
      <c r="D131" s="374" t="e">
        <f t="shared" si="376"/>
        <v>#DIV/0!</v>
      </c>
      <c r="E131" s="356" t="e">
        <f t="shared" si="377"/>
        <v>#DIV/0!</v>
      </c>
      <c r="F131" s="356"/>
      <c r="G131" s="357"/>
      <c r="H131" s="378"/>
      <c r="I131" s="358"/>
      <c r="J131" s="358"/>
      <c r="K131" s="372"/>
      <c r="L131" s="358"/>
      <c r="M131" s="358"/>
      <c r="N131" s="358"/>
      <c r="O131" s="358"/>
      <c r="P131" s="212"/>
      <c r="Q131" s="215"/>
      <c r="R131" s="378"/>
      <c r="S131" s="358"/>
      <c r="T131" s="358"/>
      <c r="U131" s="372"/>
      <c r="V131" s="358"/>
      <c r="W131" s="358"/>
      <c r="X131" s="385"/>
      <c r="Y131" s="378"/>
      <c r="Z131" s="358"/>
      <c r="AA131" s="358"/>
      <c r="AB131" s="358"/>
      <c r="AC131" s="358"/>
      <c r="AD131" s="358"/>
      <c r="AE131" s="385"/>
      <c r="AF131" s="378"/>
      <c r="AG131" s="212"/>
      <c r="AH131" s="212"/>
      <c r="AI131" s="381"/>
      <c r="AJ131" s="212"/>
      <c r="AK131" s="212"/>
      <c r="AL131" s="215"/>
      <c r="AM131" s="359"/>
      <c r="AN131" s="212"/>
      <c r="AO131" s="212"/>
      <c r="AP131" s="381"/>
      <c r="AQ131" s="212"/>
      <c r="AR131" s="212"/>
      <c r="AS131" s="212"/>
      <c r="AT131" s="359"/>
      <c r="AU131" s="212"/>
      <c r="AV131" s="212"/>
      <c r="AW131" s="381"/>
      <c r="AX131" s="212"/>
      <c r="AY131" s="212"/>
      <c r="AZ131" s="215"/>
      <c r="BA131" s="359"/>
      <c r="BB131" s="359"/>
      <c r="BC131" s="359"/>
      <c r="BD131" s="387"/>
      <c r="BE131" s="359"/>
      <c r="BF131" s="359"/>
      <c r="BG131" s="359"/>
      <c r="BH131" s="359"/>
      <c r="BI131" s="212"/>
      <c r="BJ131" s="212"/>
      <c r="BK131" s="212"/>
      <c r="BL131" s="212"/>
      <c r="BM131" s="212"/>
      <c r="BN131" s="215"/>
      <c r="BO131" s="197">
        <v>71.599999999999994</v>
      </c>
      <c r="BP131" s="197">
        <v>0.55500000000000005</v>
      </c>
      <c r="BQ131" s="197">
        <v>4.93</v>
      </c>
      <c r="BR131" s="197">
        <v>72.400000000000006</v>
      </c>
      <c r="BS131" s="389">
        <v>0.67200000000000004</v>
      </c>
      <c r="BT131" s="197">
        <v>6.72</v>
      </c>
      <c r="BU131" s="194">
        <v>7.31</v>
      </c>
      <c r="BV131" s="194">
        <v>1.2</v>
      </c>
      <c r="BW131" s="194">
        <v>980</v>
      </c>
      <c r="BX131" s="194">
        <v>5.4</v>
      </c>
      <c r="BY131" s="194">
        <v>7.98</v>
      </c>
      <c r="BZ131" s="194">
        <v>6800</v>
      </c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4"/>
      <c r="CM131" s="206"/>
      <c r="CN131" s="206"/>
      <c r="CO131" s="157"/>
      <c r="CP131" s="49"/>
      <c r="CQ131" s="49"/>
      <c r="CR131" s="50"/>
      <c r="CS131" s="49"/>
      <c r="CT131" s="49"/>
      <c r="CU131" s="51"/>
      <c r="CV131" s="52"/>
      <c r="CW131" s="52"/>
      <c r="CX131" s="52"/>
      <c r="CY131" s="157"/>
      <c r="CZ131" s="49"/>
      <c r="DA131" s="49"/>
      <c r="DB131" s="50"/>
      <c r="DC131" s="49"/>
      <c r="DD131" s="49"/>
      <c r="DE131" s="51"/>
      <c r="DF131" s="52"/>
      <c r="DG131" s="52"/>
      <c r="DH131" s="52"/>
      <c r="DI131" s="53"/>
      <c r="DJ131" s="49"/>
      <c r="DK131" s="49"/>
      <c r="DL131" s="50"/>
      <c r="DM131" s="49"/>
      <c r="DN131" s="49"/>
      <c r="DO131" s="53"/>
      <c r="DP131" s="53"/>
      <c r="DQ131" s="53"/>
      <c r="DR131" s="53"/>
      <c r="DS131" s="158"/>
      <c r="DT131" s="49"/>
      <c r="DU131" s="49"/>
      <c r="DV131" s="50"/>
      <c r="DW131" s="49"/>
      <c r="DX131" s="49"/>
      <c r="DY131" s="51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159" t="s">
        <v>220</v>
      </c>
      <c r="EM131" s="53">
        <v>50</v>
      </c>
      <c r="EN131" s="49">
        <v>7.87</v>
      </c>
      <c r="EO131" s="49">
        <v>2.4500000000000002</v>
      </c>
      <c r="EP131" s="50">
        <v>68.8</v>
      </c>
      <c r="EQ131" s="49">
        <v>26.7</v>
      </c>
      <c r="ER131" s="49">
        <v>2.17</v>
      </c>
      <c r="ES131" s="53" t="s">
        <v>190</v>
      </c>
      <c r="ET131" s="53"/>
      <c r="EU131" s="53"/>
      <c r="EV131" s="53"/>
      <c r="EW131" s="53"/>
      <c r="EX131" s="53"/>
      <c r="EY131" s="53"/>
    </row>
    <row r="132" spans="1:155" s="398" customFormat="1" ht="17.100000000000001" customHeight="1">
      <c r="A132" s="173">
        <v>32</v>
      </c>
      <c r="B132" s="397" t="s">
        <v>290</v>
      </c>
      <c r="C132" s="189" t="s">
        <v>96</v>
      </c>
      <c r="D132" s="316">
        <f t="shared" si="376"/>
        <v>69.182389937106919</v>
      </c>
      <c r="E132" s="319">
        <f t="shared" ref="E132" si="378">J132/(H132+I132+J132)*100</f>
        <v>29.787234042553191</v>
      </c>
      <c r="F132" s="319"/>
      <c r="G132" s="322"/>
      <c r="H132" s="305">
        <v>16.5</v>
      </c>
      <c r="I132" s="308">
        <v>0</v>
      </c>
      <c r="J132" s="308">
        <v>7</v>
      </c>
      <c r="K132" s="364">
        <v>0.35</v>
      </c>
      <c r="L132" s="308">
        <v>0</v>
      </c>
      <c r="M132" s="308">
        <v>7.6</v>
      </c>
      <c r="N132" s="308">
        <v>1.8</v>
      </c>
      <c r="O132" s="308">
        <v>0</v>
      </c>
      <c r="P132" s="301"/>
      <c r="Q132" s="303"/>
      <c r="R132" s="305">
        <v>1.2</v>
      </c>
      <c r="S132" s="308">
        <v>0</v>
      </c>
      <c r="T132" s="308">
        <v>0.28999999999999998</v>
      </c>
      <c r="U132" s="364">
        <v>0</v>
      </c>
      <c r="V132" s="308">
        <v>0</v>
      </c>
      <c r="W132" s="308">
        <v>3.57</v>
      </c>
      <c r="X132" s="335">
        <v>20.5</v>
      </c>
      <c r="Y132" s="305">
        <f t="shared" ref="Y132:AD132" si="379">H132*R132*10</f>
        <v>198</v>
      </c>
      <c r="Z132" s="308">
        <f t="shared" si="379"/>
        <v>0</v>
      </c>
      <c r="AA132" s="308">
        <f t="shared" si="379"/>
        <v>20.299999999999997</v>
      </c>
      <c r="AB132" s="308">
        <f t="shared" si="379"/>
        <v>0</v>
      </c>
      <c r="AC132" s="308">
        <f t="shared" si="379"/>
        <v>0</v>
      </c>
      <c r="AD132" s="308">
        <f t="shared" si="379"/>
        <v>271.32</v>
      </c>
      <c r="AE132" s="335">
        <f t="shared" ref="AE132" si="380">X132*O132*10</f>
        <v>0</v>
      </c>
      <c r="AF132" s="305">
        <v>12.6</v>
      </c>
      <c r="AG132" s="301">
        <v>0</v>
      </c>
      <c r="AH132" s="301">
        <v>2.2000000000000002</v>
      </c>
      <c r="AI132" s="361">
        <v>30.2</v>
      </c>
      <c r="AJ132" s="301">
        <v>0</v>
      </c>
      <c r="AK132" s="301">
        <v>27.1</v>
      </c>
      <c r="AL132" s="303">
        <v>85.3</v>
      </c>
      <c r="AM132" s="332">
        <f t="shared" ref="AM132" si="381">AF132*10*H132</f>
        <v>2079</v>
      </c>
      <c r="AN132" s="301">
        <f t="shared" ref="AN132:AS132" si="382">AG132*I132*10</f>
        <v>0</v>
      </c>
      <c r="AO132" s="301">
        <f t="shared" si="382"/>
        <v>154.00000000000003</v>
      </c>
      <c r="AP132" s="361">
        <f t="shared" si="382"/>
        <v>105.69999999999999</v>
      </c>
      <c r="AQ132" s="301">
        <f t="shared" si="382"/>
        <v>0</v>
      </c>
      <c r="AR132" s="301">
        <f t="shared" si="382"/>
        <v>2059.6</v>
      </c>
      <c r="AS132" s="301">
        <f t="shared" si="382"/>
        <v>1535.3999999999999</v>
      </c>
      <c r="AT132" s="332">
        <v>21.1</v>
      </c>
      <c r="AU132" s="301">
        <v>0</v>
      </c>
      <c r="AV132" s="301">
        <v>51.4</v>
      </c>
      <c r="AW132" s="361">
        <v>20</v>
      </c>
      <c r="AX132" s="301">
        <v>0</v>
      </c>
      <c r="AY132" s="301">
        <v>16</v>
      </c>
      <c r="AZ132" s="303">
        <v>31.4</v>
      </c>
      <c r="BA132" s="332">
        <f t="shared" ref="BA132:BG132" si="383">(H132*3*1000)/(1-AT132/100)</f>
        <v>62737.642585551337</v>
      </c>
      <c r="BB132" s="332">
        <f t="shared" si="383"/>
        <v>0</v>
      </c>
      <c r="BC132" s="332">
        <f t="shared" si="383"/>
        <v>43209.876543209881</v>
      </c>
      <c r="BD132" s="367">
        <f t="shared" si="383"/>
        <v>1312.4999999999995</v>
      </c>
      <c r="BE132" s="332">
        <f t="shared" si="383"/>
        <v>0</v>
      </c>
      <c r="BF132" s="332">
        <f t="shared" si="383"/>
        <v>27142.857142857141</v>
      </c>
      <c r="BG132" s="332">
        <f t="shared" si="383"/>
        <v>7871.7201166180766</v>
      </c>
      <c r="BH132" s="332">
        <f t="shared" ref="BH132" si="384">H132+I132+J132</f>
        <v>23.5</v>
      </c>
      <c r="BI132" s="301">
        <f t="shared" ref="BI132" si="385">K132+L132+M132+N132+O132</f>
        <v>9.75</v>
      </c>
      <c r="BJ132" s="301">
        <f t="shared" ref="BJ132" si="386">BH132+BI132</f>
        <v>33.25</v>
      </c>
      <c r="BK132" s="301">
        <f t="shared" ref="BK132" si="387">Y132+Z132+AA132+AB132+AC132+AD132+AE132</f>
        <v>489.62</v>
      </c>
      <c r="BL132" s="301">
        <f t="shared" ref="BL132" si="388">AM132+AN132+AO132+AP132+AQ132+AR132+AS132</f>
        <v>5933.6999999999989</v>
      </c>
      <c r="BM132" s="301">
        <f t="shared" ref="BM132" si="389">BJ132*3*1000</f>
        <v>99750</v>
      </c>
      <c r="BN132" s="303">
        <f t="shared" ref="BN132" si="390">BA132+BB132+BC132+BD132+BE132+BF132+BG132</f>
        <v>142274.59638823644</v>
      </c>
      <c r="BO132" s="216">
        <v>71.8</v>
      </c>
      <c r="BP132" s="216">
        <v>0.76400000000000001</v>
      </c>
      <c r="BQ132" s="216">
        <v>4.3600000000000003</v>
      </c>
      <c r="BR132" s="216">
        <v>68.8</v>
      </c>
      <c r="BS132" s="338">
        <v>0.54</v>
      </c>
      <c r="BT132" s="216">
        <v>4.18</v>
      </c>
      <c r="BU132" s="218">
        <v>7.31</v>
      </c>
      <c r="BV132" s="218">
        <v>1.2</v>
      </c>
      <c r="BW132" s="218">
        <v>980</v>
      </c>
      <c r="BX132" s="218">
        <v>5.4</v>
      </c>
      <c r="BY132" s="218">
        <v>7.98</v>
      </c>
      <c r="BZ132" s="218">
        <v>6800</v>
      </c>
      <c r="CA132" s="218">
        <v>6.95</v>
      </c>
      <c r="CB132" s="218">
        <v>1.4</v>
      </c>
      <c r="CC132" s="218">
        <v>1100</v>
      </c>
      <c r="CD132" s="218">
        <v>7.13</v>
      </c>
      <c r="CE132" s="218">
        <v>5.15</v>
      </c>
      <c r="CF132" s="218">
        <v>4200</v>
      </c>
      <c r="CG132" s="218">
        <v>7.41</v>
      </c>
      <c r="CH132" s="218">
        <v>1.25</v>
      </c>
      <c r="CI132" s="218">
        <v>1400</v>
      </c>
      <c r="CJ132" s="218">
        <v>8.11</v>
      </c>
      <c r="CK132" s="218">
        <v>3.88</v>
      </c>
      <c r="CL132" s="218">
        <v>3400</v>
      </c>
      <c r="CM132" s="220">
        <v>73.099999999999994</v>
      </c>
      <c r="CN132" s="220">
        <v>76.8</v>
      </c>
      <c r="CO132" s="75">
        <v>3</v>
      </c>
      <c r="CP132" s="122">
        <v>7.9</v>
      </c>
      <c r="CQ132" s="122">
        <v>1.98</v>
      </c>
      <c r="CR132" s="123">
        <v>76</v>
      </c>
      <c r="CS132" s="122">
        <v>19.3</v>
      </c>
      <c r="CT132" s="122">
        <v>1.61</v>
      </c>
      <c r="CU132" s="152">
        <v>25</v>
      </c>
      <c r="CV132" s="79">
        <v>2.8</v>
      </c>
      <c r="CW132" s="79">
        <v>7</v>
      </c>
      <c r="CX132" s="79">
        <v>48</v>
      </c>
      <c r="CY132" s="75">
        <v>4</v>
      </c>
      <c r="CZ132" s="122">
        <v>7.94</v>
      </c>
      <c r="DA132" s="122">
        <v>2.21</v>
      </c>
      <c r="DB132" s="123">
        <v>74.8</v>
      </c>
      <c r="DC132" s="122">
        <v>19.8</v>
      </c>
      <c r="DD132" s="122">
        <v>1.78</v>
      </c>
      <c r="DE132" s="152" t="s">
        <v>133</v>
      </c>
      <c r="DF132" s="79">
        <v>2.4</v>
      </c>
      <c r="DG132" s="79">
        <v>13</v>
      </c>
      <c r="DH132" s="79">
        <v>47</v>
      </c>
      <c r="DI132" s="139">
        <v>8</v>
      </c>
      <c r="DJ132" s="122">
        <v>8.1999999999999993</v>
      </c>
      <c r="DK132" s="122">
        <v>1.98</v>
      </c>
      <c r="DL132" s="123">
        <v>75.3</v>
      </c>
      <c r="DM132" s="122">
        <v>21.4</v>
      </c>
      <c r="DN132" s="122">
        <v>1.82</v>
      </c>
      <c r="DO132" s="121" t="s">
        <v>156</v>
      </c>
      <c r="DP132" s="121">
        <v>2.6</v>
      </c>
      <c r="DQ132" s="121">
        <v>18</v>
      </c>
      <c r="DR132" s="121">
        <v>10</v>
      </c>
      <c r="DS132" s="155">
        <v>2</v>
      </c>
      <c r="DT132" s="122">
        <v>7.65</v>
      </c>
      <c r="DU132" s="122">
        <v>2.21</v>
      </c>
      <c r="DV132" s="123">
        <v>74.900000000000006</v>
      </c>
      <c r="DW132" s="122">
        <v>23.2</v>
      </c>
      <c r="DX132" s="122">
        <v>1.96</v>
      </c>
      <c r="DY132" s="152" t="s">
        <v>109</v>
      </c>
      <c r="DZ132" s="79">
        <v>2.1</v>
      </c>
      <c r="EA132" s="79">
        <v>12</v>
      </c>
      <c r="EB132" s="79">
        <v>2</v>
      </c>
      <c r="EC132" s="79">
        <v>10</v>
      </c>
      <c r="ED132" s="79">
        <v>1</v>
      </c>
      <c r="EE132" s="79">
        <v>10</v>
      </c>
      <c r="EF132" s="79">
        <v>9</v>
      </c>
      <c r="EG132" s="79">
        <v>2</v>
      </c>
      <c r="EH132" s="79">
        <v>85</v>
      </c>
      <c r="EI132" s="79">
        <v>8</v>
      </c>
      <c r="EJ132" s="79">
        <v>47</v>
      </c>
      <c r="EK132" s="79">
        <f t="shared" ref="EK132:EK134" si="391">EA132+EB132+EC132+ED132+EE132+EF132+EG132+EH132+EI132+EJ132</f>
        <v>186</v>
      </c>
      <c r="EL132" s="87">
        <v>94</v>
      </c>
      <c r="EM132" s="121">
        <v>51</v>
      </c>
      <c r="EN132" s="122">
        <v>7.8</v>
      </c>
      <c r="EO132" s="122">
        <v>2.2200000000000002</v>
      </c>
      <c r="EP132" s="123">
        <v>69.8</v>
      </c>
      <c r="EQ132" s="122">
        <v>27.2</v>
      </c>
      <c r="ER132" s="122">
        <v>2.16</v>
      </c>
      <c r="ES132" s="121" t="s">
        <v>119</v>
      </c>
      <c r="ET132" s="121"/>
      <c r="EU132" s="121"/>
      <c r="EV132" s="121"/>
      <c r="EW132" s="121"/>
      <c r="EX132" s="121"/>
      <c r="EY132" s="121"/>
    </row>
    <row r="133" spans="1:155" ht="17.100000000000001" customHeight="1">
      <c r="A133" s="174"/>
      <c r="B133" s="397" t="s">
        <v>290</v>
      </c>
      <c r="C133" s="190"/>
      <c r="D133" s="317" t="e">
        <f t="shared" si="376"/>
        <v>#DIV/0!</v>
      </c>
      <c r="E133" s="320" t="e">
        <f t="shared" ref="E133:E136" si="392">J133/(H133+I133+J133+K133+L133)*100</f>
        <v>#DIV/0!</v>
      </c>
      <c r="F133" s="320"/>
      <c r="G133" s="323"/>
      <c r="H133" s="306"/>
      <c r="I133" s="309"/>
      <c r="J133" s="309"/>
      <c r="K133" s="365"/>
      <c r="L133" s="309"/>
      <c r="M133" s="309"/>
      <c r="N133" s="309"/>
      <c r="O133" s="309"/>
      <c r="P133" s="211"/>
      <c r="Q133" s="214"/>
      <c r="R133" s="306"/>
      <c r="S133" s="309"/>
      <c r="T133" s="309"/>
      <c r="U133" s="365"/>
      <c r="V133" s="309"/>
      <c r="W133" s="309"/>
      <c r="X133" s="336"/>
      <c r="Y133" s="306"/>
      <c r="Z133" s="309"/>
      <c r="AA133" s="309"/>
      <c r="AB133" s="309"/>
      <c r="AC133" s="309"/>
      <c r="AD133" s="309"/>
      <c r="AE133" s="336"/>
      <c r="AF133" s="306"/>
      <c r="AG133" s="211"/>
      <c r="AH133" s="211"/>
      <c r="AI133" s="362"/>
      <c r="AJ133" s="211"/>
      <c r="AK133" s="211"/>
      <c r="AL133" s="214"/>
      <c r="AM133" s="333"/>
      <c r="AN133" s="211"/>
      <c r="AO133" s="211"/>
      <c r="AP133" s="362"/>
      <c r="AQ133" s="211"/>
      <c r="AR133" s="211"/>
      <c r="AS133" s="211"/>
      <c r="AT133" s="333"/>
      <c r="AU133" s="211"/>
      <c r="AV133" s="211"/>
      <c r="AW133" s="362"/>
      <c r="AX133" s="211"/>
      <c r="AY133" s="211"/>
      <c r="AZ133" s="214"/>
      <c r="BA133" s="333"/>
      <c r="BB133" s="333"/>
      <c r="BC133" s="333"/>
      <c r="BD133" s="368"/>
      <c r="BE133" s="333"/>
      <c r="BF133" s="333"/>
      <c r="BG133" s="333"/>
      <c r="BH133" s="333"/>
      <c r="BI133" s="211"/>
      <c r="BJ133" s="211"/>
      <c r="BK133" s="211"/>
      <c r="BL133" s="211"/>
      <c r="BM133" s="211"/>
      <c r="BN133" s="214"/>
      <c r="BO133" s="196">
        <v>71.599999999999994</v>
      </c>
      <c r="BP133" s="196">
        <v>0.45400000000000001</v>
      </c>
      <c r="BQ133" s="196">
        <v>3.78</v>
      </c>
      <c r="BR133" s="196">
        <v>72.400000000000006</v>
      </c>
      <c r="BS133" s="339">
        <v>0.67200000000000004</v>
      </c>
      <c r="BT133" s="196">
        <v>6.72</v>
      </c>
      <c r="BU133" s="193">
        <v>7.31</v>
      </c>
      <c r="BV133" s="193">
        <v>1.2</v>
      </c>
      <c r="BW133" s="193">
        <v>980</v>
      </c>
      <c r="BX133" s="193">
        <v>5.4</v>
      </c>
      <c r="BY133" s="193">
        <v>7.98</v>
      </c>
      <c r="BZ133" s="193">
        <v>6800</v>
      </c>
      <c r="CA133" s="193"/>
      <c r="CB133" s="193"/>
      <c r="CC133" s="193"/>
      <c r="CD133" s="193"/>
      <c r="CE133" s="193"/>
      <c r="CF133" s="193"/>
      <c r="CG133" s="193"/>
      <c r="CH133" s="193"/>
      <c r="CI133" s="193"/>
      <c r="CJ133" s="193"/>
      <c r="CK133" s="193"/>
      <c r="CL133" s="193"/>
      <c r="CM133" s="205"/>
      <c r="CN133" s="205"/>
      <c r="CO133" s="13">
        <v>9</v>
      </c>
      <c r="CP133" s="21">
        <v>7.79</v>
      </c>
      <c r="CQ133" s="21">
        <v>1.9</v>
      </c>
      <c r="CR133" s="22">
        <v>75.7</v>
      </c>
      <c r="CS133" s="21">
        <v>19.899999999999999</v>
      </c>
      <c r="CT133" s="21">
        <v>1.6</v>
      </c>
      <c r="CU133" s="40">
        <v>25</v>
      </c>
      <c r="CV133" s="8">
        <v>2.8</v>
      </c>
      <c r="CW133" s="8">
        <v>9</v>
      </c>
      <c r="CX133" s="8">
        <v>46</v>
      </c>
      <c r="CY133" s="13">
        <v>5</v>
      </c>
      <c r="CZ133" s="21">
        <v>8.02</v>
      </c>
      <c r="DA133" s="21">
        <v>2.16</v>
      </c>
      <c r="DB133" s="22">
        <v>75.2</v>
      </c>
      <c r="DC133" s="21">
        <v>21.5</v>
      </c>
      <c r="DD133" s="21">
        <v>1.82</v>
      </c>
      <c r="DE133" s="40" t="s">
        <v>156</v>
      </c>
      <c r="DF133" s="8">
        <v>2.4</v>
      </c>
      <c r="DG133" s="8">
        <v>12</v>
      </c>
      <c r="DH133" s="8">
        <v>49</v>
      </c>
      <c r="DI133" s="23"/>
      <c r="DJ133" s="21"/>
      <c r="DK133" s="21"/>
      <c r="DL133" s="22"/>
      <c r="DM133" s="21"/>
      <c r="DN133" s="21"/>
      <c r="DO133" s="23"/>
      <c r="DP133" s="23"/>
      <c r="DQ133" s="23"/>
      <c r="DR133" s="23"/>
      <c r="DS133" s="41">
        <v>9</v>
      </c>
      <c r="DT133" s="21">
        <v>7.25</v>
      </c>
      <c r="DU133" s="21">
        <v>2.29</v>
      </c>
      <c r="DV133" s="22">
        <v>74.5</v>
      </c>
      <c r="DW133" s="21">
        <v>22.7</v>
      </c>
      <c r="DX133" s="21">
        <v>1.98</v>
      </c>
      <c r="DY133" s="40" t="s">
        <v>109</v>
      </c>
      <c r="DZ133" s="8">
        <v>2.5</v>
      </c>
      <c r="EA133" s="8">
        <v>2</v>
      </c>
      <c r="EB133" s="8">
        <v>12</v>
      </c>
      <c r="EC133" s="8">
        <v>3</v>
      </c>
      <c r="ED133" s="8">
        <v>2</v>
      </c>
      <c r="EE133" s="8">
        <v>8</v>
      </c>
      <c r="EF133" s="8">
        <v>9</v>
      </c>
      <c r="EG133" s="8">
        <v>5</v>
      </c>
      <c r="EH133" s="8">
        <v>84</v>
      </c>
      <c r="EI133" s="8">
        <v>9</v>
      </c>
      <c r="EJ133" s="8">
        <v>2</v>
      </c>
      <c r="EK133" s="8">
        <f t="shared" si="391"/>
        <v>136</v>
      </c>
      <c r="EL133" s="9">
        <v>95</v>
      </c>
      <c r="EM133" s="23">
        <v>39</v>
      </c>
      <c r="EN133" s="21">
        <v>7.82</v>
      </c>
      <c r="EO133" s="21">
        <v>2.36</v>
      </c>
      <c r="EP133" s="22">
        <v>68</v>
      </c>
      <c r="EQ133" s="21">
        <v>27</v>
      </c>
      <c r="ER133" s="21">
        <v>2.2400000000000002</v>
      </c>
      <c r="ES133" s="23" t="s">
        <v>143</v>
      </c>
      <c r="ET133" s="23"/>
      <c r="EU133" s="23"/>
      <c r="EV133" s="23"/>
      <c r="EW133" s="23"/>
      <c r="EX133" s="23"/>
      <c r="EY133" s="23"/>
    </row>
    <row r="134" spans="1:155" ht="17.100000000000001" customHeight="1">
      <c r="A134" s="174"/>
      <c r="B134" s="397" t="s">
        <v>290</v>
      </c>
      <c r="C134" s="190"/>
      <c r="D134" s="317" t="e">
        <f t="shared" si="376"/>
        <v>#DIV/0!</v>
      </c>
      <c r="E134" s="320" t="e">
        <f t="shared" si="392"/>
        <v>#DIV/0!</v>
      </c>
      <c r="F134" s="320"/>
      <c r="G134" s="323"/>
      <c r="H134" s="306"/>
      <c r="I134" s="309"/>
      <c r="J134" s="309"/>
      <c r="K134" s="365"/>
      <c r="L134" s="309"/>
      <c r="M134" s="309"/>
      <c r="N134" s="309"/>
      <c r="O134" s="309"/>
      <c r="P134" s="211"/>
      <c r="Q134" s="214"/>
      <c r="R134" s="306"/>
      <c r="S134" s="309"/>
      <c r="T134" s="309"/>
      <c r="U134" s="365"/>
      <c r="V134" s="309"/>
      <c r="W134" s="309"/>
      <c r="X134" s="336"/>
      <c r="Y134" s="306"/>
      <c r="Z134" s="309"/>
      <c r="AA134" s="309"/>
      <c r="AB134" s="309"/>
      <c r="AC134" s="309"/>
      <c r="AD134" s="309"/>
      <c r="AE134" s="336"/>
      <c r="AF134" s="306"/>
      <c r="AG134" s="211"/>
      <c r="AH134" s="211"/>
      <c r="AI134" s="362"/>
      <c r="AJ134" s="211"/>
      <c r="AK134" s="211"/>
      <c r="AL134" s="214"/>
      <c r="AM134" s="333"/>
      <c r="AN134" s="211"/>
      <c r="AO134" s="211"/>
      <c r="AP134" s="362"/>
      <c r="AQ134" s="211"/>
      <c r="AR134" s="211"/>
      <c r="AS134" s="211"/>
      <c r="AT134" s="333"/>
      <c r="AU134" s="211"/>
      <c r="AV134" s="211"/>
      <c r="AW134" s="362"/>
      <c r="AX134" s="211"/>
      <c r="AY134" s="211"/>
      <c r="AZ134" s="214"/>
      <c r="BA134" s="333"/>
      <c r="BB134" s="333"/>
      <c r="BC134" s="333"/>
      <c r="BD134" s="368"/>
      <c r="BE134" s="333"/>
      <c r="BF134" s="333"/>
      <c r="BG134" s="333"/>
      <c r="BH134" s="333"/>
      <c r="BI134" s="211"/>
      <c r="BJ134" s="211"/>
      <c r="BK134" s="211"/>
      <c r="BL134" s="211"/>
      <c r="BM134" s="211"/>
      <c r="BN134" s="214"/>
      <c r="BO134" s="196">
        <v>71.599999999999994</v>
      </c>
      <c r="BP134" s="196">
        <v>0.55500000000000005</v>
      </c>
      <c r="BQ134" s="196">
        <v>4.93</v>
      </c>
      <c r="BR134" s="196">
        <v>68.8</v>
      </c>
      <c r="BS134" s="339">
        <v>0.54</v>
      </c>
      <c r="BT134" s="196">
        <v>4.18</v>
      </c>
      <c r="BU134" s="193">
        <v>7.31</v>
      </c>
      <c r="BV134" s="193">
        <v>1.2</v>
      </c>
      <c r="BW134" s="193">
        <v>980</v>
      </c>
      <c r="BX134" s="193">
        <v>5.4</v>
      </c>
      <c r="BY134" s="193">
        <v>7.98</v>
      </c>
      <c r="BZ134" s="193">
        <v>6800</v>
      </c>
      <c r="CA134" s="193"/>
      <c r="CB134" s="193"/>
      <c r="CC134" s="193"/>
      <c r="CD134" s="193"/>
      <c r="CE134" s="193"/>
      <c r="CF134" s="193"/>
      <c r="CG134" s="193"/>
      <c r="CH134" s="193"/>
      <c r="CI134" s="193"/>
      <c r="CJ134" s="193"/>
      <c r="CK134" s="193"/>
      <c r="CL134" s="193"/>
      <c r="CM134" s="205"/>
      <c r="CN134" s="205"/>
      <c r="CO134" s="13">
        <v>11</v>
      </c>
      <c r="CP134" s="21">
        <v>7.74</v>
      </c>
      <c r="CQ134" s="21">
        <v>1.96</v>
      </c>
      <c r="CR134" s="22">
        <v>76.099999999999994</v>
      </c>
      <c r="CS134" s="21">
        <v>18.7</v>
      </c>
      <c r="CT134" s="21">
        <v>1.64</v>
      </c>
      <c r="CU134" s="40">
        <v>24.7</v>
      </c>
      <c r="CV134" s="8">
        <v>2.8</v>
      </c>
      <c r="CW134" s="8">
        <v>8</v>
      </c>
      <c r="CX134" s="8">
        <v>45</v>
      </c>
      <c r="CY134" s="13">
        <v>6</v>
      </c>
      <c r="CZ134" s="21">
        <v>8.1</v>
      </c>
      <c r="DA134" s="21">
        <v>2.15</v>
      </c>
      <c r="DB134" s="22">
        <v>75.400000000000006</v>
      </c>
      <c r="DC134" s="21">
        <v>21.8</v>
      </c>
      <c r="DD134" s="21">
        <v>1.8</v>
      </c>
      <c r="DE134" s="40" t="s">
        <v>172</v>
      </c>
      <c r="DF134" s="8">
        <v>2.4</v>
      </c>
      <c r="DG134" s="8"/>
      <c r="DH134" s="8"/>
      <c r="DI134" s="24">
        <v>5</v>
      </c>
      <c r="DJ134" s="21">
        <v>7.9</v>
      </c>
      <c r="DK134" s="21">
        <v>1.84</v>
      </c>
      <c r="DL134" s="21">
        <v>75.5</v>
      </c>
      <c r="DM134" s="21">
        <v>21.6</v>
      </c>
      <c r="DN134" s="21">
        <v>1.85</v>
      </c>
      <c r="DO134" s="23" t="s">
        <v>196</v>
      </c>
      <c r="DP134" s="23">
        <v>2.6</v>
      </c>
      <c r="DQ134" s="23"/>
      <c r="DR134" s="23">
        <v>21</v>
      </c>
      <c r="DS134" s="41">
        <v>11</v>
      </c>
      <c r="DT134" s="21">
        <v>7.25</v>
      </c>
      <c r="DU134" s="21">
        <v>2.29</v>
      </c>
      <c r="DV134" s="22">
        <v>74.5</v>
      </c>
      <c r="DW134" s="21">
        <v>22.9</v>
      </c>
      <c r="DX134" s="21">
        <v>1.94</v>
      </c>
      <c r="DY134" s="40" t="s">
        <v>179</v>
      </c>
      <c r="DZ134" s="8">
        <v>2.4500000000000002</v>
      </c>
      <c r="EA134" s="8">
        <v>11</v>
      </c>
      <c r="EB134" s="8">
        <v>3</v>
      </c>
      <c r="EC134" s="8">
        <v>6</v>
      </c>
      <c r="ED134" s="8">
        <v>3</v>
      </c>
      <c r="EE134" s="8">
        <v>8</v>
      </c>
      <c r="EF134" s="8">
        <v>12</v>
      </c>
      <c r="EG134" s="8">
        <v>2</v>
      </c>
      <c r="EH134" s="8">
        <v>86</v>
      </c>
      <c r="EI134" s="8">
        <v>17</v>
      </c>
      <c r="EJ134" s="8">
        <v>57</v>
      </c>
      <c r="EK134" s="8">
        <f t="shared" si="391"/>
        <v>205</v>
      </c>
      <c r="EL134" s="9">
        <v>96</v>
      </c>
      <c r="EM134" s="23">
        <v>17</v>
      </c>
      <c r="EN134" s="21">
        <v>7.87</v>
      </c>
      <c r="EO134" s="21">
        <v>1.7</v>
      </c>
      <c r="EP134" s="22">
        <v>70.400000000000006</v>
      </c>
      <c r="EQ134" s="21">
        <v>26.7</v>
      </c>
      <c r="ER134" s="21">
        <v>2.38</v>
      </c>
      <c r="ES134" s="23" t="s">
        <v>221</v>
      </c>
      <c r="ET134" s="23"/>
      <c r="EU134" s="23"/>
      <c r="EV134" s="23"/>
      <c r="EW134" s="23"/>
      <c r="EX134" s="23"/>
      <c r="EY134" s="23"/>
    </row>
    <row r="135" spans="1:155" s="401" customFormat="1" ht="17.100000000000001" customHeight="1" thickBot="1">
      <c r="A135" s="175"/>
      <c r="B135" s="400" t="s">
        <v>290</v>
      </c>
      <c r="C135" s="191"/>
      <c r="D135" s="318" t="e">
        <f t="shared" si="376"/>
        <v>#DIV/0!</v>
      </c>
      <c r="E135" s="321" t="e">
        <f t="shared" si="392"/>
        <v>#DIV/0!</v>
      </c>
      <c r="F135" s="321"/>
      <c r="G135" s="324"/>
      <c r="H135" s="307"/>
      <c r="I135" s="310"/>
      <c r="J135" s="310"/>
      <c r="K135" s="366"/>
      <c r="L135" s="310"/>
      <c r="M135" s="310"/>
      <c r="N135" s="310"/>
      <c r="O135" s="310"/>
      <c r="P135" s="302"/>
      <c r="Q135" s="304"/>
      <c r="R135" s="307"/>
      <c r="S135" s="310"/>
      <c r="T135" s="310"/>
      <c r="U135" s="366"/>
      <c r="V135" s="310"/>
      <c r="W135" s="310"/>
      <c r="X135" s="337"/>
      <c r="Y135" s="307"/>
      <c r="Z135" s="310"/>
      <c r="AA135" s="310"/>
      <c r="AB135" s="310"/>
      <c r="AC135" s="310"/>
      <c r="AD135" s="310"/>
      <c r="AE135" s="337"/>
      <c r="AF135" s="307"/>
      <c r="AG135" s="302"/>
      <c r="AH135" s="302"/>
      <c r="AI135" s="363"/>
      <c r="AJ135" s="302"/>
      <c r="AK135" s="302"/>
      <c r="AL135" s="304"/>
      <c r="AM135" s="334"/>
      <c r="AN135" s="302"/>
      <c r="AO135" s="302"/>
      <c r="AP135" s="363"/>
      <c r="AQ135" s="302"/>
      <c r="AR135" s="302"/>
      <c r="AS135" s="302"/>
      <c r="AT135" s="334"/>
      <c r="AU135" s="302"/>
      <c r="AV135" s="302"/>
      <c r="AW135" s="363"/>
      <c r="AX135" s="302"/>
      <c r="AY135" s="302"/>
      <c r="AZ135" s="304"/>
      <c r="BA135" s="334"/>
      <c r="BB135" s="334"/>
      <c r="BC135" s="334"/>
      <c r="BD135" s="369"/>
      <c r="BE135" s="334"/>
      <c r="BF135" s="334"/>
      <c r="BG135" s="334"/>
      <c r="BH135" s="334"/>
      <c r="BI135" s="302"/>
      <c r="BJ135" s="302"/>
      <c r="BK135" s="302"/>
      <c r="BL135" s="302"/>
      <c r="BM135" s="302"/>
      <c r="BN135" s="304"/>
      <c r="BO135" s="217">
        <v>71.8</v>
      </c>
      <c r="BP135" s="217">
        <v>0.76400000000000001</v>
      </c>
      <c r="BQ135" s="217">
        <v>4.3600000000000003</v>
      </c>
      <c r="BR135" s="217">
        <v>72.400000000000006</v>
      </c>
      <c r="BS135" s="340">
        <v>0.67200000000000004</v>
      </c>
      <c r="BT135" s="217">
        <v>6.72</v>
      </c>
      <c r="BU135" s="219">
        <v>7.31</v>
      </c>
      <c r="BV135" s="219">
        <v>1.2</v>
      </c>
      <c r="BW135" s="219">
        <v>980</v>
      </c>
      <c r="BX135" s="219">
        <v>5.4</v>
      </c>
      <c r="BY135" s="219">
        <v>7.98</v>
      </c>
      <c r="BZ135" s="219">
        <v>6800</v>
      </c>
      <c r="CA135" s="219"/>
      <c r="CB135" s="219"/>
      <c r="CC135" s="219"/>
      <c r="CD135" s="219"/>
      <c r="CE135" s="219"/>
      <c r="CF135" s="219"/>
      <c r="CG135" s="219"/>
      <c r="CH135" s="219"/>
      <c r="CI135" s="219"/>
      <c r="CJ135" s="219"/>
      <c r="CK135" s="219"/>
      <c r="CL135" s="219"/>
      <c r="CM135" s="221"/>
      <c r="CN135" s="221"/>
      <c r="CO135" s="102"/>
      <c r="CP135" s="99"/>
      <c r="CQ135" s="99"/>
      <c r="CR135" s="100"/>
      <c r="CS135" s="99"/>
      <c r="CT135" s="99"/>
      <c r="CU135" s="153"/>
      <c r="CV135" s="102"/>
      <c r="CW135" s="102"/>
      <c r="CX135" s="102"/>
      <c r="CY135" s="98"/>
      <c r="CZ135" s="99"/>
      <c r="DA135" s="99"/>
      <c r="DB135" s="100"/>
      <c r="DC135" s="99"/>
      <c r="DD135" s="99"/>
      <c r="DE135" s="153"/>
      <c r="DF135" s="102"/>
      <c r="DG135" s="102"/>
      <c r="DH135" s="102"/>
      <c r="DI135" s="101"/>
      <c r="DJ135" s="99"/>
      <c r="DK135" s="99"/>
      <c r="DL135" s="100"/>
      <c r="DM135" s="99"/>
      <c r="DN135" s="99"/>
      <c r="DO135" s="101"/>
      <c r="DP135" s="101"/>
      <c r="DQ135" s="101"/>
      <c r="DR135" s="101"/>
      <c r="DS135" s="156"/>
      <c r="DT135" s="99"/>
      <c r="DU135" s="99"/>
      <c r="DV135" s="100"/>
      <c r="DW135" s="99"/>
      <c r="DX135" s="99"/>
      <c r="DY135" s="153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6" t="s">
        <v>222</v>
      </c>
      <c r="EM135" s="101">
        <v>51</v>
      </c>
      <c r="EN135" s="99">
        <v>7.86</v>
      </c>
      <c r="EO135" s="99">
        <v>2.25</v>
      </c>
      <c r="EP135" s="100">
        <v>69.2</v>
      </c>
      <c r="EQ135" s="99">
        <v>26.8</v>
      </c>
      <c r="ER135" s="99">
        <v>2.2000000000000002</v>
      </c>
      <c r="ES135" s="101" t="s">
        <v>130</v>
      </c>
      <c r="ET135" s="101"/>
      <c r="EU135" s="101"/>
      <c r="EV135" s="101"/>
      <c r="EW135" s="101"/>
      <c r="EX135" s="101"/>
      <c r="EY135" s="101"/>
    </row>
    <row r="136" spans="1:155" s="398" customFormat="1" ht="17.100000000000001" customHeight="1">
      <c r="A136" s="173">
        <v>33</v>
      </c>
      <c r="B136" s="397" t="s">
        <v>291</v>
      </c>
      <c r="C136" s="189" t="s">
        <v>96</v>
      </c>
      <c r="D136" s="316">
        <f t="shared" si="376"/>
        <v>72.314049586776861</v>
      </c>
      <c r="E136" s="319">
        <f t="shared" si="392"/>
        <v>27.685950413223143</v>
      </c>
      <c r="F136" s="319">
        <f t="shared" ref="F136" si="393">K136/(H136+I136+J136+K136+L136)*100</f>
        <v>0</v>
      </c>
      <c r="G136" s="322">
        <f t="shared" ref="G136" si="394">L136/(H136+I136+J136+K136+L136)*100</f>
        <v>0</v>
      </c>
      <c r="H136" s="305">
        <v>17.5</v>
      </c>
      <c r="I136" s="308">
        <v>0</v>
      </c>
      <c r="J136" s="308">
        <v>6.7</v>
      </c>
      <c r="K136" s="308">
        <v>0</v>
      </c>
      <c r="L136" s="308">
        <v>0</v>
      </c>
      <c r="M136" s="308">
        <v>7.5</v>
      </c>
      <c r="N136" s="308">
        <v>1.8</v>
      </c>
      <c r="O136" s="308">
        <v>0</v>
      </c>
      <c r="P136" s="301"/>
      <c r="Q136" s="303"/>
      <c r="R136" s="305">
        <v>1.2</v>
      </c>
      <c r="S136" s="308">
        <v>0</v>
      </c>
      <c r="T136" s="308">
        <v>0.28999999999999998</v>
      </c>
      <c r="U136" s="308">
        <v>0</v>
      </c>
      <c r="V136" s="308">
        <v>0</v>
      </c>
      <c r="W136" s="308">
        <v>3.5</v>
      </c>
      <c r="X136" s="335">
        <v>20.5</v>
      </c>
      <c r="Y136" s="305">
        <f t="shared" ref="Y136:AD136" si="395">H136*R136*10</f>
        <v>210</v>
      </c>
      <c r="Z136" s="308">
        <f t="shared" si="395"/>
        <v>0</v>
      </c>
      <c r="AA136" s="308">
        <f t="shared" si="395"/>
        <v>19.43</v>
      </c>
      <c r="AB136" s="308">
        <f t="shared" si="395"/>
        <v>0</v>
      </c>
      <c r="AC136" s="308">
        <f t="shared" si="395"/>
        <v>0</v>
      </c>
      <c r="AD136" s="308">
        <f t="shared" si="395"/>
        <v>262.5</v>
      </c>
      <c r="AE136" s="335">
        <f t="shared" ref="AE136" si="396">X136*O136*10</f>
        <v>0</v>
      </c>
      <c r="AF136" s="305">
        <v>12.6</v>
      </c>
      <c r="AG136" s="301">
        <v>0</v>
      </c>
      <c r="AH136" s="301">
        <v>2.2000000000000002</v>
      </c>
      <c r="AI136" s="301">
        <v>0</v>
      </c>
      <c r="AJ136" s="301">
        <v>0</v>
      </c>
      <c r="AK136" s="301">
        <v>27.5</v>
      </c>
      <c r="AL136" s="303">
        <v>85.3</v>
      </c>
      <c r="AM136" s="332">
        <f t="shared" ref="AM136" si="397">AF136*10*H136</f>
        <v>2205</v>
      </c>
      <c r="AN136" s="301">
        <f t="shared" ref="AN136:AS136" si="398">AG136*I136*10</f>
        <v>0</v>
      </c>
      <c r="AO136" s="301">
        <f t="shared" si="398"/>
        <v>147.40000000000003</v>
      </c>
      <c r="AP136" s="301">
        <f t="shared" si="398"/>
        <v>0</v>
      </c>
      <c r="AQ136" s="301">
        <f t="shared" si="398"/>
        <v>0</v>
      </c>
      <c r="AR136" s="301">
        <f t="shared" si="398"/>
        <v>2062.5</v>
      </c>
      <c r="AS136" s="301">
        <f t="shared" si="398"/>
        <v>1535.3999999999999</v>
      </c>
      <c r="AT136" s="332">
        <v>15.1</v>
      </c>
      <c r="AU136" s="301">
        <v>0</v>
      </c>
      <c r="AV136" s="301">
        <v>50.8</v>
      </c>
      <c r="AW136" s="301">
        <v>0</v>
      </c>
      <c r="AX136" s="301">
        <v>0</v>
      </c>
      <c r="AY136" s="301">
        <v>16.899999999999999</v>
      </c>
      <c r="AZ136" s="303">
        <v>30.8</v>
      </c>
      <c r="BA136" s="332">
        <f t="shared" ref="BA136:BG136" si="399">(H136*3*1000)/(1-AT136/100)</f>
        <v>61837.455830388695</v>
      </c>
      <c r="BB136" s="332">
        <f t="shared" si="399"/>
        <v>0</v>
      </c>
      <c r="BC136" s="332">
        <f t="shared" si="399"/>
        <v>40853.658536585368</v>
      </c>
      <c r="BD136" s="332">
        <f t="shared" si="399"/>
        <v>0</v>
      </c>
      <c r="BE136" s="332">
        <f t="shared" si="399"/>
        <v>0</v>
      </c>
      <c r="BF136" s="332">
        <f t="shared" si="399"/>
        <v>27075.812274368232</v>
      </c>
      <c r="BG136" s="332">
        <f t="shared" si="399"/>
        <v>7803.4682080924858</v>
      </c>
      <c r="BH136" s="332">
        <f t="shared" ref="BH136" si="400">H136+I136+J136+K136+L136</f>
        <v>24.2</v>
      </c>
      <c r="BI136" s="301">
        <f t="shared" ref="BI136" si="401">M136+N136+O136</f>
        <v>9.3000000000000007</v>
      </c>
      <c r="BJ136" s="301">
        <f t="shared" ref="BJ136" si="402">BH136+BI136</f>
        <v>33.5</v>
      </c>
      <c r="BK136" s="301">
        <f t="shared" ref="BK136" si="403">Y136+Z136+AA136+AB136+AC136+AD136+AE136</f>
        <v>491.93</v>
      </c>
      <c r="BL136" s="301">
        <f t="shared" ref="BL136" si="404">AM136+AN136+AO136+AP136+AQ136+AR136+AS136</f>
        <v>5950.2999999999993</v>
      </c>
      <c r="BM136" s="301">
        <f t="shared" ref="BM136" si="405">BJ136*3*1000</f>
        <v>100500</v>
      </c>
      <c r="BN136" s="303">
        <f t="shared" ref="BN136" si="406">BA136+BB136+BC136+BD136+BE136+BF136+BG136</f>
        <v>137570.39484943479</v>
      </c>
      <c r="BO136" s="216">
        <v>71.599999999999994</v>
      </c>
      <c r="BP136" s="216">
        <v>0.45400000000000001</v>
      </c>
      <c r="BQ136" s="216">
        <v>3.78</v>
      </c>
      <c r="BR136" s="216">
        <v>75</v>
      </c>
      <c r="BS136" s="216">
        <v>0.56000000000000005</v>
      </c>
      <c r="BT136" s="216">
        <v>7.35</v>
      </c>
      <c r="BU136" s="218">
        <v>7.13</v>
      </c>
      <c r="BV136" s="218">
        <v>1.54</v>
      </c>
      <c r="BW136" s="218">
        <v>1320</v>
      </c>
      <c r="BX136" s="218">
        <v>5.15</v>
      </c>
      <c r="BY136" s="218">
        <v>13.19</v>
      </c>
      <c r="BZ136" s="218">
        <v>0</v>
      </c>
      <c r="CA136" s="218">
        <v>6.5</v>
      </c>
      <c r="CB136" s="218">
        <v>1.4</v>
      </c>
      <c r="CC136" s="218">
        <v>0</v>
      </c>
      <c r="CD136" s="218">
        <v>6.84</v>
      </c>
      <c r="CE136" s="218">
        <v>5.65</v>
      </c>
      <c r="CF136" s="218">
        <v>0</v>
      </c>
      <c r="CG136" s="218"/>
      <c r="CH136" s="218"/>
      <c r="CI136" s="218"/>
      <c r="CJ136" s="218"/>
      <c r="CK136" s="218"/>
      <c r="CL136" s="218"/>
      <c r="CM136" s="220">
        <v>77</v>
      </c>
      <c r="CN136" s="220">
        <v>77.400000000000006</v>
      </c>
      <c r="CO136" s="75">
        <v>9</v>
      </c>
      <c r="CP136" s="122">
        <v>7.93</v>
      </c>
      <c r="CQ136" s="122">
        <v>1.71</v>
      </c>
      <c r="CR136" s="123">
        <v>76.5</v>
      </c>
      <c r="CS136" s="122">
        <v>18.2</v>
      </c>
      <c r="CT136" s="122">
        <v>1.6</v>
      </c>
      <c r="CU136" s="152" t="s">
        <v>127</v>
      </c>
      <c r="CV136" s="79">
        <v>2.6</v>
      </c>
      <c r="CW136" s="79">
        <v>15</v>
      </c>
      <c r="CX136" s="79">
        <v>28</v>
      </c>
      <c r="CY136" s="75">
        <v>5</v>
      </c>
      <c r="CZ136" s="122">
        <v>8.17</v>
      </c>
      <c r="DA136" s="122">
        <v>1.78</v>
      </c>
      <c r="DB136" s="123">
        <v>76</v>
      </c>
      <c r="DC136" s="122">
        <v>20.7</v>
      </c>
      <c r="DD136" s="122">
        <v>1.75</v>
      </c>
      <c r="DE136" s="152" t="s">
        <v>107</v>
      </c>
      <c r="DF136" s="79">
        <v>2.8</v>
      </c>
      <c r="DG136" s="79">
        <v>18</v>
      </c>
      <c r="DH136" s="79">
        <v>51</v>
      </c>
      <c r="DP136" s="154"/>
      <c r="DQ136" s="154"/>
      <c r="DR136" s="154"/>
      <c r="DS136" s="155">
        <v>5</v>
      </c>
      <c r="DT136" s="122">
        <v>8.0500000000000007</v>
      </c>
      <c r="DU136" s="122">
        <v>1.6</v>
      </c>
      <c r="DV136" s="123">
        <v>75.599999999999994</v>
      </c>
      <c r="DW136" s="122">
        <v>23.3</v>
      </c>
      <c r="DX136" s="122">
        <v>1.96</v>
      </c>
      <c r="DY136" s="152" t="s">
        <v>109</v>
      </c>
      <c r="DZ136" s="79">
        <v>2.35</v>
      </c>
      <c r="EA136" s="79">
        <v>13</v>
      </c>
      <c r="EB136" s="79">
        <v>0</v>
      </c>
      <c r="EC136" s="79">
        <v>7</v>
      </c>
      <c r="ED136" s="79">
        <v>3</v>
      </c>
      <c r="EE136" s="79">
        <v>8</v>
      </c>
      <c r="EF136" s="79">
        <v>13</v>
      </c>
      <c r="EG136" s="79">
        <v>0</v>
      </c>
      <c r="EH136" s="79">
        <v>85</v>
      </c>
      <c r="EI136" s="79">
        <v>23</v>
      </c>
      <c r="EJ136" s="79">
        <v>31</v>
      </c>
      <c r="EK136" s="79">
        <f t="shared" ref="EK136:EK138" si="407">EA136+EB136+EC136+ED136+EE136+EF136+EG136+EH136+EI136+EJ136</f>
        <v>183</v>
      </c>
      <c r="EL136" s="87">
        <v>97</v>
      </c>
      <c r="EM136" s="121">
        <v>44</v>
      </c>
      <c r="EN136" s="121">
        <v>7.74</v>
      </c>
      <c r="EO136" s="122">
        <v>20.7</v>
      </c>
      <c r="EP136" s="122">
        <v>72.5</v>
      </c>
      <c r="EQ136" s="122"/>
      <c r="ER136" s="122"/>
      <c r="ES136" s="121"/>
      <c r="ET136" s="121"/>
      <c r="EU136" s="121"/>
      <c r="EV136" s="121"/>
      <c r="EW136" s="121"/>
      <c r="EX136" s="121"/>
      <c r="EY136" s="121"/>
    </row>
    <row r="137" spans="1:155" ht="17.100000000000001" customHeight="1">
      <c r="A137" s="174"/>
      <c r="B137" s="397" t="s">
        <v>291</v>
      </c>
      <c r="C137" s="190"/>
      <c r="D137" s="317"/>
      <c r="E137" s="320"/>
      <c r="F137" s="320"/>
      <c r="G137" s="323"/>
      <c r="H137" s="306"/>
      <c r="I137" s="309"/>
      <c r="J137" s="309"/>
      <c r="K137" s="309"/>
      <c r="L137" s="309"/>
      <c r="M137" s="309"/>
      <c r="N137" s="309"/>
      <c r="O137" s="309"/>
      <c r="P137" s="211"/>
      <c r="Q137" s="214"/>
      <c r="R137" s="306"/>
      <c r="S137" s="309"/>
      <c r="T137" s="309"/>
      <c r="U137" s="309"/>
      <c r="V137" s="309"/>
      <c r="W137" s="309"/>
      <c r="X137" s="336"/>
      <c r="Y137" s="306"/>
      <c r="Z137" s="309"/>
      <c r="AA137" s="309"/>
      <c r="AB137" s="309"/>
      <c r="AC137" s="309"/>
      <c r="AD137" s="309"/>
      <c r="AE137" s="336"/>
      <c r="AF137" s="306"/>
      <c r="AG137" s="211"/>
      <c r="AH137" s="211"/>
      <c r="AI137" s="211"/>
      <c r="AJ137" s="211"/>
      <c r="AK137" s="211"/>
      <c r="AL137" s="214"/>
      <c r="AM137" s="333"/>
      <c r="AN137" s="211"/>
      <c r="AO137" s="211"/>
      <c r="AP137" s="211"/>
      <c r="AQ137" s="211"/>
      <c r="AR137" s="211"/>
      <c r="AS137" s="211"/>
      <c r="AT137" s="333"/>
      <c r="AU137" s="211"/>
      <c r="AV137" s="211"/>
      <c r="AW137" s="211"/>
      <c r="AX137" s="211"/>
      <c r="AY137" s="211"/>
      <c r="AZ137" s="214"/>
      <c r="BA137" s="333"/>
      <c r="BB137" s="333"/>
      <c r="BC137" s="333"/>
      <c r="BD137" s="333"/>
      <c r="BE137" s="333"/>
      <c r="BF137" s="333"/>
      <c r="BG137" s="333"/>
      <c r="BH137" s="333"/>
      <c r="BI137" s="211"/>
      <c r="BJ137" s="211"/>
      <c r="BK137" s="211"/>
      <c r="BL137" s="211"/>
      <c r="BM137" s="211"/>
      <c r="BN137" s="214"/>
      <c r="BO137" s="196">
        <v>71.599999999999994</v>
      </c>
      <c r="BP137" s="196">
        <v>0.55500000000000005</v>
      </c>
      <c r="BQ137" s="196">
        <v>4.93</v>
      </c>
      <c r="BR137" s="196"/>
      <c r="BS137" s="196"/>
      <c r="BT137" s="196"/>
      <c r="BU137" s="193"/>
      <c r="BV137" s="193"/>
      <c r="BW137" s="193"/>
      <c r="BX137" s="193"/>
      <c r="BY137" s="193"/>
      <c r="BZ137" s="193"/>
      <c r="CA137" s="193"/>
      <c r="CB137" s="193"/>
      <c r="CC137" s="193"/>
      <c r="CD137" s="193"/>
      <c r="CE137" s="193"/>
      <c r="CF137" s="193"/>
      <c r="CG137" s="193"/>
      <c r="CH137" s="193"/>
      <c r="CI137" s="193"/>
      <c r="CJ137" s="193"/>
      <c r="CK137" s="193"/>
      <c r="CL137" s="193"/>
      <c r="CM137" s="205"/>
      <c r="CN137" s="205"/>
      <c r="CO137" s="13">
        <v>8</v>
      </c>
      <c r="CP137" s="21">
        <v>7.54</v>
      </c>
      <c r="CQ137" s="21">
        <v>1.98</v>
      </c>
      <c r="CR137" s="22">
        <v>77</v>
      </c>
      <c r="CS137" s="21">
        <v>18.600000000000001</v>
      </c>
      <c r="CT137" s="21">
        <v>1.62</v>
      </c>
      <c r="CU137" s="40" t="s">
        <v>197</v>
      </c>
      <c r="CV137" s="8">
        <v>2.6</v>
      </c>
      <c r="CW137" s="8">
        <v>18</v>
      </c>
      <c r="CX137" s="8">
        <v>22</v>
      </c>
      <c r="CY137" s="13">
        <v>6</v>
      </c>
      <c r="CZ137" s="21">
        <v>8.16</v>
      </c>
      <c r="DA137" s="21">
        <v>1.66</v>
      </c>
      <c r="DB137" s="22">
        <v>76.099999999999994</v>
      </c>
      <c r="DC137" s="21">
        <v>21.1</v>
      </c>
      <c r="DD137" s="21">
        <v>1.76</v>
      </c>
      <c r="DE137" s="40" t="s">
        <v>216</v>
      </c>
      <c r="DF137" s="8">
        <v>2.9</v>
      </c>
      <c r="DG137" s="8">
        <v>11</v>
      </c>
      <c r="DH137" s="8">
        <v>42</v>
      </c>
      <c r="DI137" s="23"/>
      <c r="DJ137" s="21"/>
      <c r="DK137" s="21"/>
      <c r="DL137" s="22"/>
      <c r="DM137" s="21"/>
      <c r="DN137" s="21"/>
      <c r="DO137" s="23"/>
      <c r="DP137" s="23"/>
      <c r="DQ137" s="23"/>
      <c r="DR137" s="23"/>
      <c r="DS137" s="41">
        <v>12</v>
      </c>
      <c r="DT137" s="21">
        <v>7.81</v>
      </c>
      <c r="DU137" s="21">
        <v>2.29</v>
      </c>
      <c r="DV137" s="22">
        <v>75</v>
      </c>
      <c r="DW137" s="21">
        <v>22.7</v>
      </c>
      <c r="DX137" s="21">
        <v>1.89</v>
      </c>
      <c r="DY137" s="40">
        <v>20.399999999999999</v>
      </c>
      <c r="DZ137" s="8">
        <v>2.5</v>
      </c>
      <c r="EA137" s="8">
        <v>8</v>
      </c>
      <c r="EB137" s="8">
        <v>6</v>
      </c>
      <c r="EC137" s="8">
        <v>8</v>
      </c>
      <c r="ED137" s="8">
        <v>0</v>
      </c>
      <c r="EE137" s="8">
        <v>8</v>
      </c>
      <c r="EF137" s="8">
        <v>8</v>
      </c>
      <c r="EG137" s="8">
        <v>6</v>
      </c>
      <c r="EH137" s="8">
        <v>85</v>
      </c>
      <c r="EI137" s="8">
        <v>23</v>
      </c>
      <c r="EJ137" s="8">
        <v>0</v>
      </c>
      <c r="EK137" s="8">
        <f t="shared" si="407"/>
        <v>152</v>
      </c>
      <c r="EL137" s="9">
        <v>98</v>
      </c>
      <c r="EM137" s="23">
        <v>53</v>
      </c>
      <c r="EN137" s="21">
        <v>7.54</v>
      </c>
      <c r="EO137" s="21">
        <v>2.12</v>
      </c>
      <c r="EP137" s="22">
        <v>71.2</v>
      </c>
      <c r="EQ137" s="21">
        <v>26.3</v>
      </c>
      <c r="ER137" s="21">
        <v>2.11</v>
      </c>
      <c r="ES137" s="23" t="s">
        <v>184</v>
      </c>
      <c r="ET137" s="23"/>
      <c r="EU137" s="23"/>
      <c r="EV137" s="23"/>
      <c r="EW137" s="23"/>
      <c r="EX137" s="23"/>
      <c r="EY137" s="23"/>
    </row>
    <row r="138" spans="1:155" ht="17.100000000000001" customHeight="1">
      <c r="A138" s="174"/>
      <c r="B138" s="397" t="s">
        <v>291</v>
      </c>
      <c r="C138" s="190"/>
      <c r="D138" s="317"/>
      <c r="E138" s="320"/>
      <c r="F138" s="320"/>
      <c r="G138" s="323"/>
      <c r="H138" s="306"/>
      <c r="I138" s="309"/>
      <c r="J138" s="309"/>
      <c r="K138" s="309"/>
      <c r="L138" s="309"/>
      <c r="M138" s="309"/>
      <c r="N138" s="309"/>
      <c r="O138" s="309"/>
      <c r="P138" s="211"/>
      <c r="Q138" s="214"/>
      <c r="R138" s="306"/>
      <c r="S138" s="309"/>
      <c r="T138" s="309"/>
      <c r="U138" s="309"/>
      <c r="V138" s="309"/>
      <c r="W138" s="309"/>
      <c r="X138" s="336"/>
      <c r="Y138" s="306"/>
      <c r="Z138" s="309"/>
      <c r="AA138" s="309"/>
      <c r="AB138" s="309"/>
      <c r="AC138" s="309"/>
      <c r="AD138" s="309"/>
      <c r="AE138" s="336"/>
      <c r="AF138" s="306"/>
      <c r="AG138" s="211"/>
      <c r="AH138" s="211"/>
      <c r="AI138" s="211"/>
      <c r="AJ138" s="211"/>
      <c r="AK138" s="211"/>
      <c r="AL138" s="214"/>
      <c r="AM138" s="333"/>
      <c r="AN138" s="211"/>
      <c r="AO138" s="211"/>
      <c r="AP138" s="211"/>
      <c r="AQ138" s="211"/>
      <c r="AR138" s="211"/>
      <c r="AS138" s="211"/>
      <c r="AT138" s="333"/>
      <c r="AU138" s="211"/>
      <c r="AV138" s="211"/>
      <c r="AW138" s="211"/>
      <c r="AX138" s="211"/>
      <c r="AY138" s="211"/>
      <c r="AZ138" s="214"/>
      <c r="BA138" s="333"/>
      <c r="BB138" s="333"/>
      <c r="BC138" s="333"/>
      <c r="BD138" s="333"/>
      <c r="BE138" s="333"/>
      <c r="BF138" s="333"/>
      <c r="BG138" s="333"/>
      <c r="BH138" s="333"/>
      <c r="BI138" s="211"/>
      <c r="BJ138" s="211"/>
      <c r="BK138" s="211"/>
      <c r="BL138" s="211"/>
      <c r="BM138" s="211"/>
      <c r="BN138" s="214"/>
      <c r="BO138" s="196">
        <v>71.8</v>
      </c>
      <c r="BP138" s="196">
        <v>0.76400000000000001</v>
      </c>
      <c r="BQ138" s="196">
        <v>4.3600000000000003</v>
      </c>
      <c r="BR138" s="196"/>
      <c r="BS138" s="196"/>
      <c r="BT138" s="196"/>
      <c r="BU138" s="193"/>
      <c r="BV138" s="193"/>
      <c r="BW138" s="193"/>
      <c r="BX138" s="193"/>
      <c r="BY138" s="193"/>
      <c r="BZ138" s="193"/>
      <c r="CA138" s="193"/>
      <c r="CB138" s="193"/>
      <c r="CC138" s="193"/>
      <c r="CD138" s="193"/>
      <c r="CE138" s="193"/>
      <c r="CF138" s="193"/>
      <c r="CG138" s="193"/>
      <c r="CH138" s="193"/>
      <c r="CI138" s="193"/>
      <c r="CJ138" s="193"/>
      <c r="CK138" s="193"/>
      <c r="CL138" s="193"/>
      <c r="CM138" s="205"/>
      <c r="CN138" s="205"/>
      <c r="CO138" s="13">
        <v>10</v>
      </c>
      <c r="CP138" s="21">
        <v>7.63</v>
      </c>
      <c r="CQ138" s="21">
        <v>1.92</v>
      </c>
      <c r="CR138" s="22">
        <v>76.900000000000006</v>
      </c>
      <c r="CS138" s="21">
        <v>19.2</v>
      </c>
      <c r="CT138" s="21">
        <v>1.65</v>
      </c>
      <c r="CU138" s="40" t="s">
        <v>192</v>
      </c>
      <c r="CV138" s="8">
        <v>2.6</v>
      </c>
      <c r="CW138" s="8">
        <v>19</v>
      </c>
      <c r="CX138" s="8">
        <v>25</v>
      </c>
      <c r="CY138" s="13">
        <v>7</v>
      </c>
      <c r="CZ138" s="21">
        <v>8.16</v>
      </c>
      <c r="DA138" s="21">
        <v>1.66</v>
      </c>
      <c r="DB138" s="22">
        <v>76.099999999999994</v>
      </c>
      <c r="DC138" s="21">
        <v>20.399999999999999</v>
      </c>
      <c r="DD138" s="21">
        <v>1.82</v>
      </c>
      <c r="DE138" s="40" t="s">
        <v>223</v>
      </c>
      <c r="DF138" s="8">
        <v>2.75</v>
      </c>
      <c r="DG138" s="8">
        <v>15</v>
      </c>
      <c r="DH138" s="8">
        <v>46</v>
      </c>
      <c r="DI138" s="23"/>
      <c r="DJ138" s="21"/>
      <c r="DK138" s="21"/>
      <c r="DL138" s="22"/>
      <c r="DM138" s="21"/>
      <c r="DN138" s="21"/>
      <c r="DO138" s="23"/>
      <c r="DP138" s="23"/>
      <c r="DQ138" s="23"/>
      <c r="DR138" s="23"/>
      <c r="DS138" s="41">
        <v>6</v>
      </c>
      <c r="DT138" s="21">
        <v>7.85</v>
      </c>
      <c r="DU138" s="21">
        <v>1.45</v>
      </c>
      <c r="DV138" s="22">
        <v>74.599999999999994</v>
      </c>
      <c r="DW138" s="21">
        <v>23</v>
      </c>
      <c r="DX138" s="21">
        <v>2.0099999999999998</v>
      </c>
      <c r="DY138" s="40" t="s">
        <v>104</v>
      </c>
      <c r="DZ138" s="8">
        <v>2.2999999999999998</v>
      </c>
      <c r="EA138" s="8">
        <v>3</v>
      </c>
      <c r="EB138" s="8">
        <v>11</v>
      </c>
      <c r="EC138" s="8">
        <v>8</v>
      </c>
      <c r="ED138" s="8">
        <v>2</v>
      </c>
      <c r="EE138" s="8">
        <v>8</v>
      </c>
      <c r="EF138" s="8">
        <v>10</v>
      </c>
      <c r="EG138" s="8">
        <v>4</v>
      </c>
      <c r="EH138" s="8">
        <v>85</v>
      </c>
      <c r="EI138" s="8">
        <v>15</v>
      </c>
      <c r="EJ138" s="8">
        <v>11</v>
      </c>
      <c r="EK138" s="8">
        <f t="shared" si="407"/>
        <v>157</v>
      </c>
      <c r="EL138" s="9">
        <v>99</v>
      </c>
      <c r="EM138" s="23">
        <v>33</v>
      </c>
      <c r="EN138" s="21">
        <v>7.68</v>
      </c>
      <c r="EO138" s="21">
        <v>2.0499999999999998</v>
      </c>
      <c r="EP138" s="22">
        <v>72.3</v>
      </c>
      <c r="EQ138" s="21">
        <v>26.2</v>
      </c>
      <c r="ER138" s="21">
        <v>2.16</v>
      </c>
      <c r="ES138" s="23" t="s">
        <v>208</v>
      </c>
      <c r="ET138" s="23"/>
      <c r="EU138" s="23"/>
      <c r="EV138" s="23"/>
      <c r="EW138" s="23"/>
      <c r="EX138" s="23"/>
      <c r="EY138" s="23"/>
    </row>
    <row r="139" spans="1:155" ht="17.100000000000001" customHeight="1">
      <c r="A139" s="174"/>
      <c r="B139" s="397" t="s">
        <v>291</v>
      </c>
      <c r="C139" s="190"/>
      <c r="D139" s="317"/>
      <c r="E139" s="320"/>
      <c r="F139" s="320"/>
      <c r="G139" s="323"/>
      <c r="H139" s="306"/>
      <c r="I139" s="309"/>
      <c r="J139" s="309"/>
      <c r="K139" s="309"/>
      <c r="L139" s="309"/>
      <c r="M139" s="309"/>
      <c r="N139" s="309"/>
      <c r="O139" s="309"/>
      <c r="P139" s="211"/>
      <c r="Q139" s="214"/>
      <c r="R139" s="378"/>
      <c r="S139" s="358"/>
      <c r="T139" s="358"/>
      <c r="U139" s="358"/>
      <c r="V139" s="358"/>
      <c r="W139" s="358"/>
      <c r="X139" s="385"/>
      <c r="Y139" s="378"/>
      <c r="Z139" s="358"/>
      <c r="AA139" s="358"/>
      <c r="AB139" s="358"/>
      <c r="AC139" s="358"/>
      <c r="AD139" s="358"/>
      <c r="AE139" s="385"/>
      <c r="AF139" s="378"/>
      <c r="AG139" s="212"/>
      <c r="AH139" s="212"/>
      <c r="AI139" s="212"/>
      <c r="AJ139" s="212"/>
      <c r="AK139" s="212"/>
      <c r="AL139" s="215"/>
      <c r="AM139" s="359"/>
      <c r="AN139" s="212"/>
      <c r="AO139" s="212"/>
      <c r="AP139" s="212"/>
      <c r="AQ139" s="212"/>
      <c r="AR139" s="212"/>
      <c r="AS139" s="212"/>
      <c r="AT139" s="359"/>
      <c r="AU139" s="212"/>
      <c r="AV139" s="212"/>
      <c r="AW139" s="212"/>
      <c r="AX139" s="212"/>
      <c r="AY139" s="212"/>
      <c r="AZ139" s="215"/>
      <c r="BA139" s="359"/>
      <c r="BB139" s="359"/>
      <c r="BC139" s="359"/>
      <c r="BD139" s="359"/>
      <c r="BE139" s="359"/>
      <c r="BF139" s="359"/>
      <c r="BG139" s="359"/>
      <c r="BH139" s="359"/>
      <c r="BI139" s="212"/>
      <c r="BJ139" s="212"/>
      <c r="BK139" s="212"/>
      <c r="BL139" s="212"/>
      <c r="BM139" s="212"/>
      <c r="BN139" s="215"/>
      <c r="BO139" s="197">
        <v>71.599999999999994</v>
      </c>
      <c r="BP139" s="197">
        <v>0.45400000000000001</v>
      </c>
      <c r="BQ139" s="197">
        <v>3.78</v>
      </c>
      <c r="BR139" s="197"/>
      <c r="BS139" s="197"/>
      <c r="BT139" s="197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206"/>
      <c r="CN139" s="206"/>
      <c r="CO139" s="13">
        <v>11</v>
      </c>
      <c r="CP139" s="21">
        <v>7.88</v>
      </c>
      <c r="CQ139" s="21">
        <v>2.09</v>
      </c>
      <c r="CR139" s="22">
        <v>77</v>
      </c>
      <c r="CS139" s="21">
        <v>18.7</v>
      </c>
      <c r="CT139" s="21">
        <v>1.55</v>
      </c>
      <c r="CU139" s="40" t="s">
        <v>186</v>
      </c>
      <c r="CV139" s="8">
        <v>2.2999999999999998</v>
      </c>
      <c r="CW139" s="8">
        <v>17</v>
      </c>
      <c r="CX139" s="8">
        <v>22</v>
      </c>
      <c r="CY139" s="13"/>
      <c r="CZ139" s="21"/>
      <c r="DA139" s="21"/>
      <c r="DB139" s="22"/>
      <c r="DC139" s="21"/>
      <c r="DD139" s="21"/>
      <c r="DE139" s="40"/>
      <c r="DF139" s="8"/>
      <c r="DG139" s="8"/>
      <c r="DH139" s="8"/>
      <c r="DI139" s="23"/>
      <c r="DJ139" s="21"/>
      <c r="DK139" s="21"/>
      <c r="DL139" s="22"/>
      <c r="DM139" s="21"/>
      <c r="DN139" s="21"/>
      <c r="DO139" s="23"/>
      <c r="DP139" s="23"/>
      <c r="DQ139" s="23"/>
      <c r="DR139" s="23"/>
      <c r="DS139" s="42"/>
      <c r="DT139" s="21"/>
      <c r="DU139" s="21"/>
      <c r="DV139" s="22"/>
      <c r="DW139" s="21"/>
      <c r="DX139" s="21"/>
      <c r="DY139" s="40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9" t="s">
        <v>224</v>
      </c>
      <c r="EM139" s="23">
        <v>54</v>
      </c>
      <c r="EN139" s="21">
        <v>7.73</v>
      </c>
      <c r="EO139" s="21">
        <v>2.23</v>
      </c>
      <c r="EP139" s="22">
        <v>70.8</v>
      </c>
      <c r="EQ139" s="21">
        <v>25.9</v>
      </c>
      <c r="ER139" s="21">
        <v>2.17</v>
      </c>
      <c r="ES139" s="23" t="s">
        <v>176</v>
      </c>
      <c r="ET139" s="23"/>
      <c r="EU139" s="23"/>
      <c r="EV139" s="23"/>
      <c r="EW139" s="23"/>
      <c r="EX139" s="23"/>
      <c r="EY139" s="23"/>
    </row>
    <row r="140" spans="1:155" s="401" customFormat="1" ht="17.100000000000001" customHeight="1" thickBot="1">
      <c r="A140" s="175"/>
      <c r="B140" s="400" t="s">
        <v>291</v>
      </c>
      <c r="C140" s="191"/>
      <c r="D140" s="318"/>
      <c r="E140" s="321"/>
      <c r="F140" s="321"/>
      <c r="G140" s="324"/>
      <c r="H140" s="307"/>
      <c r="I140" s="310"/>
      <c r="J140" s="310"/>
      <c r="K140" s="310"/>
      <c r="L140" s="310"/>
      <c r="M140" s="310"/>
      <c r="N140" s="310"/>
      <c r="O140" s="310"/>
      <c r="P140" s="302"/>
      <c r="Q140" s="304"/>
      <c r="R140" s="91"/>
      <c r="S140" s="92"/>
      <c r="T140" s="92"/>
      <c r="U140" s="92"/>
      <c r="V140" s="92"/>
      <c r="W140" s="92"/>
      <c r="X140" s="95"/>
      <c r="Y140" s="91"/>
      <c r="Z140" s="92"/>
      <c r="AA140" s="92"/>
      <c r="AB140" s="92"/>
      <c r="AC140" s="92"/>
      <c r="AD140" s="92"/>
      <c r="AE140" s="95"/>
      <c r="AF140" s="91"/>
      <c r="AG140" s="93"/>
      <c r="AH140" s="93"/>
      <c r="AI140" s="93"/>
      <c r="AJ140" s="93"/>
      <c r="AK140" s="93"/>
      <c r="AL140" s="94"/>
      <c r="AM140" s="96"/>
      <c r="AN140" s="93"/>
      <c r="AO140" s="93"/>
      <c r="AP140" s="93"/>
      <c r="AQ140" s="93"/>
      <c r="AR140" s="93"/>
      <c r="AS140" s="93"/>
      <c r="AT140" s="96"/>
      <c r="AU140" s="93"/>
      <c r="AV140" s="93"/>
      <c r="AW140" s="93"/>
      <c r="AX140" s="93"/>
      <c r="AY140" s="93"/>
      <c r="AZ140" s="94"/>
      <c r="BA140" s="96"/>
      <c r="BB140" s="96"/>
      <c r="BC140" s="96"/>
      <c r="BD140" s="96"/>
      <c r="BE140" s="96"/>
      <c r="BF140" s="96"/>
      <c r="BG140" s="96"/>
      <c r="BH140" s="96"/>
      <c r="BI140" s="93"/>
      <c r="BJ140" s="93"/>
      <c r="BK140" s="93"/>
      <c r="BL140" s="93"/>
      <c r="BM140" s="93"/>
      <c r="BN140" s="94"/>
      <c r="BO140" s="65"/>
      <c r="BP140" s="65"/>
      <c r="BQ140" s="65"/>
      <c r="BR140" s="65"/>
      <c r="BS140" s="65"/>
      <c r="BT140" s="65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6"/>
      <c r="CN140" s="66"/>
      <c r="CO140" s="98"/>
      <c r="CP140" s="99"/>
      <c r="CQ140" s="99"/>
      <c r="CR140" s="100"/>
      <c r="CS140" s="99"/>
      <c r="CT140" s="99"/>
      <c r="CU140" s="153"/>
      <c r="CV140" s="102"/>
      <c r="CW140" s="102"/>
      <c r="CX140" s="102"/>
      <c r="CY140" s="98"/>
      <c r="CZ140" s="99"/>
      <c r="DA140" s="99"/>
      <c r="DB140" s="100"/>
      <c r="DC140" s="99"/>
      <c r="DD140" s="99"/>
      <c r="DE140" s="153"/>
      <c r="DF140" s="102"/>
      <c r="DG140" s="102"/>
      <c r="DH140" s="102"/>
      <c r="DI140" s="160"/>
      <c r="DJ140" s="161"/>
      <c r="DK140" s="161"/>
      <c r="DL140" s="162"/>
      <c r="DM140" s="161"/>
      <c r="DN140" s="161"/>
      <c r="DO140" s="160"/>
      <c r="DP140" s="160"/>
      <c r="DQ140" s="160"/>
      <c r="DR140" s="160"/>
      <c r="DS140" s="156"/>
      <c r="DT140" s="99"/>
      <c r="DU140" s="99"/>
      <c r="DV140" s="100"/>
      <c r="DW140" s="99"/>
      <c r="DX140" s="99"/>
      <c r="DY140" s="153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6" t="s">
        <v>225</v>
      </c>
      <c r="EM140" s="101">
        <v>37</v>
      </c>
      <c r="EN140" s="99">
        <v>7.79</v>
      </c>
      <c r="EO140" s="99">
        <v>2.13</v>
      </c>
      <c r="EP140" s="100">
        <v>72.8</v>
      </c>
      <c r="EQ140" s="99">
        <v>26.4</v>
      </c>
      <c r="ER140" s="99">
        <v>2.1</v>
      </c>
      <c r="ES140" s="101" t="s">
        <v>121</v>
      </c>
      <c r="ET140" s="101"/>
      <c r="EU140" s="101"/>
      <c r="EV140" s="101"/>
      <c r="EW140" s="101"/>
      <c r="EX140" s="101"/>
      <c r="EY140" s="101"/>
    </row>
    <row r="141" spans="1:155" s="398" customFormat="1" ht="17.100000000000001" customHeight="1">
      <c r="A141" s="173">
        <v>34</v>
      </c>
      <c r="B141" s="397" t="s">
        <v>292</v>
      </c>
      <c r="C141" s="189" t="s">
        <v>96</v>
      </c>
      <c r="D141" s="316">
        <f t="shared" ref="D141:D144" si="408">(I141+H141)/(H141+I141+J141+K141+L141)*100</f>
        <v>70.212765957446805</v>
      </c>
      <c r="E141" s="319">
        <f t="shared" ref="E141:E144" si="409">J141/(H141+I141+J141+K141+L141)*100</f>
        <v>29.787234042553191</v>
      </c>
      <c r="F141" s="319">
        <f t="shared" ref="F141:F144" si="410">K141/(H141+I141+J141+K141+L141)*100</f>
        <v>0</v>
      </c>
      <c r="G141" s="322">
        <f t="shared" ref="G141:G144" si="411">L141/(H141+I141+J141+K141+L141)*100</f>
        <v>0</v>
      </c>
      <c r="H141" s="305">
        <v>16.5</v>
      </c>
      <c r="I141" s="308">
        <v>0</v>
      </c>
      <c r="J141" s="308">
        <v>7</v>
      </c>
      <c r="K141" s="308">
        <v>0</v>
      </c>
      <c r="L141" s="308">
        <v>0</v>
      </c>
      <c r="M141" s="308">
        <v>7</v>
      </c>
      <c r="N141" s="308">
        <v>1.8</v>
      </c>
      <c r="O141" s="308">
        <v>0</v>
      </c>
      <c r="P141" s="301"/>
      <c r="Q141" s="303"/>
      <c r="R141" s="305">
        <v>1.22</v>
      </c>
      <c r="S141" s="308">
        <v>0</v>
      </c>
      <c r="T141" s="308">
        <v>0.35</v>
      </c>
      <c r="U141" s="308">
        <v>0</v>
      </c>
      <c r="V141" s="308">
        <v>0</v>
      </c>
      <c r="W141" s="308">
        <v>3.57</v>
      </c>
      <c r="X141" s="335">
        <v>20.5</v>
      </c>
      <c r="Y141" s="305">
        <f t="shared" ref="Y141:AD141" si="412">H141*R141*10</f>
        <v>201.29999999999998</v>
      </c>
      <c r="Z141" s="308">
        <f t="shared" si="412"/>
        <v>0</v>
      </c>
      <c r="AA141" s="308">
        <f t="shared" si="412"/>
        <v>24.499999999999996</v>
      </c>
      <c r="AB141" s="308">
        <f t="shared" si="412"/>
        <v>0</v>
      </c>
      <c r="AC141" s="308">
        <f t="shared" si="412"/>
        <v>0</v>
      </c>
      <c r="AD141" s="308">
        <f t="shared" si="412"/>
        <v>249.89999999999998</v>
      </c>
      <c r="AE141" s="335">
        <f t="shared" ref="AE141" si="413">X141*O141*10</f>
        <v>0</v>
      </c>
      <c r="AF141" s="305">
        <v>12.8</v>
      </c>
      <c r="AG141" s="301">
        <v>0</v>
      </c>
      <c r="AH141" s="301">
        <v>2.2999999999999998</v>
      </c>
      <c r="AI141" s="301">
        <v>0</v>
      </c>
      <c r="AJ141" s="301">
        <v>0</v>
      </c>
      <c r="AK141" s="301">
        <v>28.7</v>
      </c>
      <c r="AL141" s="303">
        <v>85</v>
      </c>
      <c r="AM141" s="332">
        <f t="shared" ref="AM141" si="414">AF141*10*H141</f>
        <v>2112</v>
      </c>
      <c r="AN141" s="301">
        <f t="shared" ref="AN141:AS141" si="415">AG141*I141*10</f>
        <v>0</v>
      </c>
      <c r="AO141" s="301">
        <f t="shared" si="415"/>
        <v>160.99999999999997</v>
      </c>
      <c r="AP141" s="301">
        <f t="shared" si="415"/>
        <v>0</v>
      </c>
      <c r="AQ141" s="301">
        <f t="shared" si="415"/>
        <v>0</v>
      </c>
      <c r="AR141" s="301">
        <f t="shared" si="415"/>
        <v>2009</v>
      </c>
      <c r="AS141" s="301">
        <f t="shared" si="415"/>
        <v>1530</v>
      </c>
      <c r="AT141" s="332">
        <v>14.3</v>
      </c>
      <c r="AU141" s="301">
        <v>0</v>
      </c>
      <c r="AV141" s="301">
        <v>52.2</v>
      </c>
      <c r="AW141" s="301">
        <v>0</v>
      </c>
      <c r="AX141" s="301">
        <v>0</v>
      </c>
      <c r="AY141" s="301">
        <v>17.399999999999999</v>
      </c>
      <c r="AZ141" s="303">
        <v>28.2</v>
      </c>
      <c r="BA141" s="332">
        <f t="shared" ref="BA141:BG141" si="416">(H141*3*1000)/(1-AT141/100)</f>
        <v>57759.626604434074</v>
      </c>
      <c r="BB141" s="332">
        <f t="shared" si="416"/>
        <v>0</v>
      </c>
      <c r="BC141" s="332">
        <f t="shared" si="416"/>
        <v>43933.054393305443</v>
      </c>
      <c r="BD141" s="332">
        <f t="shared" si="416"/>
        <v>0</v>
      </c>
      <c r="BE141" s="332">
        <f t="shared" si="416"/>
        <v>0</v>
      </c>
      <c r="BF141" s="332">
        <f t="shared" si="416"/>
        <v>25423.728813559319</v>
      </c>
      <c r="BG141" s="332">
        <f t="shared" si="416"/>
        <v>7520.8913649025071</v>
      </c>
      <c r="BH141" s="332">
        <f t="shared" ref="BH141" si="417">H141+I141+J141+K141+L141</f>
        <v>23.5</v>
      </c>
      <c r="BI141" s="301">
        <f t="shared" ref="BI141" si="418">M141+N141+O141</f>
        <v>8.8000000000000007</v>
      </c>
      <c r="BJ141" s="301">
        <f t="shared" ref="BJ141" si="419">BH141+BI141</f>
        <v>32.299999999999997</v>
      </c>
      <c r="BK141" s="301">
        <f t="shared" ref="BK141" si="420">Y141+Z141+AA141+AB141+AC141+AD141+AE141</f>
        <v>475.69999999999993</v>
      </c>
      <c r="BL141" s="301">
        <f t="shared" ref="BL141" si="421">AM141+AN141+AO141+AP141+AQ141+AR141+AS141</f>
        <v>5812</v>
      </c>
      <c r="BM141" s="301">
        <f t="shared" ref="BM141" si="422">BJ141*3*1000</f>
        <v>96899.999999999985</v>
      </c>
      <c r="BN141" s="303">
        <f t="shared" ref="BN141" si="423">BA141+BB141+BC141+BD141+BE141+BF141+BG141</f>
        <v>134637.30117620135</v>
      </c>
      <c r="BO141" s="216">
        <v>75.2</v>
      </c>
      <c r="BP141" s="216">
        <v>0.57299999999999995</v>
      </c>
      <c r="BQ141" s="216">
        <v>4.83</v>
      </c>
      <c r="BR141" s="216">
        <v>74.400000000000006</v>
      </c>
      <c r="BS141" s="216">
        <v>0.41</v>
      </c>
      <c r="BT141" s="216">
        <v>5.98</v>
      </c>
      <c r="BU141" s="218">
        <v>7.05</v>
      </c>
      <c r="BV141" s="218">
        <v>1.39</v>
      </c>
      <c r="BW141" s="218">
        <v>1290</v>
      </c>
      <c r="BX141" s="218">
        <v>5.47</v>
      </c>
      <c r="BY141" s="218">
        <v>8.9499999999999993</v>
      </c>
      <c r="BZ141" s="218">
        <v>8500</v>
      </c>
      <c r="CA141" s="218">
        <v>7.4</v>
      </c>
      <c r="CB141" s="218">
        <v>1.21</v>
      </c>
      <c r="CC141" s="218">
        <v>1040</v>
      </c>
      <c r="CD141" s="218">
        <v>7.24</v>
      </c>
      <c r="CE141" s="218">
        <v>4.0999999999999996</v>
      </c>
      <c r="CF141" s="218">
        <v>4300</v>
      </c>
      <c r="CG141" s="218"/>
      <c r="CH141" s="218"/>
      <c r="CI141" s="218"/>
      <c r="CJ141" s="218"/>
      <c r="CK141" s="218"/>
      <c r="CL141" s="218"/>
      <c r="CM141" s="220">
        <v>77.3</v>
      </c>
      <c r="CN141" s="220">
        <v>77.2</v>
      </c>
      <c r="CO141" s="75">
        <v>11</v>
      </c>
      <c r="CP141" s="122">
        <v>7.97</v>
      </c>
      <c r="CQ141" s="122">
        <v>1.9</v>
      </c>
      <c r="CR141" s="123">
        <v>77.2</v>
      </c>
      <c r="CS141" s="122">
        <v>19.5</v>
      </c>
      <c r="CT141" s="122">
        <v>1.68</v>
      </c>
      <c r="CU141" s="152" t="s">
        <v>226</v>
      </c>
      <c r="CV141" s="79">
        <v>2.8</v>
      </c>
      <c r="CW141" s="79">
        <v>11</v>
      </c>
      <c r="CX141" s="79">
        <v>44</v>
      </c>
      <c r="CY141" s="75">
        <v>7</v>
      </c>
      <c r="CZ141" s="122">
        <v>8.02</v>
      </c>
      <c r="DA141" s="122">
        <v>1.84</v>
      </c>
      <c r="DB141" s="123">
        <v>76.599999999999994</v>
      </c>
      <c r="DC141" s="122">
        <v>20.7</v>
      </c>
      <c r="DD141" s="122">
        <v>1.75</v>
      </c>
      <c r="DE141" s="152" t="s">
        <v>107</v>
      </c>
      <c r="DF141" s="79">
        <v>2.5</v>
      </c>
      <c r="DG141" s="79">
        <v>8</v>
      </c>
      <c r="DH141" s="79">
        <v>46</v>
      </c>
      <c r="DP141" s="154"/>
      <c r="DQ141" s="154"/>
      <c r="DR141" s="154"/>
      <c r="DS141" s="155">
        <v>7</v>
      </c>
      <c r="DT141" s="122">
        <v>7.93</v>
      </c>
      <c r="DU141" s="122">
        <v>2.0099999999999998</v>
      </c>
      <c r="DV141" s="123">
        <v>75.3</v>
      </c>
      <c r="DW141" s="122">
        <v>23.1</v>
      </c>
      <c r="DX141" s="122">
        <v>1.86</v>
      </c>
      <c r="DY141" s="152" t="s">
        <v>116</v>
      </c>
      <c r="DZ141" s="79">
        <v>2.5</v>
      </c>
      <c r="EA141" s="79">
        <v>6</v>
      </c>
      <c r="EB141" s="79">
        <v>8</v>
      </c>
      <c r="EC141" s="79">
        <v>4</v>
      </c>
      <c r="ED141" s="79">
        <v>4</v>
      </c>
      <c r="EE141" s="79">
        <v>8</v>
      </c>
      <c r="EF141" s="79">
        <v>14</v>
      </c>
      <c r="EG141" s="79">
        <v>0</v>
      </c>
      <c r="EH141" s="79">
        <v>85</v>
      </c>
      <c r="EI141" s="79">
        <v>12</v>
      </c>
      <c r="EJ141" s="79">
        <v>1</v>
      </c>
      <c r="EK141" s="79">
        <f t="shared" ref="EK141:EK143" si="424">EA141+EB141+EC141+ED141+EE141+EF141+EG141+EH141+EI141+EJ141</f>
        <v>142</v>
      </c>
      <c r="EL141" s="163" t="s">
        <v>227</v>
      </c>
      <c r="EM141" s="121">
        <v>24</v>
      </c>
      <c r="EN141" s="122">
        <v>7.66</v>
      </c>
      <c r="EO141" s="122">
        <v>1.9</v>
      </c>
      <c r="EP141" s="123">
        <v>72.7</v>
      </c>
      <c r="EQ141" s="122">
        <v>26</v>
      </c>
      <c r="ER141" s="122">
        <v>2.1</v>
      </c>
      <c r="ES141" s="121" t="s">
        <v>111</v>
      </c>
      <c r="ET141" s="121"/>
      <c r="EU141" s="121"/>
      <c r="EV141" s="121"/>
      <c r="EW141" s="121"/>
      <c r="EX141" s="121"/>
      <c r="EY141" s="121"/>
    </row>
    <row r="142" spans="1:155" ht="17.100000000000001" customHeight="1">
      <c r="A142" s="174"/>
      <c r="B142" s="397" t="s">
        <v>292</v>
      </c>
      <c r="C142" s="190"/>
      <c r="D142" s="317" t="e">
        <f t="shared" si="408"/>
        <v>#DIV/0!</v>
      </c>
      <c r="E142" s="320" t="e">
        <f t="shared" si="409"/>
        <v>#DIV/0!</v>
      </c>
      <c r="F142" s="320" t="e">
        <f t="shared" si="410"/>
        <v>#DIV/0!</v>
      </c>
      <c r="G142" s="323" t="e">
        <f t="shared" si="411"/>
        <v>#DIV/0!</v>
      </c>
      <c r="H142" s="306"/>
      <c r="I142" s="309"/>
      <c r="J142" s="309"/>
      <c r="K142" s="309"/>
      <c r="L142" s="309"/>
      <c r="M142" s="309"/>
      <c r="N142" s="309"/>
      <c r="O142" s="309"/>
      <c r="P142" s="211"/>
      <c r="Q142" s="214"/>
      <c r="R142" s="306"/>
      <c r="S142" s="309"/>
      <c r="T142" s="309"/>
      <c r="U142" s="309"/>
      <c r="V142" s="309"/>
      <c r="W142" s="309"/>
      <c r="X142" s="336"/>
      <c r="Y142" s="306"/>
      <c r="Z142" s="309"/>
      <c r="AA142" s="309"/>
      <c r="AB142" s="309"/>
      <c r="AC142" s="309"/>
      <c r="AD142" s="309"/>
      <c r="AE142" s="336"/>
      <c r="AF142" s="306"/>
      <c r="AG142" s="211"/>
      <c r="AH142" s="211"/>
      <c r="AI142" s="211"/>
      <c r="AJ142" s="211"/>
      <c r="AK142" s="211"/>
      <c r="AL142" s="214"/>
      <c r="AM142" s="333"/>
      <c r="AN142" s="211"/>
      <c r="AO142" s="211"/>
      <c r="AP142" s="211"/>
      <c r="AQ142" s="211"/>
      <c r="AR142" s="211"/>
      <c r="AS142" s="211"/>
      <c r="AT142" s="333"/>
      <c r="AU142" s="211"/>
      <c r="AV142" s="211"/>
      <c r="AW142" s="211"/>
      <c r="AX142" s="211"/>
      <c r="AY142" s="211"/>
      <c r="AZ142" s="214"/>
      <c r="BA142" s="333"/>
      <c r="BB142" s="333"/>
      <c r="BC142" s="333"/>
      <c r="BD142" s="333"/>
      <c r="BE142" s="333"/>
      <c r="BF142" s="333"/>
      <c r="BG142" s="333"/>
      <c r="BH142" s="333"/>
      <c r="BI142" s="211"/>
      <c r="BJ142" s="211"/>
      <c r="BK142" s="211"/>
      <c r="BL142" s="211"/>
      <c r="BM142" s="211"/>
      <c r="BN142" s="214"/>
      <c r="BO142" s="196"/>
      <c r="BP142" s="196"/>
      <c r="BQ142" s="196"/>
      <c r="BR142" s="196"/>
      <c r="BS142" s="196"/>
      <c r="BT142" s="196"/>
      <c r="BU142" s="193"/>
      <c r="BV142" s="193"/>
      <c r="BW142" s="193"/>
      <c r="BX142" s="193"/>
      <c r="BY142" s="193"/>
      <c r="BZ142" s="193"/>
      <c r="CA142" s="193"/>
      <c r="CB142" s="193"/>
      <c r="CC142" s="193"/>
      <c r="CD142" s="193"/>
      <c r="CE142" s="193"/>
      <c r="CF142" s="193"/>
      <c r="CG142" s="193"/>
      <c r="CH142" s="193"/>
      <c r="CI142" s="193"/>
      <c r="CJ142" s="193"/>
      <c r="CK142" s="193"/>
      <c r="CL142" s="193"/>
      <c r="CM142" s="205"/>
      <c r="CN142" s="205"/>
      <c r="CO142" s="13">
        <v>10</v>
      </c>
      <c r="CP142" s="21">
        <v>8.1199999999999992</v>
      </c>
      <c r="CQ142" s="21">
        <v>1.86</v>
      </c>
      <c r="CR142" s="22">
        <v>77.5</v>
      </c>
      <c r="CS142" s="21">
        <v>19</v>
      </c>
      <c r="CT142" s="21">
        <v>1.7</v>
      </c>
      <c r="CU142" s="40" t="s">
        <v>177</v>
      </c>
      <c r="CV142" s="8">
        <v>2.8</v>
      </c>
      <c r="CW142" s="8">
        <v>14</v>
      </c>
      <c r="CX142" s="8">
        <v>54</v>
      </c>
      <c r="CY142" s="13">
        <v>6</v>
      </c>
      <c r="CZ142" s="21">
        <v>8.11</v>
      </c>
      <c r="DA142" s="21">
        <v>1.8</v>
      </c>
      <c r="DB142" s="22">
        <v>76.2</v>
      </c>
      <c r="DC142" s="21">
        <v>21</v>
      </c>
      <c r="DD142" s="21">
        <v>1.7</v>
      </c>
      <c r="DE142" s="40" t="s">
        <v>100</v>
      </c>
      <c r="DF142" s="8">
        <v>2.5</v>
      </c>
      <c r="DG142" s="8">
        <v>11</v>
      </c>
      <c r="DH142" s="8">
        <v>41</v>
      </c>
      <c r="DI142" s="23"/>
      <c r="DJ142" s="21"/>
      <c r="DK142" s="21"/>
      <c r="DL142" s="22"/>
      <c r="DM142" s="21"/>
      <c r="DN142" s="21"/>
      <c r="DO142" s="23"/>
      <c r="DP142" s="23"/>
      <c r="DQ142" s="23"/>
      <c r="DR142" s="23"/>
      <c r="DS142" s="41">
        <v>8</v>
      </c>
      <c r="DT142" s="21">
        <v>7.84</v>
      </c>
      <c r="DU142" s="21">
        <v>2.09</v>
      </c>
      <c r="DV142" s="22">
        <v>75.599999999999994</v>
      </c>
      <c r="DW142" s="21">
        <v>23.2</v>
      </c>
      <c r="DX142" s="21">
        <v>1.9</v>
      </c>
      <c r="DY142" s="40" t="s">
        <v>166</v>
      </c>
      <c r="DZ142" s="8">
        <v>2.4</v>
      </c>
      <c r="EA142" s="8">
        <v>5</v>
      </c>
      <c r="EB142" s="8">
        <v>7</v>
      </c>
      <c r="EC142" s="8">
        <v>9</v>
      </c>
      <c r="ED142" s="8">
        <v>1</v>
      </c>
      <c r="EE142" s="8">
        <v>8</v>
      </c>
      <c r="EF142" s="8">
        <v>13</v>
      </c>
      <c r="EG142" s="8">
        <v>0</v>
      </c>
      <c r="EH142" s="8">
        <v>85</v>
      </c>
      <c r="EI142" s="8">
        <v>13</v>
      </c>
      <c r="EJ142" s="8">
        <v>23</v>
      </c>
      <c r="EK142" s="8">
        <f t="shared" si="424"/>
        <v>164</v>
      </c>
      <c r="EL142" s="43">
        <v>100</v>
      </c>
      <c r="EM142" s="23">
        <v>21</v>
      </c>
      <c r="EN142" s="21">
        <v>7.8</v>
      </c>
      <c r="EO142" s="21">
        <v>2.04</v>
      </c>
      <c r="EP142" s="22">
        <v>71</v>
      </c>
      <c r="EQ142" s="21">
        <v>25.8</v>
      </c>
      <c r="ER142" s="21">
        <v>2.1</v>
      </c>
      <c r="ES142" s="23" t="s">
        <v>111</v>
      </c>
      <c r="ET142" s="23"/>
      <c r="EU142" s="23"/>
      <c r="EV142" s="23"/>
      <c r="EW142" s="23"/>
      <c r="EX142" s="23"/>
      <c r="EY142" s="23"/>
    </row>
    <row r="143" spans="1:155" ht="17.100000000000001" customHeight="1">
      <c r="A143" s="174"/>
      <c r="B143" s="397" t="s">
        <v>292</v>
      </c>
      <c r="C143" s="190"/>
      <c r="D143" s="317" t="e">
        <f t="shared" si="408"/>
        <v>#DIV/0!</v>
      </c>
      <c r="E143" s="320" t="e">
        <f t="shared" si="409"/>
        <v>#DIV/0!</v>
      </c>
      <c r="F143" s="320" t="e">
        <f t="shared" si="410"/>
        <v>#DIV/0!</v>
      </c>
      <c r="G143" s="323" t="e">
        <f t="shared" si="411"/>
        <v>#DIV/0!</v>
      </c>
      <c r="H143" s="306"/>
      <c r="I143" s="309"/>
      <c r="J143" s="309"/>
      <c r="K143" s="309"/>
      <c r="L143" s="309"/>
      <c r="M143" s="309"/>
      <c r="N143" s="309"/>
      <c r="O143" s="309"/>
      <c r="P143" s="211"/>
      <c r="Q143" s="214"/>
      <c r="R143" s="306"/>
      <c r="S143" s="309"/>
      <c r="T143" s="309"/>
      <c r="U143" s="309"/>
      <c r="V143" s="309"/>
      <c r="W143" s="309"/>
      <c r="X143" s="336"/>
      <c r="Y143" s="306"/>
      <c r="Z143" s="309"/>
      <c r="AA143" s="309"/>
      <c r="AB143" s="309"/>
      <c r="AC143" s="309"/>
      <c r="AD143" s="309"/>
      <c r="AE143" s="336"/>
      <c r="AF143" s="306"/>
      <c r="AG143" s="211"/>
      <c r="AH143" s="211"/>
      <c r="AI143" s="211"/>
      <c r="AJ143" s="211"/>
      <c r="AK143" s="211"/>
      <c r="AL143" s="214"/>
      <c r="AM143" s="333"/>
      <c r="AN143" s="211"/>
      <c r="AO143" s="211"/>
      <c r="AP143" s="211"/>
      <c r="AQ143" s="211"/>
      <c r="AR143" s="211"/>
      <c r="AS143" s="211"/>
      <c r="AT143" s="333"/>
      <c r="AU143" s="211"/>
      <c r="AV143" s="211"/>
      <c r="AW143" s="211"/>
      <c r="AX143" s="211"/>
      <c r="AY143" s="211"/>
      <c r="AZ143" s="214"/>
      <c r="BA143" s="333"/>
      <c r="BB143" s="333"/>
      <c r="BC143" s="333"/>
      <c r="BD143" s="333"/>
      <c r="BE143" s="333"/>
      <c r="BF143" s="333"/>
      <c r="BG143" s="333"/>
      <c r="BH143" s="333"/>
      <c r="BI143" s="211"/>
      <c r="BJ143" s="211"/>
      <c r="BK143" s="211"/>
      <c r="BL143" s="211"/>
      <c r="BM143" s="211"/>
      <c r="BN143" s="214"/>
      <c r="BO143" s="196"/>
      <c r="BP143" s="196"/>
      <c r="BQ143" s="196"/>
      <c r="BR143" s="196"/>
      <c r="BS143" s="196"/>
      <c r="BT143" s="196"/>
      <c r="BU143" s="193"/>
      <c r="BV143" s="193"/>
      <c r="BW143" s="193"/>
      <c r="BX143" s="193"/>
      <c r="BY143" s="193"/>
      <c r="BZ143" s="193"/>
      <c r="CA143" s="193"/>
      <c r="CB143" s="193"/>
      <c r="CC143" s="193"/>
      <c r="CD143" s="193"/>
      <c r="CE143" s="193"/>
      <c r="CF143" s="193"/>
      <c r="CG143" s="193"/>
      <c r="CH143" s="193"/>
      <c r="CI143" s="193"/>
      <c r="CJ143" s="193"/>
      <c r="CK143" s="193"/>
      <c r="CL143" s="193"/>
      <c r="CM143" s="205"/>
      <c r="CN143" s="205"/>
      <c r="CO143" s="13">
        <v>9</v>
      </c>
      <c r="CP143" s="21">
        <v>8.18</v>
      </c>
      <c r="CQ143" s="21">
        <v>1.76</v>
      </c>
      <c r="CR143" s="22">
        <v>77.5</v>
      </c>
      <c r="CS143" s="21">
        <v>17.8</v>
      </c>
      <c r="CT143" s="21">
        <v>1.64</v>
      </c>
      <c r="CU143" s="40" t="s">
        <v>158</v>
      </c>
      <c r="CV143" s="8">
        <v>2.9</v>
      </c>
      <c r="CW143" s="8">
        <v>14</v>
      </c>
      <c r="CX143" s="8">
        <v>42</v>
      </c>
      <c r="CY143" s="13">
        <v>5</v>
      </c>
      <c r="CZ143" s="21">
        <v>8.15</v>
      </c>
      <c r="DA143" s="21">
        <v>1.99</v>
      </c>
      <c r="DB143" s="22">
        <v>76.5</v>
      </c>
      <c r="DC143" s="21">
        <v>21.8</v>
      </c>
      <c r="DD143" s="21">
        <v>1.75</v>
      </c>
      <c r="DE143" s="40" t="s">
        <v>228</v>
      </c>
      <c r="DF143" s="8">
        <v>2.4500000000000002</v>
      </c>
      <c r="DG143" s="8">
        <v>15</v>
      </c>
      <c r="DH143" s="8">
        <v>43</v>
      </c>
      <c r="DI143" s="23"/>
      <c r="DJ143" s="21"/>
      <c r="DK143" s="21"/>
      <c r="DL143" s="22"/>
      <c r="DM143" s="21"/>
      <c r="DN143" s="21"/>
      <c r="DO143" s="23"/>
      <c r="DP143" s="23"/>
      <c r="DQ143" s="23"/>
      <c r="DR143" s="23"/>
      <c r="DS143" s="41">
        <v>4</v>
      </c>
      <c r="DT143" s="21">
        <v>7.8</v>
      </c>
      <c r="DU143" s="21">
        <v>1.94</v>
      </c>
      <c r="DV143" s="22">
        <v>75.8</v>
      </c>
      <c r="DW143" s="21">
        <v>22.6</v>
      </c>
      <c r="DX143" s="21">
        <v>1.88</v>
      </c>
      <c r="DY143" s="40" t="s">
        <v>108</v>
      </c>
      <c r="DZ143" s="8">
        <v>2.1</v>
      </c>
      <c r="EA143" s="8">
        <v>5</v>
      </c>
      <c r="EB143" s="8">
        <v>8</v>
      </c>
      <c r="EC143" s="8">
        <v>10</v>
      </c>
      <c r="ED143" s="8">
        <v>0</v>
      </c>
      <c r="EE143" s="8">
        <v>8</v>
      </c>
      <c r="EF143" s="8">
        <v>9</v>
      </c>
      <c r="EG143" s="8">
        <v>5</v>
      </c>
      <c r="EH143" s="8">
        <v>85</v>
      </c>
      <c r="EI143" s="8">
        <v>30</v>
      </c>
      <c r="EJ143" s="8">
        <v>10</v>
      </c>
      <c r="EK143" s="8">
        <f t="shared" si="424"/>
        <v>170</v>
      </c>
      <c r="EL143" s="43">
        <v>101</v>
      </c>
      <c r="EM143" s="23">
        <v>19</v>
      </c>
      <c r="EN143" s="21">
        <v>7.82</v>
      </c>
      <c r="EO143" s="21">
        <v>1.93</v>
      </c>
      <c r="EP143" s="22">
        <v>70.3</v>
      </c>
      <c r="EQ143" s="21">
        <v>25.7</v>
      </c>
      <c r="ER143" s="21">
        <v>2.17</v>
      </c>
      <c r="ES143" s="23" t="s">
        <v>180</v>
      </c>
      <c r="ET143" s="23"/>
      <c r="EU143" s="23"/>
      <c r="EV143" s="23"/>
      <c r="EW143" s="23"/>
      <c r="EX143" s="23"/>
      <c r="EY143" s="23"/>
    </row>
    <row r="144" spans="1:155" s="402" customFormat="1" ht="17.100000000000001" customHeight="1">
      <c r="A144" s="174"/>
      <c r="B144" s="397" t="s">
        <v>292</v>
      </c>
      <c r="C144" s="190"/>
      <c r="D144" s="374" t="e">
        <f t="shared" si="408"/>
        <v>#DIV/0!</v>
      </c>
      <c r="E144" s="356" t="e">
        <f t="shared" si="409"/>
        <v>#DIV/0!</v>
      </c>
      <c r="F144" s="356" t="e">
        <f t="shared" si="410"/>
        <v>#DIV/0!</v>
      </c>
      <c r="G144" s="357" t="e">
        <f t="shared" si="411"/>
        <v>#DIV/0!</v>
      </c>
      <c r="H144" s="378"/>
      <c r="I144" s="358"/>
      <c r="J144" s="358"/>
      <c r="K144" s="358"/>
      <c r="L144" s="358"/>
      <c r="M144" s="358"/>
      <c r="N144" s="358"/>
      <c r="O144" s="358"/>
      <c r="P144" s="212"/>
      <c r="Q144" s="215"/>
      <c r="R144" s="378"/>
      <c r="S144" s="358"/>
      <c r="T144" s="358"/>
      <c r="U144" s="358"/>
      <c r="V144" s="358"/>
      <c r="W144" s="358"/>
      <c r="X144" s="385"/>
      <c r="Y144" s="378"/>
      <c r="Z144" s="358"/>
      <c r="AA144" s="358"/>
      <c r="AB144" s="358"/>
      <c r="AC144" s="358"/>
      <c r="AD144" s="358"/>
      <c r="AE144" s="385"/>
      <c r="AF144" s="378"/>
      <c r="AG144" s="212"/>
      <c r="AH144" s="212"/>
      <c r="AI144" s="212"/>
      <c r="AJ144" s="212"/>
      <c r="AK144" s="212"/>
      <c r="AL144" s="215"/>
      <c r="AM144" s="359"/>
      <c r="AN144" s="212"/>
      <c r="AO144" s="212"/>
      <c r="AP144" s="212"/>
      <c r="AQ144" s="212"/>
      <c r="AR144" s="212"/>
      <c r="AS144" s="212"/>
      <c r="AT144" s="359"/>
      <c r="AU144" s="212"/>
      <c r="AV144" s="212"/>
      <c r="AW144" s="212"/>
      <c r="AX144" s="212"/>
      <c r="AY144" s="212"/>
      <c r="AZ144" s="215"/>
      <c r="BA144" s="359"/>
      <c r="BB144" s="359"/>
      <c r="BC144" s="359"/>
      <c r="BD144" s="359"/>
      <c r="BE144" s="359"/>
      <c r="BF144" s="359"/>
      <c r="BG144" s="359"/>
      <c r="BH144" s="359"/>
      <c r="BI144" s="212"/>
      <c r="BJ144" s="212"/>
      <c r="BK144" s="212"/>
      <c r="BL144" s="212"/>
      <c r="BM144" s="212"/>
      <c r="BN144" s="215"/>
      <c r="BO144" s="197"/>
      <c r="BP144" s="197"/>
      <c r="BQ144" s="197"/>
      <c r="BR144" s="197"/>
      <c r="BS144" s="197"/>
      <c r="BT144" s="197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206"/>
      <c r="CN144" s="206"/>
      <c r="CY144" s="13"/>
      <c r="CZ144" s="21"/>
      <c r="DA144" s="21"/>
      <c r="DB144" s="22"/>
      <c r="DC144" s="21"/>
      <c r="DD144" s="21"/>
      <c r="DE144" s="40"/>
      <c r="DF144" s="8"/>
      <c r="DG144" s="8"/>
      <c r="DH144" s="8"/>
      <c r="DI144" s="23"/>
      <c r="DJ144" s="21"/>
      <c r="DK144" s="21"/>
      <c r="DL144" s="22"/>
      <c r="DM144" s="21"/>
      <c r="DN144" s="21"/>
      <c r="DO144" s="23"/>
      <c r="DP144" s="23"/>
      <c r="DQ144" s="23"/>
      <c r="DR144" s="23"/>
      <c r="DS144" s="23"/>
      <c r="DT144" s="21"/>
      <c r="DU144" s="21"/>
      <c r="DV144" s="22"/>
      <c r="DW144" s="21"/>
      <c r="DX144" s="21"/>
      <c r="DY144" s="40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9">
        <v>102</v>
      </c>
      <c r="EM144" s="23">
        <v>20</v>
      </c>
      <c r="EN144" s="21">
        <v>7.64</v>
      </c>
      <c r="EO144" s="21">
        <v>2.04</v>
      </c>
      <c r="EP144" s="22">
        <v>71.2</v>
      </c>
      <c r="EQ144" s="21">
        <v>26.4</v>
      </c>
      <c r="ER144" s="21"/>
      <c r="ES144" s="23"/>
      <c r="ET144" s="23"/>
      <c r="EU144" s="23"/>
      <c r="EV144" s="23"/>
      <c r="EW144" s="23"/>
      <c r="EX144" s="23"/>
      <c r="EY144" s="23"/>
    </row>
    <row r="145" spans="1:155" s="401" customFormat="1" ht="17.100000000000001" customHeight="1" thickBot="1">
      <c r="A145" s="175"/>
      <c r="B145" s="400" t="s">
        <v>292</v>
      </c>
      <c r="C145" s="191"/>
      <c r="D145" s="88"/>
      <c r="E145" s="89"/>
      <c r="F145" s="89"/>
      <c r="G145" s="90"/>
      <c r="H145" s="91"/>
      <c r="I145" s="92"/>
      <c r="J145" s="92"/>
      <c r="K145" s="92"/>
      <c r="L145" s="92"/>
      <c r="M145" s="92"/>
      <c r="N145" s="92"/>
      <c r="O145" s="92"/>
      <c r="P145" s="93"/>
      <c r="Q145" s="94"/>
      <c r="R145" s="91"/>
      <c r="S145" s="92"/>
      <c r="T145" s="92"/>
      <c r="U145" s="92"/>
      <c r="V145" s="92"/>
      <c r="W145" s="92"/>
      <c r="X145" s="95"/>
      <c r="Y145" s="91"/>
      <c r="Z145" s="92"/>
      <c r="AA145" s="92"/>
      <c r="AB145" s="92"/>
      <c r="AC145" s="92"/>
      <c r="AD145" s="92"/>
      <c r="AE145" s="95"/>
      <c r="AF145" s="91"/>
      <c r="AG145" s="93"/>
      <c r="AH145" s="93"/>
      <c r="AI145" s="93"/>
      <c r="AJ145" s="93"/>
      <c r="AK145" s="93"/>
      <c r="AL145" s="94"/>
      <c r="AM145" s="96"/>
      <c r="AN145" s="93"/>
      <c r="AO145" s="93"/>
      <c r="AP145" s="93"/>
      <c r="AQ145" s="93"/>
      <c r="AR145" s="93"/>
      <c r="AS145" s="93"/>
      <c r="AT145" s="96"/>
      <c r="AU145" s="93"/>
      <c r="AV145" s="93"/>
      <c r="AW145" s="93"/>
      <c r="AX145" s="93"/>
      <c r="AY145" s="93"/>
      <c r="AZ145" s="94"/>
      <c r="BA145" s="96"/>
      <c r="BB145" s="96"/>
      <c r="BC145" s="96"/>
      <c r="BD145" s="96"/>
      <c r="BE145" s="96"/>
      <c r="BF145" s="96"/>
      <c r="BG145" s="96"/>
      <c r="BH145" s="96"/>
      <c r="BI145" s="93"/>
      <c r="BJ145" s="93"/>
      <c r="BK145" s="93"/>
      <c r="BL145" s="93"/>
      <c r="BM145" s="93"/>
      <c r="BN145" s="94"/>
      <c r="BO145" s="65"/>
      <c r="BP145" s="65"/>
      <c r="BQ145" s="65"/>
      <c r="BR145" s="65"/>
      <c r="BS145" s="65"/>
      <c r="BT145" s="65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6"/>
      <c r="CN145" s="66"/>
      <c r="CY145" s="98"/>
      <c r="CZ145" s="99"/>
      <c r="DA145" s="99"/>
      <c r="DB145" s="100"/>
      <c r="DC145" s="99"/>
      <c r="DD145" s="99"/>
      <c r="DE145" s="153"/>
      <c r="DF145" s="102"/>
      <c r="DG145" s="102"/>
      <c r="DH145" s="146"/>
      <c r="DI145" s="160"/>
      <c r="DJ145" s="161"/>
      <c r="DK145" s="161"/>
      <c r="DL145" s="162"/>
      <c r="DM145" s="161"/>
      <c r="DN145" s="161"/>
      <c r="DO145" s="160"/>
      <c r="DP145" s="160"/>
      <c r="DQ145" s="160"/>
      <c r="DR145" s="160"/>
      <c r="DS145" s="101"/>
      <c r="DT145" s="99"/>
      <c r="DU145" s="99"/>
      <c r="DV145" s="100"/>
      <c r="DW145" s="99"/>
      <c r="DX145" s="99"/>
      <c r="DY145" s="153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64" t="s">
        <v>229</v>
      </c>
      <c r="EM145" s="101">
        <v>56</v>
      </c>
      <c r="EN145" s="99">
        <v>7.56</v>
      </c>
      <c r="EO145" s="99">
        <v>2.15</v>
      </c>
      <c r="EP145" s="100">
        <v>70.8</v>
      </c>
      <c r="EQ145" s="99">
        <v>26.7</v>
      </c>
      <c r="ER145" s="99"/>
      <c r="ES145" s="101"/>
      <c r="ET145" s="101"/>
      <c r="EU145" s="101"/>
      <c r="EV145" s="101"/>
      <c r="EW145" s="101"/>
      <c r="EX145" s="101"/>
      <c r="EY145" s="101"/>
    </row>
    <row r="146" spans="1:155" s="398" customFormat="1" ht="14.1" customHeight="1">
      <c r="A146" s="173">
        <v>35</v>
      </c>
      <c r="B146" s="397" t="s">
        <v>293</v>
      </c>
      <c r="C146" s="189" t="s">
        <v>96</v>
      </c>
      <c r="D146" s="316">
        <f t="shared" ref="D146:D187" si="425">(I146+H146)/(H146+I146+J146+K146+L146)*100</f>
        <v>70.212765957446805</v>
      </c>
      <c r="E146" s="319">
        <f t="shared" ref="E146:E187" si="426">J146/(H146+I146+J146+K146+L146)*100</f>
        <v>29.787234042553191</v>
      </c>
      <c r="F146" s="319">
        <f t="shared" ref="F146:F187" si="427">K146/(H146+I146+J146+K146+L146)*100</f>
        <v>0</v>
      </c>
      <c r="G146" s="322">
        <f t="shared" ref="G146:G187" si="428">L146/(H146+I146+J146+K146+L146)*100</f>
        <v>0</v>
      </c>
      <c r="H146" s="305">
        <v>16.5</v>
      </c>
      <c r="I146" s="308">
        <v>0</v>
      </c>
      <c r="J146" s="308">
        <v>7</v>
      </c>
      <c r="K146" s="308">
        <v>0</v>
      </c>
      <c r="L146" s="308">
        <v>0</v>
      </c>
      <c r="M146" s="308">
        <v>7</v>
      </c>
      <c r="N146" s="308">
        <v>1.8</v>
      </c>
      <c r="O146" s="308">
        <v>0</v>
      </c>
      <c r="P146" s="301"/>
      <c r="Q146" s="303"/>
      <c r="R146" s="305">
        <v>1.2</v>
      </c>
      <c r="S146" s="308">
        <v>0</v>
      </c>
      <c r="T146" s="308">
        <v>0.35</v>
      </c>
      <c r="U146" s="308">
        <v>0</v>
      </c>
      <c r="V146" s="308">
        <v>0</v>
      </c>
      <c r="W146" s="308">
        <v>3.64</v>
      </c>
      <c r="X146" s="335">
        <v>0</v>
      </c>
      <c r="Y146" s="305">
        <f t="shared" ref="Y146:AD146" si="429">H146*R146*10</f>
        <v>198</v>
      </c>
      <c r="Z146" s="308">
        <f t="shared" si="429"/>
        <v>0</v>
      </c>
      <c r="AA146" s="308">
        <f t="shared" si="429"/>
        <v>24.499999999999996</v>
      </c>
      <c r="AB146" s="308">
        <f t="shared" si="429"/>
        <v>0</v>
      </c>
      <c r="AC146" s="308">
        <f t="shared" si="429"/>
        <v>0</v>
      </c>
      <c r="AD146" s="308">
        <f t="shared" si="429"/>
        <v>254.8</v>
      </c>
      <c r="AE146" s="335">
        <f t="shared" ref="AE146" si="430">X146*O146*10</f>
        <v>0</v>
      </c>
      <c r="AF146" s="305">
        <v>12.6</v>
      </c>
      <c r="AG146" s="301">
        <v>0</v>
      </c>
      <c r="AH146" s="301">
        <v>2.2999999999999998</v>
      </c>
      <c r="AI146" s="301">
        <v>0</v>
      </c>
      <c r="AJ146" s="301">
        <v>0</v>
      </c>
      <c r="AK146" s="301">
        <v>28.9</v>
      </c>
      <c r="AL146" s="303">
        <v>85.3</v>
      </c>
      <c r="AM146" s="332">
        <f t="shared" ref="AM146" si="431">AF146*10*H146</f>
        <v>2079</v>
      </c>
      <c r="AN146" s="301">
        <f t="shared" ref="AN146:AS146" si="432">AG146*I146*10</f>
        <v>0</v>
      </c>
      <c r="AO146" s="301">
        <f t="shared" si="432"/>
        <v>160.99999999999997</v>
      </c>
      <c r="AP146" s="301">
        <f t="shared" si="432"/>
        <v>0</v>
      </c>
      <c r="AQ146" s="301">
        <f t="shared" si="432"/>
        <v>0</v>
      </c>
      <c r="AR146" s="301">
        <f t="shared" si="432"/>
        <v>2022.9999999999998</v>
      </c>
      <c r="AS146" s="301">
        <f t="shared" si="432"/>
        <v>1535.3999999999999</v>
      </c>
      <c r="AT146" s="332">
        <v>15</v>
      </c>
      <c r="AU146" s="301">
        <v>0</v>
      </c>
      <c r="AV146" s="301">
        <v>51.6</v>
      </c>
      <c r="AW146" s="301">
        <v>0</v>
      </c>
      <c r="AX146" s="301">
        <v>0</v>
      </c>
      <c r="AY146" s="301">
        <v>17.3</v>
      </c>
      <c r="AZ146" s="303">
        <v>28.4</v>
      </c>
      <c r="BA146" s="332">
        <f t="shared" ref="BA146:BG146" si="433">(H146*3*1000)/(1-AT146/100)</f>
        <v>58235.294117647063</v>
      </c>
      <c r="BB146" s="332">
        <f t="shared" si="433"/>
        <v>0</v>
      </c>
      <c r="BC146" s="332">
        <f t="shared" si="433"/>
        <v>43388.42975206612</v>
      </c>
      <c r="BD146" s="332">
        <f t="shared" si="433"/>
        <v>0</v>
      </c>
      <c r="BE146" s="332">
        <f t="shared" si="433"/>
        <v>0</v>
      </c>
      <c r="BF146" s="332">
        <f t="shared" si="433"/>
        <v>25392.986698911729</v>
      </c>
      <c r="BG146" s="332">
        <f t="shared" si="433"/>
        <v>7541.8994413407827</v>
      </c>
      <c r="BH146" s="332">
        <f t="shared" ref="BH146" si="434">H146+I146+J146+K146+L146</f>
        <v>23.5</v>
      </c>
      <c r="BI146" s="301">
        <f t="shared" ref="BI146" si="435">M146+N146+O146</f>
        <v>8.8000000000000007</v>
      </c>
      <c r="BJ146" s="301">
        <f t="shared" ref="BJ146" si="436">BH146+BI146</f>
        <v>32.299999999999997</v>
      </c>
      <c r="BK146" s="301">
        <f t="shared" ref="BK146" si="437">Y146+Z146+AA146+AB146+AC146+AD146+AE146</f>
        <v>477.3</v>
      </c>
      <c r="BL146" s="301">
        <f t="shared" ref="BL146" si="438">AM146+AN146+AO146+AP146+AQ146+AR146+AS146</f>
        <v>5798.4</v>
      </c>
      <c r="BM146" s="301">
        <f t="shared" ref="BM146" si="439">BJ146*3*1000</f>
        <v>96899.999999999985</v>
      </c>
      <c r="BN146" s="303">
        <f t="shared" ref="BN146" si="440">BA146+BB146+BC146+BD146+BE146+BF146+BG146</f>
        <v>134558.61000996569</v>
      </c>
      <c r="BO146" s="216">
        <v>72.599999999999994</v>
      </c>
      <c r="BP146" s="216">
        <v>0.35199999999999998</v>
      </c>
      <c r="BQ146" s="216">
        <v>3.93</v>
      </c>
      <c r="BR146" s="216">
        <v>74</v>
      </c>
      <c r="BS146" s="216">
        <v>0.38</v>
      </c>
      <c r="BT146" s="216">
        <v>5.3</v>
      </c>
      <c r="BU146" s="218">
        <v>6.9</v>
      </c>
      <c r="BV146" s="218">
        <v>1.48</v>
      </c>
      <c r="BW146" s="218">
        <v>1050</v>
      </c>
      <c r="BX146" s="218">
        <v>5.9</v>
      </c>
      <c r="BY146" s="218">
        <v>8</v>
      </c>
      <c r="BZ146" s="218">
        <v>7400</v>
      </c>
      <c r="CA146" s="218">
        <v>6.95</v>
      </c>
      <c r="CB146" s="218">
        <v>1.45</v>
      </c>
      <c r="CC146" s="218">
        <v>1250</v>
      </c>
      <c r="CD146" s="218">
        <v>7.4</v>
      </c>
      <c r="CE146" s="218">
        <v>5.05</v>
      </c>
      <c r="CF146" s="218">
        <v>5200</v>
      </c>
      <c r="CG146" s="218"/>
      <c r="CH146" s="218"/>
      <c r="CI146" s="218"/>
      <c r="CJ146" s="218"/>
      <c r="CK146" s="218"/>
      <c r="CL146" s="218"/>
      <c r="CM146" s="220">
        <v>77</v>
      </c>
      <c r="CN146" s="220">
        <v>76.900000000000006</v>
      </c>
      <c r="CO146" s="139">
        <v>9</v>
      </c>
      <c r="CP146" s="122">
        <v>7.91</v>
      </c>
      <c r="CQ146" s="122">
        <v>1.88</v>
      </c>
      <c r="CR146" s="123">
        <v>76.599999999999994</v>
      </c>
      <c r="CS146" s="122">
        <v>18.7</v>
      </c>
      <c r="CT146" s="122">
        <v>1.66</v>
      </c>
      <c r="CU146" s="152" t="s">
        <v>192</v>
      </c>
      <c r="CV146" s="79">
        <v>2.9</v>
      </c>
      <c r="CW146" s="79">
        <v>12</v>
      </c>
      <c r="CX146" s="79">
        <v>48</v>
      </c>
      <c r="CY146" s="139">
        <v>10</v>
      </c>
      <c r="CZ146" s="122">
        <v>7.97</v>
      </c>
      <c r="DA146" s="122">
        <v>1.5</v>
      </c>
      <c r="DB146" s="123">
        <v>76.099999999999994</v>
      </c>
      <c r="DC146" s="122">
        <v>20.9</v>
      </c>
      <c r="DD146" s="122">
        <v>1.8</v>
      </c>
      <c r="DE146" s="152" t="s">
        <v>230</v>
      </c>
      <c r="DF146" s="79">
        <v>2.5</v>
      </c>
      <c r="DG146" s="79">
        <v>15</v>
      </c>
      <c r="DH146" s="137">
        <v>40</v>
      </c>
      <c r="DI146" s="165"/>
      <c r="DJ146" s="166"/>
      <c r="DK146" s="166"/>
      <c r="DL146" s="167"/>
      <c r="DM146" s="166"/>
      <c r="DN146" s="166"/>
      <c r="DO146" s="165"/>
      <c r="DP146" s="165"/>
      <c r="DQ146" s="165"/>
      <c r="DR146" s="165"/>
      <c r="DS146" s="139">
        <v>9</v>
      </c>
      <c r="DT146" s="122">
        <v>7.9</v>
      </c>
      <c r="DU146" s="122">
        <v>1.88</v>
      </c>
      <c r="DV146" s="123">
        <v>75.400000000000006</v>
      </c>
      <c r="DW146" s="122">
        <v>23.8</v>
      </c>
      <c r="DX146" s="122">
        <v>1.96</v>
      </c>
      <c r="DY146" s="152" t="s">
        <v>231</v>
      </c>
      <c r="DZ146" s="79">
        <v>2.5</v>
      </c>
      <c r="EA146" s="79">
        <v>5</v>
      </c>
      <c r="EB146" s="79">
        <v>11</v>
      </c>
      <c r="EC146" s="79">
        <v>11</v>
      </c>
      <c r="ED146" s="79">
        <v>3</v>
      </c>
      <c r="EE146" s="79">
        <v>10</v>
      </c>
      <c r="EF146" s="79">
        <v>11</v>
      </c>
      <c r="EG146" s="79">
        <v>3</v>
      </c>
      <c r="EH146" s="79">
        <v>89</v>
      </c>
      <c r="EI146" s="79">
        <v>9</v>
      </c>
      <c r="EJ146" s="79">
        <v>25</v>
      </c>
      <c r="EK146" s="79">
        <f t="shared" ref="EK146:EK157" si="441">EA146+EB146+EC146+ED146+EE146+EF146+EG146+EH146+EI146+EJ146</f>
        <v>177</v>
      </c>
      <c r="EL146" s="163">
        <v>103</v>
      </c>
      <c r="EM146" s="121">
        <v>34</v>
      </c>
      <c r="EN146" s="122">
        <v>7.98</v>
      </c>
      <c r="EO146" s="122">
        <v>1.86</v>
      </c>
      <c r="EP146" s="123">
        <v>72.2</v>
      </c>
      <c r="EQ146" s="122">
        <v>26.7</v>
      </c>
      <c r="ER146" s="122"/>
      <c r="ES146" s="121"/>
      <c r="ET146" s="121"/>
      <c r="EU146" s="121"/>
      <c r="EV146" s="121"/>
      <c r="EW146" s="121"/>
      <c r="EX146" s="121"/>
      <c r="EY146" s="121"/>
    </row>
    <row r="147" spans="1:155" ht="14.1" customHeight="1">
      <c r="A147" s="174"/>
      <c r="B147" s="397" t="s">
        <v>293</v>
      </c>
      <c r="C147" s="190"/>
      <c r="D147" s="317" t="e">
        <f t="shared" si="425"/>
        <v>#DIV/0!</v>
      </c>
      <c r="E147" s="320" t="e">
        <f t="shared" si="426"/>
        <v>#DIV/0!</v>
      </c>
      <c r="F147" s="320" t="e">
        <f t="shared" si="427"/>
        <v>#DIV/0!</v>
      </c>
      <c r="G147" s="323" t="e">
        <f t="shared" si="428"/>
        <v>#DIV/0!</v>
      </c>
      <c r="H147" s="306"/>
      <c r="I147" s="309"/>
      <c r="J147" s="309"/>
      <c r="K147" s="309"/>
      <c r="L147" s="309"/>
      <c r="M147" s="309"/>
      <c r="N147" s="309"/>
      <c r="O147" s="309"/>
      <c r="P147" s="211"/>
      <c r="Q147" s="214"/>
      <c r="R147" s="306"/>
      <c r="S147" s="309"/>
      <c r="T147" s="309"/>
      <c r="U147" s="309"/>
      <c r="V147" s="309"/>
      <c r="W147" s="309"/>
      <c r="X147" s="336"/>
      <c r="Y147" s="306"/>
      <c r="Z147" s="309"/>
      <c r="AA147" s="309"/>
      <c r="AB147" s="309"/>
      <c r="AC147" s="309"/>
      <c r="AD147" s="309"/>
      <c r="AE147" s="336"/>
      <c r="AF147" s="306"/>
      <c r="AG147" s="211"/>
      <c r="AH147" s="211"/>
      <c r="AI147" s="211"/>
      <c r="AJ147" s="211"/>
      <c r="AK147" s="211"/>
      <c r="AL147" s="214"/>
      <c r="AM147" s="333"/>
      <c r="AN147" s="211"/>
      <c r="AO147" s="211"/>
      <c r="AP147" s="211"/>
      <c r="AQ147" s="211"/>
      <c r="AR147" s="211"/>
      <c r="AS147" s="211"/>
      <c r="AT147" s="333"/>
      <c r="AU147" s="211"/>
      <c r="AV147" s="211"/>
      <c r="AW147" s="211"/>
      <c r="AX147" s="211"/>
      <c r="AY147" s="211"/>
      <c r="AZ147" s="214"/>
      <c r="BA147" s="333"/>
      <c r="BB147" s="333"/>
      <c r="BC147" s="333"/>
      <c r="BD147" s="333"/>
      <c r="BE147" s="333"/>
      <c r="BF147" s="333"/>
      <c r="BG147" s="333"/>
      <c r="BH147" s="333"/>
      <c r="BI147" s="211"/>
      <c r="BJ147" s="211"/>
      <c r="BK147" s="211"/>
      <c r="BL147" s="211"/>
      <c r="BM147" s="211"/>
      <c r="BN147" s="214"/>
      <c r="BO147" s="196"/>
      <c r="BP147" s="196"/>
      <c r="BQ147" s="196"/>
      <c r="BR147" s="196"/>
      <c r="BS147" s="196"/>
      <c r="BT147" s="196"/>
      <c r="BU147" s="193"/>
      <c r="BV147" s="193"/>
      <c r="BW147" s="193"/>
      <c r="BX147" s="193"/>
      <c r="BY147" s="193"/>
      <c r="BZ147" s="193"/>
      <c r="CA147" s="193"/>
      <c r="CB147" s="193"/>
      <c r="CC147" s="193"/>
      <c r="CD147" s="193"/>
      <c r="CE147" s="193"/>
      <c r="CF147" s="193"/>
      <c r="CG147" s="193"/>
      <c r="CH147" s="193"/>
      <c r="CI147" s="193"/>
      <c r="CJ147" s="193"/>
      <c r="CK147" s="193"/>
      <c r="CL147" s="193"/>
      <c r="CM147" s="205"/>
      <c r="CN147" s="205"/>
      <c r="CO147" s="24">
        <v>10</v>
      </c>
      <c r="CP147" s="21">
        <v>8.15</v>
      </c>
      <c r="CQ147" s="21">
        <v>1.78</v>
      </c>
      <c r="CR147" s="22">
        <v>77</v>
      </c>
      <c r="CS147" s="21">
        <v>17.8</v>
      </c>
      <c r="CT147" s="21">
        <v>1.59</v>
      </c>
      <c r="CU147" s="40" t="s">
        <v>232</v>
      </c>
      <c r="CV147" s="8">
        <v>2.9</v>
      </c>
      <c r="CW147" s="8">
        <v>15</v>
      </c>
      <c r="CX147" s="8">
        <v>51</v>
      </c>
      <c r="CY147" s="24">
        <v>8</v>
      </c>
      <c r="CZ147" s="21">
        <v>7.95</v>
      </c>
      <c r="DA147" s="21">
        <v>1.85</v>
      </c>
      <c r="DB147" s="22">
        <v>76.400000000000006</v>
      </c>
      <c r="DC147" s="21">
        <v>20.399999999999999</v>
      </c>
      <c r="DD147" s="21">
        <v>1.82</v>
      </c>
      <c r="DE147" s="40" t="s">
        <v>223</v>
      </c>
      <c r="DF147" s="8">
        <v>2.4</v>
      </c>
      <c r="DG147" s="8">
        <v>12</v>
      </c>
      <c r="DH147" s="33">
        <v>44</v>
      </c>
      <c r="DI147" s="54"/>
      <c r="DJ147" s="54"/>
      <c r="DK147" s="54"/>
      <c r="DL147" s="54"/>
      <c r="DM147" s="54"/>
      <c r="DN147" s="54"/>
      <c r="DO147" s="54"/>
      <c r="DP147" s="8"/>
      <c r="DQ147" s="8"/>
      <c r="DR147" s="8"/>
      <c r="DS147" s="24">
        <v>10</v>
      </c>
      <c r="DT147" s="21">
        <v>7.7</v>
      </c>
      <c r="DU147" s="21">
        <v>1.82</v>
      </c>
      <c r="DV147" s="22">
        <v>75.5</v>
      </c>
      <c r="DW147" s="21">
        <v>24.4</v>
      </c>
      <c r="DX147" s="21">
        <v>1.9</v>
      </c>
      <c r="DY147" s="40" t="s">
        <v>179</v>
      </c>
      <c r="DZ147" s="8">
        <v>2.5</v>
      </c>
      <c r="EA147" s="8">
        <v>3</v>
      </c>
      <c r="EB147" s="8">
        <v>11</v>
      </c>
      <c r="EC147" s="8">
        <v>8</v>
      </c>
      <c r="ED147" s="8">
        <v>7</v>
      </c>
      <c r="EE147" s="8">
        <v>10</v>
      </c>
      <c r="EF147" s="8">
        <v>10</v>
      </c>
      <c r="EG147" s="8">
        <v>4</v>
      </c>
      <c r="EH147" s="8">
        <v>85</v>
      </c>
      <c r="EI147" s="8">
        <v>15</v>
      </c>
      <c r="EJ147" s="8">
        <v>2</v>
      </c>
      <c r="EK147" s="8">
        <f t="shared" si="441"/>
        <v>155</v>
      </c>
      <c r="EL147" s="43" t="s">
        <v>233</v>
      </c>
      <c r="EM147" s="23">
        <v>55</v>
      </c>
      <c r="EN147" s="21">
        <v>7.74</v>
      </c>
      <c r="EO147" s="21">
        <v>1.84</v>
      </c>
      <c r="EP147" s="22">
        <v>72.400000000000006</v>
      </c>
      <c r="EQ147" s="21">
        <v>27.2</v>
      </c>
      <c r="ER147" s="21"/>
      <c r="ES147" s="23"/>
      <c r="ET147" s="23"/>
      <c r="EU147" s="23"/>
      <c r="EV147" s="23"/>
      <c r="EW147" s="23"/>
      <c r="EX147" s="23"/>
      <c r="EY147" s="23"/>
    </row>
    <row r="148" spans="1:155" ht="14.1" customHeight="1">
      <c r="A148" s="174"/>
      <c r="B148" s="397" t="s">
        <v>293</v>
      </c>
      <c r="C148" s="190"/>
      <c r="D148" s="317" t="e">
        <f t="shared" si="425"/>
        <v>#DIV/0!</v>
      </c>
      <c r="E148" s="320" t="e">
        <f t="shared" si="426"/>
        <v>#DIV/0!</v>
      </c>
      <c r="F148" s="320" t="e">
        <f t="shared" si="427"/>
        <v>#DIV/0!</v>
      </c>
      <c r="G148" s="323" t="e">
        <f t="shared" si="428"/>
        <v>#DIV/0!</v>
      </c>
      <c r="H148" s="306"/>
      <c r="I148" s="309"/>
      <c r="J148" s="309"/>
      <c r="K148" s="309"/>
      <c r="L148" s="309"/>
      <c r="M148" s="309"/>
      <c r="N148" s="309"/>
      <c r="O148" s="309"/>
      <c r="P148" s="211"/>
      <c r="Q148" s="214"/>
      <c r="R148" s="306"/>
      <c r="S148" s="309"/>
      <c r="T148" s="309"/>
      <c r="U148" s="309"/>
      <c r="V148" s="309"/>
      <c r="W148" s="309"/>
      <c r="X148" s="336"/>
      <c r="Y148" s="306"/>
      <c r="Z148" s="309"/>
      <c r="AA148" s="309"/>
      <c r="AB148" s="309"/>
      <c r="AC148" s="309"/>
      <c r="AD148" s="309"/>
      <c r="AE148" s="336"/>
      <c r="AF148" s="306"/>
      <c r="AG148" s="211"/>
      <c r="AH148" s="211"/>
      <c r="AI148" s="211"/>
      <c r="AJ148" s="211"/>
      <c r="AK148" s="211"/>
      <c r="AL148" s="214"/>
      <c r="AM148" s="333"/>
      <c r="AN148" s="211"/>
      <c r="AO148" s="211"/>
      <c r="AP148" s="211"/>
      <c r="AQ148" s="211"/>
      <c r="AR148" s="211"/>
      <c r="AS148" s="211"/>
      <c r="AT148" s="333"/>
      <c r="AU148" s="211"/>
      <c r="AV148" s="211"/>
      <c r="AW148" s="211"/>
      <c r="AX148" s="211"/>
      <c r="AY148" s="211"/>
      <c r="AZ148" s="214"/>
      <c r="BA148" s="333"/>
      <c r="BB148" s="333"/>
      <c r="BC148" s="333"/>
      <c r="BD148" s="333"/>
      <c r="BE148" s="333"/>
      <c r="BF148" s="333"/>
      <c r="BG148" s="333"/>
      <c r="BH148" s="333"/>
      <c r="BI148" s="211"/>
      <c r="BJ148" s="211"/>
      <c r="BK148" s="211"/>
      <c r="BL148" s="211"/>
      <c r="BM148" s="211"/>
      <c r="BN148" s="214"/>
      <c r="BO148" s="196"/>
      <c r="BP148" s="196"/>
      <c r="BQ148" s="196"/>
      <c r="BR148" s="196"/>
      <c r="BS148" s="196"/>
      <c r="BT148" s="196"/>
      <c r="BU148" s="193"/>
      <c r="BV148" s="193"/>
      <c r="BW148" s="193"/>
      <c r="BX148" s="193"/>
      <c r="BY148" s="193"/>
      <c r="BZ148" s="193"/>
      <c r="CA148" s="193"/>
      <c r="CB148" s="193"/>
      <c r="CC148" s="193"/>
      <c r="CD148" s="193"/>
      <c r="CE148" s="193"/>
      <c r="CF148" s="193"/>
      <c r="CG148" s="193"/>
      <c r="CH148" s="193"/>
      <c r="CI148" s="193"/>
      <c r="CJ148" s="193"/>
      <c r="CK148" s="193"/>
      <c r="CL148" s="193"/>
      <c r="CM148" s="205"/>
      <c r="CN148" s="205"/>
      <c r="CO148" s="24">
        <v>11</v>
      </c>
      <c r="CP148" s="21">
        <v>8.0500000000000007</v>
      </c>
      <c r="CQ148" s="21">
        <v>1.85</v>
      </c>
      <c r="CR148" s="22">
        <v>77.400000000000006</v>
      </c>
      <c r="CS148" s="21">
        <v>17.3</v>
      </c>
      <c r="CT148" s="21">
        <v>1.64</v>
      </c>
      <c r="CU148" s="40" t="s">
        <v>195</v>
      </c>
      <c r="CV148" s="8">
        <v>2.4</v>
      </c>
      <c r="CW148" s="8">
        <v>25</v>
      </c>
      <c r="CX148" s="8">
        <v>48</v>
      </c>
      <c r="CY148" s="24">
        <v>9</v>
      </c>
      <c r="CZ148" s="21">
        <v>7.89</v>
      </c>
      <c r="DA148" s="21">
        <v>1.62</v>
      </c>
      <c r="DB148" s="22">
        <v>76</v>
      </c>
      <c r="DC148" s="21">
        <v>21.1</v>
      </c>
      <c r="DD148" s="21">
        <v>1.88</v>
      </c>
      <c r="DE148" s="40" t="s">
        <v>234</v>
      </c>
      <c r="DF148" s="8">
        <v>2.5</v>
      </c>
      <c r="DG148" s="8">
        <v>12</v>
      </c>
      <c r="DH148" s="33">
        <v>47</v>
      </c>
      <c r="DI148" s="54"/>
      <c r="DJ148" s="54"/>
      <c r="DK148" s="54"/>
      <c r="DL148" s="54"/>
      <c r="DM148" s="54"/>
      <c r="DN148" s="54"/>
      <c r="DO148" s="54"/>
      <c r="DP148" s="8"/>
      <c r="DQ148" s="8"/>
      <c r="DR148" s="8"/>
      <c r="DS148" s="24">
        <v>3</v>
      </c>
      <c r="DT148" s="21">
        <v>7.74</v>
      </c>
      <c r="DU148" s="21">
        <v>1.9</v>
      </c>
      <c r="DV148" s="22">
        <v>75</v>
      </c>
      <c r="DW148" s="21">
        <v>24</v>
      </c>
      <c r="DX148" s="21">
        <v>1.98</v>
      </c>
      <c r="DY148" s="40" t="s">
        <v>104</v>
      </c>
      <c r="DZ148" s="8">
        <v>2</v>
      </c>
      <c r="EA148" s="8">
        <v>5</v>
      </c>
      <c r="EB148" s="8">
        <v>9</v>
      </c>
      <c r="EC148" s="8">
        <v>13</v>
      </c>
      <c r="ED148" s="8">
        <v>5</v>
      </c>
      <c r="EE148" s="8">
        <v>8</v>
      </c>
      <c r="EF148" s="8">
        <v>8</v>
      </c>
      <c r="EG148" s="8">
        <v>6</v>
      </c>
      <c r="EH148" s="8">
        <v>89</v>
      </c>
      <c r="EI148" s="8">
        <v>8</v>
      </c>
      <c r="EJ148" s="8">
        <v>21</v>
      </c>
      <c r="EK148" s="8">
        <f t="shared" si="441"/>
        <v>172</v>
      </c>
      <c r="EL148" s="43" t="s">
        <v>235</v>
      </c>
      <c r="EM148" s="23">
        <v>36</v>
      </c>
      <c r="EN148" s="21">
        <v>7.87</v>
      </c>
      <c r="EO148" s="21">
        <v>1.8</v>
      </c>
      <c r="EP148" s="22">
        <v>71.7</v>
      </c>
      <c r="EQ148" s="21">
        <v>27.4</v>
      </c>
      <c r="ER148" s="21"/>
      <c r="ES148" s="23"/>
      <c r="ET148" s="23"/>
      <c r="EU148" s="23"/>
      <c r="EV148" s="23"/>
      <c r="EW148" s="23"/>
      <c r="EX148" s="23"/>
      <c r="EY148" s="23"/>
    </row>
    <row r="149" spans="1:155" s="401" customFormat="1" ht="14.1" customHeight="1" thickBot="1">
      <c r="A149" s="175"/>
      <c r="B149" s="400" t="s">
        <v>293</v>
      </c>
      <c r="C149" s="191"/>
      <c r="D149" s="318" t="e">
        <f t="shared" si="425"/>
        <v>#DIV/0!</v>
      </c>
      <c r="E149" s="321" t="e">
        <f t="shared" si="426"/>
        <v>#DIV/0!</v>
      </c>
      <c r="F149" s="321" t="e">
        <f t="shared" si="427"/>
        <v>#DIV/0!</v>
      </c>
      <c r="G149" s="324" t="e">
        <f t="shared" si="428"/>
        <v>#DIV/0!</v>
      </c>
      <c r="H149" s="307"/>
      <c r="I149" s="310"/>
      <c r="J149" s="310"/>
      <c r="K149" s="310"/>
      <c r="L149" s="310"/>
      <c r="M149" s="310"/>
      <c r="N149" s="310"/>
      <c r="O149" s="310"/>
      <c r="P149" s="302"/>
      <c r="Q149" s="304"/>
      <c r="R149" s="307"/>
      <c r="S149" s="310"/>
      <c r="T149" s="310"/>
      <c r="U149" s="310"/>
      <c r="V149" s="310"/>
      <c r="W149" s="310"/>
      <c r="X149" s="337"/>
      <c r="Y149" s="307"/>
      <c r="Z149" s="310"/>
      <c r="AA149" s="310"/>
      <c r="AB149" s="310"/>
      <c r="AC149" s="310"/>
      <c r="AD149" s="310"/>
      <c r="AE149" s="337"/>
      <c r="AF149" s="307"/>
      <c r="AG149" s="302"/>
      <c r="AH149" s="302"/>
      <c r="AI149" s="302"/>
      <c r="AJ149" s="302"/>
      <c r="AK149" s="302"/>
      <c r="AL149" s="304"/>
      <c r="AM149" s="334"/>
      <c r="AN149" s="302"/>
      <c r="AO149" s="302"/>
      <c r="AP149" s="302"/>
      <c r="AQ149" s="302"/>
      <c r="AR149" s="302"/>
      <c r="AS149" s="302"/>
      <c r="AT149" s="334"/>
      <c r="AU149" s="302"/>
      <c r="AV149" s="302"/>
      <c r="AW149" s="302"/>
      <c r="AX149" s="302"/>
      <c r="AY149" s="302"/>
      <c r="AZ149" s="304"/>
      <c r="BA149" s="334"/>
      <c r="BB149" s="334"/>
      <c r="BC149" s="334"/>
      <c r="BD149" s="334"/>
      <c r="BE149" s="334"/>
      <c r="BF149" s="334"/>
      <c r="BG149" s="334"/>
      <c r="BH149" s="334"/>
      <c r="BI149" s="302"/>
      <c r="BJ149" s="302"/>
      <c r="BK149" s="302"/>
      <c r="BL149" s="302"/>
      <c r="BM149" s="302"/>
      <c r="BN149" s="304"/>
      <c r="BO149" s="217"/>
      <c r="BP149" s="217"/>
      <c r="BQ149" s="217"/>
      <c r="BR149" s="217"/>
      <c r="BS149" s="217"/>
      <c r="BT149" s="217"/>
      <c r="BU149" s="219"/>
      <c r="BV149" s="219"/>
      <c r="BW149" s="219"/>
      <c r="BX149" s="219"/>
      <c r="BY149" s="219"/>
      <c r="BZ149" s="219"/>
      <c r="CA149" s="219"/>
      <c r="CB149" s="219"/>
      <c r="CC149" s="219"/>
      <c r="CD149" s="219"/>
      <c r="CE149" s="219"/>
      <c r="CF149" s="219"/>
      <c r="CG149" s="219"/>
      <c r="CH149" s="219"/>
      <c r="CI149" s="219"/>
      <c r="CJ149" s="219"/>
      <c r="CK149" s="219"/>
      <c r="CL149" s="219"/>
      <c r="CM149" s="221"/>
      <c r="CN149" s="221"/>
      <c r="CV149" s="116"/>
      <c r="CW149" s="116"/>
      <c r="CX149" s="116"/>
      <c r="DF149" s="116"/>
      <c r="DG149" s="116"/>
      <c r="DH149" s="116"/>
      <c r="DI149" s="394"/>
      <c r="DJ149" s="394"/>
      <c r="DK149" s="394"/>
      <c r="DL149" s="394"/>
      <c r="DM149" s="394"/>
      <c r="DN149" s="394"/>
      <c r="DO149" s="394"/>
      <c r="DP149" s="102"/>
      <c r="DQ149" s="102"/>
      <c r="DR149" s="102"/>
      <c r="DS149" s="101"/>
      <c r="DT149" s="99"/>
      <c r="DU149" s="99"/>
      <c r="DV149" s="100"/>
      <c r="DW149" s="99"/>
      <c r="DX149" s="99"/>
      <c r="DY149" s="153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64" t="s">
        <v>278</v>
      </c>
      <c r="EM149" s="101">
        <v>6</v>
      </c>
      <c r="EN149" s="99">
        <v>7.73</v>
      </c>
      <c r="EO149" s="99">
        <v>2.06</v>
      </c>
      <c r="EP149" s="100">
        <v>71.5</v>
      </c>
      <c r="EQ149" s="99">
        <v>25.4</v>
      </c>
      <c r="ER149" s="99"/>
      <c r="ES149" s="101"/>
      <c r="ET149" s="101"/>
      <c r="EU149" s="101"/>
      <c r="EV149" s="101"/>
      <c r="EW149" s="101"/>
      <c r="EX149" s="101"/>
      <c r="EY149" s="101"/>
    </row>
    <row r="150" spans="1:155" s="398" customFormat="1" ht="14.1" customHeight="1">
      <c r="A150" s="173">
        <v>36</v>
      </c>
      <c r="B150" s="397" t="s">
        <v>294</v>
      </c>
      <c r="C150" s="189" t="s">
        <v>90</v>
      </c>
      <c r="D150" s="316">
        <f t="shared" si="425"/>
        <v>70.212765957446805</v>
      </c>
      <c r="E150" s="319">
        <f t="shared" si="426"/>
        <v>29.787234042553191</v>
      </c>
      <c r="F150" s="319">
        <f t="shared" si="427"/>
        <v>0</v>
      </c>
      <c r="G150" s="322">
        <f t="shared" si="428"/>
        <v>0</v>
      </c>
      <c r="H150" s="305">
        <v>0</v>
      </c>
      <c r="I150" s="308">
        <v>16.5</v>
      </c>
      <c r="J150" s="308">
        <v>7</v>
      </c>
      <c r="K150" s="308">
        <v>0</v>
      </c>
      <c r="L150" s="308">
        <v>0</v>
      </c>
      <c r="M150" s="308">
        <v>7.8</v>
      </c>
      <c r="N150" s="308">
        <v>1.8</v>
      </c>
      <c r="O150" s="308">
        <v>0.1</v>
      </c>
      <c r="P150" s="301"/>
      <c r="Q150" s="303"/>
      <c r="R150" s="305">
        <v>0</v>
      </c>
      <c r="S150" s="308">
        <v>0.84</v>
      </c>
      <c r="T150" s="308">
        <v>0.35</v>
      </c>
      <c r="U150" s="308">
        <v>0</v>
      </c>
      <c r="V150" s="308">
        <v>0</v>
      </c>
      <c r="W150" s="308">
        <v>3.64</v>
      </c>
      <c r="X150" s="335">
        <v>20.5</v>
      </c>
      <c r="Y150" s="305">
        <f t="shared" ref="Y150:AD150" si="442">H150*R150*10</f>
        <v>0</v>
      </c>
      <c r="Z150" s="308">
        <f t="shared" si="442"/>
        <v>138.6</v>
      </c>
      <c r="AA150" s="308">
        <f t="shared" si="442"/>
        <v>24.499999999999996</v>
      </c>
      <c r="AB150" s="308">
        <f t="shared" si="442"/>
        <v>0</v>
      </c>
      <c r="AC150" s="308">
        <f t="shared" si="442"/>
        <v>0</v>
      </c>
      <c r="AD150" s="308">
        <f t="shared" si="442"/>
        <v>283.92</v>
      </c>
      <c r="AE150" s="335">
        <f t="shared" ref="AE150" si="443">X150*O150*10</f>
        <v>20.500000000000004</v>
      </c>
      <c r="AF150" s="305">
        <v>0</v>
      </c>
      <c r="AG150" s="301">
        <v>15.5</v>
      </c>
      <c r="AH150" s="301">
        <v>2.2999999999999998</v>
      </c>
      <c r="AI150" s="301">
        <v>0</v>
      </c>
      <c r="AJ150" s="301">
        <v>0</v>
      </c>
      <c r="AK150" s="301">
        <v>27.2</v>
      </c>
      <c r="AL150" s="303">
        <v>85.3</v>
      </c>
      <c r="AM150" s="332">
        <f t="shared" ref="AM150" si="444">AF150*10*H150</f>
        <v>0</v>
      </c>
      <c r="AN150" s="301">
        <f t="shared" ref="AN150:AS150" si="445">AG150*I150*10</f>
        <v>2557.5</v>
      </c>
      <c r="AO150" s="301">
        <f t="shared" si="445"/>
        <v>160.99999999999997</v>
      </c>
      <c r="AP150" s="301">
        <f t="shared" si="445"/>
        <v>0</v>
      </c>
      <c r="AQ150" s="301">
        <f t="shared" si="445"/>
        <v>0</v>
      </c>
      <c r="AR150" s="301">
        <f t="shared" si="445"/>
        <v>2121.6</v>
      </c>
      <c r="AS150" s="301">
        <f t="shared" si="445"/>
        <v>1535.3999999999999</v>
      </c>
      <c r="AT150" s="332">
        <v>0</v>
      </c>
      <c r="AU150" s="301">
        <v>12.8</v>
      </c>
      <c r="AV150" s="301">
        <v>50.7</v>
      </c>
      <c r="AW150" s="301">
        <v>0</v>
      </c>
      <c r="AX150" s="301">
        <v>0</v>
      </c>
      <c r="AY150" s="301">
        <v>16.7</v>
      </c>
      <c r="AZ150" s="303">
        <v>28</v>
      </c>
      <c r="BA150" s="332">
        <f t="shared" ref="BA150:BG150" si="446">(H150*3*1000)/(1-AT150/100)</f>
        <v>0</v>
      </c>
      <c r="BB150" s="332">
        <f t="shared" si="446"/>
        <v>56766.055045871559</v>
      </c>
      <c r="BC150" s="332">
        <f t="shared" si="446"/>
        <v>42596.348884381339</v>
      </c>
      <c r="BD150" s="332">
        <f t="shared" si="446"/>
        <v>0</v>
      </c>
      <c r="BE150" s="332">
        <f t="shared" si="446"/>
        <v>0</v>
      </c>
      <c r="BF150" s="332">
        <f t="shared" si="446"/>
        <v>28091.236494597841</v>
      </c>
      <c r="BG150" s="332">
        <f t="shared" si="446"/>
        <v>7500</v>
      </c>
      <c r="BH150" s="332">
        <f t="shared" ref="BH150" si="447">H150+I150+J150+K150+L150</f>
        <v>23.5</v>
      </c>
      <c r="BI150" s="301">
        <f t="shared" ref="BI150" si="448">M150+N150+O150</f>
        <v>9.6999999999999993</v>
      </c>
      <c r="BJ150" s="301">
        <f t="shared" ref="BJ150" si="449">BH150+BI150</f>
        <v>33.200000000000003</v>
      </c>
      <c r="BK150" s="301">
        <f t="shared" ref="BK150" si="450">Y150+Z150+AA150+AB150+AC150+AD150+AE150</f>
        <v>467.52</v>
      </c>
      <c r="BL150" s="301">
        <f t="shared" ref="BL150" si="451">AM150+AN150+AO150+AP150+AQ150+AR150+AS150</f>
        <v>6375.5</v>
      </c>
      <c r="BM150" s="301">
        <f t="shared" ref="BM150" si="452">BJ150*3*1000</f>
        <v>99600.000000000015</v>
      </c>
      <c r="BN150" s="303">
        <f t="shared" ref="BN150" si="453">BA150+BB150+BC150+BD150+BE150+BF150+BG150</f>
        <v>134953.64042485075</v>
      </c>
      <c r="BO150" s="216">
        <v>75.599999999999994</v>
      </c>
      <c r="BP150" s="216">
        <v>0.40300000000000002</v>
      </c>
      <c r="BQ150" s="216">
        <v>4.6100000000000003</v>
      </c>
      <c r="BR150" s="216">
        <v>74.599999999999994</v>
      </c>
      <c r="BS150" s="216">
        <v>0.40699999999999997</v>
      </c>
      <c r="BT150" s="216">
        <v>4.3600000000000003</v>
      </c>
      <c r="BU150" s="218">
        <v>7</v>
      </c>
      <c r="BV150" s="218">
        <v>3.5</v>
      </c>
      <c r="BW150" s="218">
        <v>4000</v>
      </c>
      <c r="BX150" s="218">
        <v>5.95</v>
      </c>
      <c r="BY150" s="218">
        <v>8.0399999999999991</v>
      </c>
      <c r="BZ150" s="218">
        <v>8200</v>
      </c>
      <c r="CA150" s="218">
        <v>7.3</v>
      </c>
      <c r="CB150" s="218">
        <v>2.35</v>
      </c>
      <c r="CC150" s="218">
        <v>2400</v>
      </c>
      <c r="CD150" s="218">
        <v>8.1199999999999992</v>
      </c>
      <c r="CE150" s="218">
        <v>8.64</v>
      </c>
      <c r="CF150" s="218">
        <v>7000</v>
      </c>
      <c r="CG150" s="218">
        <v>7.84</v>
      </c>
      <c r="CH150" s="218">
        <v>1.55</v>
      </c>
      <c r="CI150" s="218">
        <v>1340</v>
      </c>
      <c r="CJ150" s="218">
        <v>8.15</v>
      </c>
      <c r="CK150" s="218">
        <v>4.4400000000000004</v>
      </c>
      <c r="CL150" s="218">
        <v>4100</v>
      </c>
      <c r="CM150" s="220"/>
      <c r="CN150" s="220">
        <v>77.8</v>
      </c>
      <c r="CO150" s="139">
        <v>7</v>
      </c>
      <c r="CP150" s="122">
        <v>8.26</v>
      </c>
      <c r="CQ150" s="122">
        <v>1.56</v>
      </c>
      <c r="CR150" s="123">
        <v>77.8</v>
      </c>
      <c r="CS150" s="122">
        <v>18.7</v>
      </c>
      <c r="CT150" s="122">
        <v>1.63</v>
      </c>
      <c r="CU150" s="152" t="s">
        <v>155</v>
      </c>
      <c r="CV150" s="79">
        <v>2.8</v>
      </c>
      <c r="CW150" s="79">
        <v>16</v>
      </c>
      <c r="CX150" s="79">
        <v>47</v>
      </c>
      <c r="CY150" s="139">
        <v>10</v>
      </c>
      <c r="CZ150" s="122">
        <v>7.65</v>
      </c>
      <c r="DA150" s="122">
        <v>2.08</v>
      </c>
      <c r="DB150" s="123">
        <v>77.2</v>
      </c>
      <c r="DC150" s="122">
        <v>21.5</v>
      </c>
      <c r="DD150" s="122">
        <v>1.82</v>
      </c>
      <c r="DE150" s="152">
        <v>21.5</v>
      </c>
      <c r="DF150" s="79">
        <v>2.35</v>
      </c>
      <c r="DG150" s="79">
        <v>12</v>
      </c>
      <c r="DH150" s="79">
        <v>51</v>
      </c>
      <c r="DI150" s="169"/>
      <c r="DJ150" s="169"/>
      <c r="DK150" s="169"/>
      <c r="DL150" s="169"/>
      <c r="DM150" s="169"/>
      <c r="DN150" s="169"/>
      <c r="DO150" s="169"/>
      <c r="DP150" s="79"/>
      <c r="DQ150" s="79"/>
      <c r="DR150" s="79"/>
      <c r="DS150" s="139">
        <v>2</v>
      </c>
      <c r="DT150" s="122">
        <v>7.64</v>
      </c>
      <c r="DU150" s="122">
        <v>1.57</v>
      </c>
      <c r="DV150" s="123">
        <v>75.8</v>
      </c>
      <c r="DW150" s="122">
        <v>22.9</v>
      </c>
      <c r="DX150" s="122">
        <v>1.89</v>
      </c>
      <c r="DY150" s="152" t="s">
        <v>236</v>
      </c>
      <c r="DZ150" s="79">
        <v>2.2000000000000002</v>
      </c>
      <c r="EA150" s="79">
        <v>5</v>
      </c>
      <c r="EB150" s="79">
        <v>9</v>
      </c>
      <c r="EC150" s="79">
        <v>7</v>
      </c>
      <c r="ED150" s="79">
        <v>3</v>
      </c>
      <c r="EE150" s="79">
        <v>14</v>
      </c>
      <c r="EF150" s="79">
        <v>14</v>
      </c>
      <c r="EG150" s="79">
        <v>0</v>
      </c>
      <c r="EH150" s="79">
        <v>82</v>
      </c>
      <c r="EI150" s="79">
        <v>15</v>
      </c>
      <c r="EJ150" s="79">
        <v>0</v>
      </c>
      <c r="EK150" s="79">
        <f t="shared" si="441"/>
        <v>149</v>
      </c>
      <c r="EL150" s="87" t="s">
        <v>279</v>
      </c>
      <c r="EM150" s="121">
        <v>46</v>
      </c>
      <c r="EN150" s="122">
        <v>7.7</v>
      </c>
      <c r="EO150" s="122">
        <v>1.9</v>
      </c>
      <c r="EP150" s="123">
        <v>71</v>
      </c>
      <c r="EQ150" s="122">
        <v>25.7</v>
      </c>
      <c r="ER150" s="122"/>
      <c r="ES150" s="121"/>
      <c r="ET150" s="121"/>
      <c r="EU150" s="121"/>
      <c r="EV150" s="121"/>
      <c r="EW150" s="121"/>
      <c r="EX150" s="121"/>
      <c r="EY150" s="121"/>
    </row>
    <row r="151" spans="1:155" ht="14.1" customHeight="1">
      <c r="A151" s="174"/>
      <c r="B151" s="397" t="s">
        <v>294</v>
      </c>
      <c r="C151" s="190"/>
      <c r="D151" s="317" t="e">
        <f t="shared" si="425"/>
        <v>#DIV/0!</v>
      </c>
      <c r="E151" s="320" t="e">
        <f t="shared" si="426"/>
        <v>#DIV/0!</v>
      </c>
      <c r="F151" s="320" t="e">
        <f t="shared" si="427"/>
        <v>#DIV/0!</v>
      </c>
      <c r="G151" s="323" t="e">
        <f t="shared" si="428"/>
        <v>#DIV/0!</v>
      </c>
      <c r="H151" s="306"/>
      <c r="I151" s="309"/>
      <c r="J151" s="309"/>
      <c r="K151" s="309"/>
      <c r="L151" s="309"/>
      <c r="M151" s="309"/>
      <c r="N151" s="309"/>
      <c r="O151" s="309"/>
      <c r="P151" s="211"/>
      <c r="Q151" s="214"/>
      <c r="R151" s="306"/>
      <c r="S151" s="309"/>
      <c r="T151" s="309"/>
      <c r="U151" s="309"/>
      <c r="V151" s="309"/>
      <c r="W151" s="309"/>
      <c r="X151" s="336"/>
      <c r="Y151" s="306"/>
      <c r="Z151" s="309"/>
      <c r="AA151" s="309"/>
      <c r="AB151" s="309"/>
      <c r="AC151" s="309"/>
      <c r="AD151" s="309"/>
      <c r="AE151" s="336"/>
      <c r="AF151" s="306"/>
      <c r="AG151" s="211"/>
      <c r="AH151" s="211"/>
      <c r="AI151" s="211"/>
      <c r="AJ151" s="211"/>
      <c r="AK151" s="211"/>
      <c r="AL151" s="214"/>
      <c r="AM151" s="333"/>
      <c r="AN151" s="211"/>
      <c r="AO151" s="211"/>
      <c r="AP151" s="211"/>
      <c r="AQ151" s="211"/>
      <c r="AR151" s="211"/>
      <c r="AS151" s="211"/>
      <c r="AT151" s="333"/>
      <c r="AU151" s="211"/>
      <c r="AV151" s="211"/>
      <c r="AW151" s="211"/>
      <c r="AX151" s="211"/>
      <c r="AY151" s="211"/>
      <c r="AZ151" s="214"/>
      <c r="BA151" s="333"/>
      <c r="BB151" s="333"/>
      <c r="BC151" s="333"/>
      <c r="BD151" s="333"/>
      <c r="BE151" s="333"/>
      <c r="BF151" s="333"/>
      <c r="BG151" s="333"/>
      <c r="BH151" s="333"/>
      <c r="BI151" s="211"/>
      <c r="BJ151" s="211"/>
      <c r="BK151" s="211"/>
      <c r="BL151" s="211"/>
      <c r="BM151" s="211"/>
      <c r="BN151" s="214"/>
      <c r="BO151" s="196"/>
      <c r="BP151" s="196"/>
      <c r="BQ151" s="196"/>
      <c r="BR151" s="196"/>
      <c r="BS151" s="196"/>
      <c r="BT151" s="196"/>
      <c r="BU151" s="193"/>
      <c r="BV151" s="193"/>
      <c r="BW151" s="193"/>
      <c r="BX151" s="193"/>
      <c r="BY151" s="193"/>
      <c r="BZ151" s="193"/>
      <c r="CA151" s="193"/>
      <c r="CB151" s="193"/>
      <c r="CC151" s="193"/>
      <c r="CD151" s="193"/>
      <c r="CE151" s="193"/>
      <c r="CF151" s="193"/>
      <c r="CG151" s="193"/>
      <c r="CH151" s="193"/>
      <c r="CI151" s="193"/>
      <c r="CJ151" s="193"/>
      <c r="CK151" s="193"/>
      <c r="CL151" s="193"/>
      <c r="CM151" s="205"/>
      <c r="CN151" s="205"/>
      <c r="CO151" s="24">
        <v>6</v>
      </c>
      <c r="CP151" s="21">
        <v>8.17</v>
      </c>
      <c r="CQ151" s="21">
        <v>1.55</v>
      </c>
      <c r="CR151" s="22">
        <v>77.599999999999994</v>
      </c>
      <c r="CS151" s="21">
        <v>18.2</v>
      </c>
      <c r="CT151" s="21">
        <v>1.64</v>
      </c>
      <c r="CU151" s="40" t="s">
        <v>155</v>
      </c>
      <c r="CV151" s="8">
        <v>2.8</v>
      </c>
      <c r="CW151" s="8">
        <v>21</v>
      </c>
      <c r="CX151" s="8">
        <v>54</v>
      </c>
      <c r="CY151" s="24">
        <v>7</v>
      </c>
      <c r="CZ151" s="21">
        <v>7.6</v>
      </c>
      <c r="DA151" s="21">
        <v>2.09</v>
      </c>
      <c r="DB151" s="22">
        <v>76.8</v>
      </c>
      <c r="DC151" s="21">
        <v>21.6</v>
      </c>
      <c r="DD151" s="21">
        <v>1.8</v>
      </c>
      <c r="DE151" s="40" t="s">
        <v>172</v>
      </c>
      <c r="DF151" s="8">
        <v>2.2000000000000002</v>
      </c>
      <c r="DG151" s="8">
        <v>11</v>
      </c>
      <c r="DH151" s="8">
        <v>52</v>
      </c>
      <c r="DI151" s="54"/>
      <c r="DJ151" s="54"/>
      <c r="DK151" s="54"/>
      <c r="DL151" s="54"/>
      <c r="DM151" s="54"/>
      <c r="DN151" s="54"/>
      <c r="DO151" s="54"/>
      <c r="DP151" s="8"/>
      <c r="DQ151" s="8"/>
      <c r="DR151" s="8"/>
      <c r="DS151" s="24">
        <v>6</v>
      </c>
      <c r="DT151" s="21">
        <v>7.88</v>
      </c>
      <c r="DU151" s="21">
        <v>1.3</v>
      </c>
      <c r="DV151" s="22">
        <v>75</v>
      </c>
      <c r="DW151" s="21">
        <v>23.6</v>
      </c>
      <c r="DX151" s="21">
        <v>1.95</v>
      </c>
      <c r="DY151" s="40" t="s">
        <v>237</v>
      </c>
      <c r="DZ151" s="8">
        <v>2.0499999999999998</v>
      </c>
      <c r="EA151" s="8">
        <v>1</v>
      </c>
      <c r="EB151" s="8">
        <v>13</v>
      </c>
      <c r="EC151" s="8">
        <v>16</v>
      </c>
      <c r="ED151" s="8">
        <v>5</v>
      </c>
      <c r="EE151" s="8">
        <v>12</v>
      </c>
      <c r="EF151" s="8">
        <v>8</v>
      </c>
      <c r="EG151" s="8">
        <v>1</v>
      </c>
      <c r="EH151" s="8">
        <v>85</v>
      </c>
      <c r="EI151" s="8">
        <v>9</v>
      </c>
      <c r="EJ151" s="8">
        <v>23</v>
      </c>
      <c r="EK151" s="8">
        <f t="shared" si="441"/>
        <v>173</v>
      </c>
      <c r="EL151" s="9">
        <v>106</v>
      </c>
      <c r="EM151" s="23">
        <v>58</v>
      </c>
      <c r="EN151" s="21">
        <v>7.6</v>
      </c>
      <c r="EO151" s="21">
        <v>1.92</v>
      </c>
      <c r="EP151" s="22">
        <v>71.8</v>
      </c>
      <c r="EQ151" s="21">
        <v>25</v>
      </c>
      <c r="ER151" s="21"/>
      <c r="ES151" s="23"/>
      <c r="ET151" s="23"/>
      <c r="EU151" s="23"/>
      <c r="EV151" s="23"/>
      <c r="EW151" s="23"/>
      <c r="EX151" s="23"/>
      <c r="EY151" s="23"/>
    </row>
    <row r="152" spans="1:155" ht="14.1" customHeight="1">
      <c r="A152" s="174"/>
      <c r="B152" s="397" t="s">
        <v>294</v>
      </c>
      <c r="C152" s="190"/>
      <c r="D152" s="317" t="e">
        <f t="shared" si="425"/>
        <v>#DIV/0!</v>
      </c>
      <c r="E152" s="320" t="e">
        <f t="shared" si="426"/>
        <v>#DIV/0!</v>
      </c>
      <c r="F152" s="320" t="e">
        <f t="shared" si="427"/>
        <v>#DIV/0!</v>
      </c>
      <c r="G152" s="323" t="e">
        <f t="shared" si="428"/>
        <v>#DIV/0!</v>
      </c>
      <c r="H152" s="306"/>
      <c r="I152" s="309"/>
      <c r="J152" s="309"/>
      <c r="K152" s="309"/>
      <c r="L152" s="309"/>
      <c r="M152" s="309"/>
      <c r="N152" s="309"/>
      <c r="O152" s="309"/>
      <c r="P152" s="211"/>
      <c r="Q152" s="214"/>
      <c r="R152" s="306"/>
      <c r="S152" s="309"/>
      <c r="T152" s="309"/>
      <c r="U152" s="309"/>
      <c r="V152" s="309"/>
      <c r="W152" s="309"/>
      <c r="X152" s="336"/>
      <c r="Y152" s="306"/>
      <c r="Z152" s="309"/>
      <c r="AA152" s="309"/>
      <c r="AB152" s="309"/>
      <c r="AC152" s="309"/>
      <c r="AD152" s="309"/>
      <c r="AE152" s="336"/>
      <c r="AF152" s="306"/>
      <c r="AG152" s="211"/>
      <c r="AH152" s="211"/>
      <c r="AI152" s="211"/>
      <c r="AJ152" s="211"/>
      <c r="AK152" s="211"/>
      <c r="AL152" s="214"/>
      <c r="AM152" s="333"/>
      <c r="AN152" s="211"/>
      <c r="AO152" s="211"/>
      <c r="AP152" s="211"/>
      <c r="AQ152" s="211"/>
      <c r="AR152" s="211"/>
      <c r="AS152" s="211"/>
      <c r="AT152" s="333"/>
      <c r="AU152" s="211"/>
      <c r="AV152" s="211"/>
      <c r="AW152" s="211"/>
      <c r="AX152" s="211"/>
      <c r="AY152" s="211"/>
      <c r="AZ152" s="214"/>
      <c r="BA152" s="333"/>
      <c r="BB152" s="333"/>
      <c r="BC152" s="333"/>
      <c r="BD152" s="333"/>
      <c r="BE152" s="333"/>
      <c r="BF152" s="333"/>
      <c r="BG152" s="333"/>
      <c r="BH152" s="333"/>
      <c r="BI152" s="211"/>
      <c r="BJ152" s="211"/>
      <c r="BK152" s="211"/>
      <c r="BL152" s="211"/>
      <c r="BM152" s="211"/>
      <c r="BN152" s="214"/>
      <c r="BO152" s="196"/>
      <c r="BP152" s="196"/>
      <c r="BQ152" s="196"/>
      <c r="BR152" s="196"/>
      <c r="BS152" s="196"/>
      <c r="BT152" s="196"/>
      <c r="BU152" s="193"/>
      <c r="BV152" s="193"/>
      <c r="BW152" s="193"/>
      <c r="BX152" s="193"/>
      <c r="BY152" s="193"/>
      <c r="BZ152" s="193"/>
      <c r="CA152" s="193"/>
      <c r="CB152" s="193"/>
      <c r="CC152" s="193"/>
      <c r="CD152" s="193"/>
      <c r="CE152" s="193"/>
      <c r="CF152" s="193"/>
      <c r="CG152" s="193"/>
      <c r="CH152" s="193"/>
      <c r="CI152" s="193"/>
      <c r="CJ152" s="193"/>
      <c r="CK152" s="193"/>
      <c r="CL152" s="193"/>
      <c r="CM152" s="205"/>
      <c r="CN152" s="205"/>
      <c r="CO152" s="24">
        <v>5</v>
      </c>
      <c r="CP152" s="21">
        <v>8.1999999999999993</v>
      </c>
      <c r="CQ152" s="21">
        <v>1.7</v>
      </c>
      <c r="CR152" s="22">
        <v>76.2</v>
      </c>
      <c r="CS152" s="21">
        <v>17.8</v>
      </c>
      <c r="CT152" s="21">
        <v>1.59</v>
      </c>
      <c r="CU152" s="40" t="s">
        <v>232</v>
      </c>
      <c r="CV152" s="8">
        <v>2.5499999999999998</v>
      </c>
      <c r="CW152" s="8">
        <v>11</v>
      </c>
      <c r="CX152" s="8">
        <v>49</v>
      </c>
      <c r="CY152" s="24">
        <v>9</v>
      </c>
      <c r="CZ152" s="21">
        <v>7.33</v>
      </c>
      <c r="DA152" s="21">
        <v>1.56</v>
      </c>
      <c r="DB152" s="22">
        <v>76.5</v>
      </c>
      <c r="DC152" s="21">
        <v>20.3</v>
      </c>
      <c r="DD152" s="21">
        <v>1.82</v>
      </c>
      <c r="DE152" s="40" t="s">
        <v>223</v>
      </c>
      <c r="DF152" s="8">
        <v>2.2999999999999998</v>
      </c>
      <c r="DG152" s="8">
        <v>26</v>
      </c>
      <c r="DH152" s="8">
        <v>33</v>
      </c>
      <c r="DI152" s="54"/>
      <c r="DJ152" s="54"/>
      <c r="DK152" s="54"/>
      <c r="DL152" s="54"/>
      <c r="DM152" s="54"/>
      <c r="DN152" s="54"/>
      <c r="DO152" s="54"/>
      <c r="DP152" s="8"/>
      <c r="DQ152" s="8"/>
      <c r="DR152" s="8"/>
      <c r="DS152" s="24">
        <v>12</v>
      </c>
      <c r="DT152" s="21">
        <v>7.7</v>
      </c>
      <c r="DU152" s="21">
        <v>1.25</v>
      </c>
      <c r="DV152" s="22">
        <v>74.8</v>
      </c>
      <c r="DW152" s="21">
        <v>24.4</v>
      </c>
      <c r="DX152" s="21"/>
      <c r="DY152" s="40"/>
      <c r="DZ152" s="8">
        <v>2.2999999999999998</v>
      </c>
      <c r="EA152" s="8">
        <v>13</v>
      </c>
      <c r="EB152" s="8">
        <v>0</v>
      </c>
      <c r="EC152" s="8">
        <v>8</v>
      </c>
      <c r="ED152" s="8">
        <v>1</v>
      </c>
      <c r="EE152" s="8">
        <v>8</v>
      </c>
      <c r="EF152" s="8">
        <v>9</v>
      </c>
      <c r="EG152" s="8">
        <v>5</v>
      </c>
      <c r="EH152" s="8">
        <v>89</v>
      </c>
      <c r="EI152" s="8">
        <v>10</v>
      </c>
      <c r="EJ152" s="8">
        <v>6</v>
      </c>
      <c r="EK152" s="8">
        <f t="shared" si="441"/>
        <v>149</v>
      </c>
      <c r="EL152" s="9">
        <v>108</v>
      </c>
      <c r="EM152" s="23">
        <v>45</v>
      </c>
      <c r="EN152" s="21">
        <v>7.8</v>
      </c>
      <c r="EO152" s="21">
        <v>1.75</v>
      </c>
      <c r="EP152" s="22">
        <v>72</v>
      </c>
      <c r="EQ152" s="21">
        <v>25.3</v>
      </c>
      <c r="ER152" s="21"/>
      <c r="ES152" s="23"/>
      <c r="ET152" s="23"/>
      <c r="EU152" s="23"/>
      <c r="EV152" s="23"/>
      <c r="EW152" s="23"/>
      <c r="EX152" s="23"/>
      <c r="EY152" s="23"/>
    </row>
    <row r="153" spans="1:155" ht="14.1" customHeight="1">
      <c r="A153" s="174"/>
      <c r="B153" s="397" t="s">
        <v>294</v>
      </c>
      <c r="C153" s="190"/>
      <c r="D153" s="317"/>
      <c r="E153" s="320"/>
      <c r="F153" s="320"/>
      <c r="G153" s="323"/>
      <c r="H153" s="306"/>
      <c r="I153" s="309"/>
      <c r="J153" s="309"/>
      <c r="K153" s="309"/>
      <c r="L153" s="309"/>
      <c r="M153" s="309"/>
      <c r="N153" s="309"/>
      <c r="O153" s="309"/>
      <c r="P153" s="211"/>
      <c r="Q153" s="214"/>
      <c r="R153" s="306"/>
      <c r="S153" s="309"/>
      <c r="T153" s="309"/>
      <c r="U153" s="309"/>
      <c r="V153" s="309"/>
      <c r="W153" s="309"/>
      <c r="X153" s="336"/>
      <c r="Y153" s="306"/>
      <c r="Z153" s="309"/>
      <c r="AA153" s="309"/>
      <c r="AB153" s="309"/>
      <c r="AC153" s="309"/>
      <c r="AD153" s="309"/>
      <c r="AE153" s="336"/>
      <c r="AF153" s="306"/>
      <c r="AG153" s="211"/>
      <c r="AH153" s="211"/>
      <c r="AI153" s="211"/>
      <c r="AJ153" s="211"/>
      <c r="AK153" s="211"/>
      <c r="AL153" s="214"/>
      <c r="AM153" s="333"/>
      <c r="AN153" s="211"/>
      <c r="AO153" s="211"/>
      <c r="AP153" s="211"/>
      <c r="AQ153" s="211"/>
      <c r="AR153" s="211"/>
      <c r="AS153" s="211"/>
      <c r="AT153" s="333"/>
      <c r="AU153" s="211"/>
      <c r="AV153" s="211"/>
      <c r="AW153" s="211"/>
      <c r="AX153" s="211"/>
      <c r="AY153" s="211"/>
      <c r="AZ153" s="214"/>
      <c r="BA153" s="333"/>
      <c r="BB153" s="333"/>
      <c r="BC153" s="333"/>
      <c r="BD153" s="333"/>
      <c r="BE153" s="333"/>
      <c r="BF153" s="333"/>
      <c r="BG153" s="333"/>
      <c r="BH153" s="333"/>
      <c r="BI153" s="211"/>
      <c r="BJ153" s="211"/>
      <c r="BK153" s="211"/>
      <c r="BL153" s="211"/>
      <c r="BM153" s="211"/>
      <c r="BN153" s="214"/>
      <c r="BO153" s="196"/>
      <c r="BP153" s="196"/>
      <c r="BQ153" s="196"/>
      <c r="BR153" s="196"/>
      <c r="BS153" s="196"/>
      <c r="BT153" s="196"/>
      <c r="BU153" s="193"/>
      <c r="BV153" s="193"/>
      <c r="BW153" s="193"/>
      <c r="BX153" s="193"/>
      <c r="BY153" s="193"/>
      <c r="BZ153" s="193"/>
      <c r="CA153" s="193"/>
      <c r="CB153" s="193"/>
      <c r="CC153" s="193"/>
      <c r="CD153" s="193"/>
      <c r="CE153" s="193"/>
      <c r="CF153" s="193"/>
      <c r="CG153" s="193"/>
      <c r="CH153" s="193"/>
      <c r="CI153" s="193"/>
      <c r="CJ153" s="193"/>
      <c r="CK153" s="193"/>
      <c r="CL153" s="193"/>
      <c r="CM153" s="205"/>
      <c r="CN153" s="205"/>
      <c r="CO153" s="69"/>
      <c r="CP153" s="70"/>
      <c r="CQ153" s="70"/>
      <c r="CR153" s="71"/>
      <c r="CS153" s="70"/>
      <c r="CT153" s="70"/>
      <c r="CU153" s="72"/>
      <c r="CY153" s="69"/>
      <c r="CZ153" s="70"/>
      <c r="DA153" s="70"/>
      <c r="DB153" s="71"/>
      <c r="DC153" s="70"/>
      <c r="DD153" s="70"/>
      <c r="DE153" s="72"/>
      <c r="DI153" s="54"/>
      <c r="DJ153" s="54"/>
      <c r="DK153" s="54"/>
      <c r="DL153" s="54"/>
      <c r="DM153" s="54"/>
      <c r="DN153" s="54"/>
      <c r="DO153" s="54"/>
      <c r="DP153" s="8"/>
      <c r="DQ153" s="8"/>
      <c r="DR153" s="8"/>
      <c r="DS153" s="24"/>
      <c r="DT153" s="21"/>
      <c r="DU153" s="21"/>
      <c r="DV153" s="22"/>
      <c r="DW153" s="21"/>
      <c r="DX153" s="21"/>
      <c r="DY153" s="40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>
        <f t="shared" si="441"/>
        <v>0</v>
      </c>
      <c r="EL153" s="9" t="s">
        <v>280</v>
      </c>
      <c r="EM153" s="23">
        <v>14</v>
      </c>
      <c r="EN153" s="21">
        <v>7.54</v>
      </c>
      <c r="EO153" s="21">
        <v>2.0299999999999998</v>
      </c>
      <c r="EP153" s="22">
        <v>72.2</v>
      </c>
      <c r="EQ153" s="21"/>
      <c r="ER153" s="21"/>
      <c r="ES153" s="23"/>
      <c r="ET153" s="23"/>
      <c r="EU153" s="23"/>
      <c r="EV153" s="23"/>
      <c r="EW153" s="23"/>
      <c r="EX153" s="23"/>
      <c r="EY153" s="23"/>
    </row>
    <row r="154" spans="1:155" ht="14.1" customHeight="1">
      <c r="A154" s="174"/>
      <c r="B154" s="397" t="s">
        <v>294</v>
      </c>
      <c r="C154" s="190"/>
      <c r="D154" s="317"/>
      <c r="E154" s="320"/>
      <c r="F154" s="320"/>
      <c r="G154" s="323"/>
      <c r="H154" s="306"/>
      <c r="I154" s="309"/>
      <c r="J154" s="309"/>
      <c r="K154" s="309"/>
      <c r="L154" s="309"/>
      <c r="M154" s="309"/>
      <c r="N154" s="309"/>
      <c r="O154" s="309"/>
      <c r="P154" s="211"/>
      <c r="Q154" s="214"/>
      <c r="R154" s="306"/>
      <c r="S154" s="309"/>
      <c r="T154" s="309"/>
      <c r="U154" s="309"/>
      <c r="V154" s="309"/>
      <c r="W154" s="309"/>
      <c r="X154" s="336"/>
      <c r="Y154" s="306"/>
      <c r="Z154" s="309"/>
      <c r="AA154" s="309"/>
      <c r="AB154" s="309"/>
      <c r="AC154" s="309"/>
      <c r="AD154" s="309"/>
      <c r="AE154" s="336"/>
      <c r="AF154" s="306"/>
      <c r="AG154" s="211"/>
      <c r="AH154" s="211"/>
      <c r="AI154" s="211"/>
      <c r="AJ154" s="211"/>
      <c r="AK154" s="211"/>
      <c r="AL154" s="214"/>
      <c r="AM154" s="333"/>
      <c r="AN154" s="211"/>
      <c r="AO154" s="211"/>
      <c r="AP154" s="211"/>
      <c r="AQ154" s="211"/>
      <c r="AR154" s="211"/>
      <c r="AS154" s="211"/>
      <c r="AT154" s="333"/>
      <c r="AU154" s="211"/>
      <c r="AV154" s="211"/>
      <c r="AW154" s="211"/>
      <c r="AX154" s="211"/>
      <c r="AY154" s="211"/>
      <c r="AZ154" s="214"/>
      <c r="BA154" s="333"/>
      <c r="BB154" s="333"/>
      <c r="BC154" s="333"/>
      <c r="BD154" s="333"/>
      <c r="BE154" s="333"/>
      <c r="BF154" s="333"/>
      <c r="BG154" s="333"/>
      <c r="BH154" s="333"/>
      <c r="BI154" s="211"/>
      <c r="BJ154" s="211"/>
      <c r="BK154" s="211"/>
      <c r="BL154" s="211"/>
      <c r="BM154" s="211"/>
      <c r="BN154" s="214"/>
      <c r="BO154" s="196"/>
      <c r="BP154" s="196"/>
      <c r="BQ154" s="196"/>
      <c r="BR154" s="196"/>
      <c r="BS154" s="196"/>
      <c r="BT154" s="196"/>
      <c r="BU154" s="193"/>
      <c r="BV154" s="193"/>
      <c r="BW154" s="193"/>
      <c r="BX154" s="193"/>
      <c r="BY154" s="193"/>
      <c r="BZ154" s="193"/>
      <c r="CA154" s="193"/>
      <c r="CB154" s="193"/>
      <c r="CC154" s="193"/>
      <c r="CD154" s="193"/>
      <c r="CE154" s="193"/>
      <c r="CF154" s="193"/>
      <c r="CG154" s="193"/>
      <c r="CH154" s="193"/>
      <c r="CI154" s="193"/>
      <c r="CJ154" s="193"/>
      <c r="CK154" s="193"/>
      <c r="CL154" s="193"/>
      <c r="CM154" s="205"/>
      <c r="CN154" s="205"/>
      <c r="CO154" s="69"/>
      <c r="CP154" s="70"/>
      <c r="CQ154" s="70"/>
      <c r="CR154" s="71"/>
      <c r="CS154" s="70"/>
      <c r="CT154" s="70"/>
      <c r="CU154" s="72"/>
      <c r="CY154" s="69"/>
      <c r="CZ154" s="70"/>
      <c r="DA154" s="70"/>
      <c r="DB154" s="71"/>
      <c r="DC154" s="70"/>
      <c r="DD154" s="70"/>
      <c r="DE154" s="72"/>
      <c r="DI154" s="54"/>
      <c r="DJ154" s="54"/>
      <c r="DK154" s="54"/>
      <c r="DL154" s="54"/>
      <c r="DM154" s="54"/>
      <c r="DN154" s="54"/>
      <c r="DO154" s="54"/>
      <c r="DP154" s="8"/>
      <c r="DQ154" s="8"/>
      <c r="DR154" s="8"/>
      <c r="DS154" s="24"/>
      <c r="DT154" s="21"/>
      <c r="DU154" s="21"/>
      <c r="DV154" s="22"/>
      <c r="DW154" s="21"/>
      <c r="DX154" s="21"/>
      <c r="DY154" s="40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>
        <f t="shared" si="441"/>
        <v>0</v>
      </c>
      <c r="EL154" s="9">
        <v>107</v>
      </c>
      <c r="EM154" s="23">
        <v>12</v>
      </c>
      <c r="EN154" s="21">
        <v>7.6</v>
      </c>
      <c r="EO154" s="21">
        <v>2.2000000000000002</v>
      </c>
      <c r="EP154" s="22">
        <v>70.8</v>
      </c>
      <c r="EQ154" s="21"/>
      <c r="ER154" s="21"/>
      <c r="ES154" s="23"/>
      <c r="ET154" s="23"/>
      <c r="EU154" s="23"/>
      <c r="EV154" s="23"/>
      <c r="EW154" s="23"/>
      <c r="EX154" s="23"/>
      <c r="EY154" s="23"/>
    </row>
    <row r="155" spans="1:155" s="401" customFormat="1" ht="14.1" customHeight="1" thickBot="1">
      <c r="A155" s="175"/>
      <c r="B155" s="400" t="s">
        <v>294</v>
      </c>
      <c r="C155" s="191"/>
      <c r="D155" s="318" t="e">
        <f t="shared" si="425"/>
        <v>#DIV/0!</v>
      </c>
      <c r="E155" s="321" t="e">
        <f t="shared" si="426"/>
        <v>#DIV/0!</v>
      </c>
      <c r="F155" s="321" t="e">
        <f t="shared" si="427"/>
        <v>#DIV/0!</v>
      </c>
      <c r="G155" s="324" t="e">
        <f t="shared" si="428"/>
        <v>#DIV/0!</v>
      </c>
      <c r="H155" s="307"/>
      <c r="I155" s="310"/>
      <c r="J155" s="310"/>
      <c r="K155" s="310"/>
      <c r="L155" s="310"/>
      <c r="M155" s="310"/>
      <c r="N155" s="310"/>
      <c r="O155" s="310"/>
      <c r="P155" s="302"/>
      <c r="Q155" s="304"/>
      <c r="R155" s="307"/>
      <c r="S155" s="310"/>
      <c r="T155" s="310"/>
      <c r="U155" s="310"/>
      <c r="V155" s="310"/>
      <c r="W155" s="310"/>
      <c r="X155" s="337"/>
      <c r="Y155" s="307"/>
      <c r="Z155" s="310"/>
      <c r="AA155" s="310"/>
      <c r="AB155" s="310"/>
      <c r="AC155" s="310"/>
      <c r="AD155" s="310"/>
      <c r="AE155" s="337"/>
      <c r="AF155" s="307"/>
      <c r="AG155" s="302"/>
      <c r="AH155" s="302"/>
      <c r="AI155" s="302"/>
      <c r="AJ155" s="302"/>
      <c r="AK155" s="302"/>
      <c r="AL155" s="304"/>
      <c r="AM155" s="334"/>
      <c r="AN155" s="302"/>
      <c r="AO155" s="302"/>
      <c r="AP155" s="302"/>
      <c r="AQ155" s="302"/>
      <c r="AR155" s="302"/>
      <c r="AS155" s="302"/>
      <c r="AT155" s="334"/>
      <c r="AU155" s="302"/>
      <c r="AV155" s="302"/>
      <c r="AW155" s="302"/>
      <c r="AX155" s="302"/>
      <c r="AY155" s="302"/>
      <c r="AZ155" s="304"/>
      <c r="BA155" s="334"/>
      <c r="BB155" s="334"/>
      <c r="BC155" s="334"/>
      <c r="BD155" s="334"/>
      <c r="BE155" s="334"/>
      <c r="BF155" s="334"/>
      <c r="BG155" s="334"/>
      <c r="BH155" s="334"/>
      <c r="BI155" s="302"/>
      <c r="BJ155" s="302"/>
      <c r="BK155" s="302"/>
      <c r="BL155" s="302"/>
      <c r="BM155" s="302"/>
      <c r="BN155" s="304"/>
      <c r="BO155" s="217"/>
      <c r="BP155" s="217"/>
      <c r="BQ155" s="217"/>
      <c r="BR155" s="217"/>
      <c r="BS155" s="217"/>
      <c r="BT155" s="217"/>
      <c r="BU155" s="219"/>
      <c r="BV155" s="219"/>
      <c r="BW155" s="219"/>
      <c r="BX155" s="219"/>
      <c r="BY155" s="219"/>
      <c r="BZ155" s="219"/>
      <c r="CA155" s="219"/>
      <c r="CB155" s="219"/>
      <c r="CC155" s="219"/>
      <c r="CD155" s="219"/>
      <c r="CE155" s="219"/>
      <c r="CF155" s="219"/>
      <c r="CG155" s="219"/>
      <c r="CH155" s="219"/>
      <c r="CI155" s="219"/>
      <c r="CJ155" s="219"/>
      <c r="CK155" s="219"/>
      <c r="CL155" s="219"/>
      <c r="CM155" s="221"/>
      <c r="CN155" s="221"/>
      <c r="CV155" s="116"/>
      <c r="CW155" s="116"/>
      <c r="CX155" s="116"/>
      <c r="DF155" s="116"/>
      <c r="DG155" s="116"/>
      <c r="DH155" s="116"/>
      <c r="DI155" s="394"/>
      <c r="DJ155" s="394"/>
      <c r="DK155" s="394"/>
      <c r="DL155" s="394"/>
      <c r="DM155" s="394"/>
      <c r="DN155" s="394"/>
      <c r="DO155" s="394"/>
      <c r="DP155" s="102"/>
      <c r="DQ155" s="102"/>
      <c r="DR155" s="102"/>
      <c r="DS155" s="101"/>
      <c r="DT155" s="99"/>
      <c r="DU155" s="99"/>
      <c r="DV155" s="100"/>
      <c r="DW155" s="99"/>
      <c r="DX155" s="99"/>
      <c r="DY155" s="153"/>
      <c r="DZ155" s="102"/>
      <c r="EA155" s="102"/>
      <c r="EB155" s="102"/>
      <c r="EC155" s="102"/>
      <c r="ED155" s="102"/>
      <c r="EE155" s="102"/>
      <c r="EF155" s="102"/>
      <c r="EG155" s="102"/>
      <c r="EH155" s="102"/>
      <c r="EI155" s="102"/>
      <c r="EJ155" s="102"/>
      <c r="EK155" s="8">
        <f t="shared" si="441"/>
        <v>0</v>
      </c>
      <c r="EL155" s="395" t="s">
        <v>309</v>
      </c>
      <c r="EM155" s="394">
        <v>30</v>
      </c>
      <c r="EN155" s="394"/>
      <c r="EO155" s="394"/>
      <c r="EP155" s="394"/>
      <c r="EQ155" s="99"/>
      <c r="ER155" s="99"/>
      <c r="ES155" s="101"/>
      <c r="ET155" s="101"/>
      <c r="EU155" s="101"/>
      <c r="EV155" s="101"/>
      <c r="EW155" s="101"/>
      <c r="EX155" s="101"/>
      <c r="EY155" s="101"/>
    </row>
    <row r="156" spans="1:155" s="398" customFormat="1" ht="14.1" customHeight="1">
      <c r="A156" s="173">
        <v>37</v>
      </c>
      <c r="B156" s="397" t="s">
        <v>295</v>
      </c>
      <c r="C156" s="189" t="s">
        <v>96</v>
      </c>
      <c r="D156" s="316">
        <f t="shared" si="425"/>
        <v>71.299712997129973</v>
      </c>
      <c r="E156" s="319">
        <f t="shared" si="426"/>
        <v>28.700287002870027</v>
      </c>
      <c r="F156" s="319">
        <f t="shared" si="427"/>
        <v>0</v>
      </c>
      <c r="G156" s="322">
        <f t="shared" si="428"/>
        <v>0</v>
      </c>
      <c r="H156" s="305">
        <v>17.39</v>
      </c>
      <c r="I156" s="308">
        <v>0</v>
      </c>
      <c r="J156" s="308">
        <v>7</v>
      </c>
      <c r="K156" s="308">
        <v>0</v>
      </c>
      <c r="L156" s="308">
        <v>0</v>
      </c>
      <c r="M156" s="308">
        <v>7.5</v>
      </c>
      <c r="N156" s="308">
        <v>1.8</v>
      </c>
      <c r="O156" s="308">
        <v>0.08</v>
      </c>
      <c r="P156" s="301"/>
      <c r="Q156" s="303"/>
      <c r="R156" s="305">
        <v>1.2</v>
      </c>
      <c r="S156" s="308">
        <v>0</v>
      </c>
      <c r="T156" s="308">
        <v>0.35</v>
      </c>
      <c r="U156" s="308">
        <v>0</v>
      </c>
      <c r="V156" s="308">
        <v>0</v>
      </c>
      <c r="W156" s="308">
        <v>3.48</v>
      </c>
      <c r="X156" s="335">
        <v>20.5</v>
      </c>
      <c r="Y156" s="305">
        <f t="shared" ref="Y156:AD156" si="454">H156*R156*10</f>
        <v>208.67999999999998</v>
      </c>
      <c r="Z156" s="308">
        <f t="shared" si="454"/>
        <v>0</v>
      </c>
      <c r="AA156" s="308">
        <f t="shared" si="454"/>
        <v>24.499999999999996</v>
      </c>
      <c r="AB156" s="308">
        <f t="shared" si="454"/>
        <v>0</v>
      </c>
      <c r="AC156" s="308">
        <f t="shared" si="454"/>
        <v>0</v>
      </c>
      <c r="AD156" s="308">
        <f t="shared" si="454"/>
        <v>261</v>
      </c>
      <c r="AE156" s="335">
        <f t="shared" ref="AE156" si="455">X156*O156*10</f>
        <v>16.400000000000002</v>
      </c>
      <c r="AF156" s="305">
        <v>13.2</v>
      </c>
      <c r="AG156" s="301">
        <v>0</v>
      </c>
      <c r="AH156" s="301">
        <v>2.2999999999999998</v>
      </c>
      <c r="AI156" s="301">
        <v>0</v>
      </c>
      <c r="AJ156" s="301">
        <v>0</v>
      </c>
      <c r="AK156" s="301">
        <v>30</v>
      </c>
      <c r="AL156" s="303">
        <v>85.3</v>
      </c>
      <c r="AM156" s="332">
        <f t="shared" ref="AM156" si="456">AF156*10*H156</f>
        <v>2295.48</v>
      </c>
      <c r="AN156" s="301">
        <f t="shared" ref="AN156:AS156" si="457">AG156*I156*10</f>
        <v>0</v>
      </c>
      <c r="AO156" s="301">
        <f t="shared" si="457"/>
        <v>160.99999999999997</v>
      </c>
      <c r="AP156" s="301">
        <f t="shared" si="457"/>
        <v>0</v>
      </c>
      <c r="AQ156" s="301">
        <f t="shared" si="457"/>
        <v>0</v>
      </c>
      <c r="AR156" s="301">
        <f t="shared" si="457"/>
        <v>2250</v>
      </c>
      <c r="AS156" s="301">
        <f t="shared" si="457"/>
        <v>1535.3999999999999</v>
      </c>
      <c r="AT156" s="332">
        <v>16.600000000000001</v>
      </c>
      <c r="AU156" s="301">
        <v>0</v>
      </c>
      <c r="AV156" s="301">
        <v>49.4</v>
      </c>
      <c r="AW156" s="301">
        <v>0</v>
      </c>
      <c r="AX156" s="301">
        <v>0</v>
      </c>
      <c r="AY156" s="301">
        <v>16.5</v>
      </c>
      <c r="AZ156" s="303">
        <v>28.5</v>
      </c>
      <c r="BA156" s="332">
        <f t="shared" ref="BA156:BG156" si="458">(H156*3*1000)/(1-AT156/100)</f>
        <v>62553.956834532379</v>
      </c>
      <c r="BB156" s="332">
        <f t="shared" si="458"/>
        <v>0</v>
      </c>
      <c r="BC156" s="332">
        <f t="shared" si="458"/>
        <v>41501.976284584976</v>
      </c>
      <c r="BD156" s="332">
        <f t="shared" si="458"/>
        <v>0</v>
      </c>
      <c r="BE156" s="332">
        <f t="shared" si="458"/>
        <v>0</v>
      </c>
      <c r="BF156" s="332">
        <f t="shared" si="458"/>
        <v>26946.10778443114</v>
      </c>
      <c r="BG156" s="332">
        <f t="shared" si="458"/>
        <v>7552.447552447552</v>
      </c>
      <c r="BH156" s="332">
        <f t="shared" ref="BH156" si="459">H156+I156+J156+K156+L156</f>
        <v>24.39</v>
      </c>
      <c r="BI156" s="301">
        <f t="shared" ref="BI156" si="460">M156+N156+O156</f>
        <v>9.3800000000000008</v>
      </c>
      <c r="BJ156" s="301">
        <f t="shared" ref="BJ156" si="461">BH156+BI156</f>
        <v>33.770000000000003</v>
      </c>
      <c r="BK156" s="301">
        <f t="shared" ref="BK156" si="462">Y156+Z156+AA156+AB156+AC156+AD156+AE156</f>
        <v>510.57999999999993</v>
      </c>
      <c r="BL156" s="301">
        <f t="shared" ref="BL156" si="463">AM156+AN156+AO156+AP156+AQ156+AR156+AS156</f>
        <v>6241.8799999999992</v>
      </c>
      <c r="BM156" s="301">
        <f t="shared" ref="BM156" si="464">BJ156*3*1000</f>
        <v>101310</v>
      </c>
      <c r="BN156" s="303">
        <f t="shared" ref="BN156" si="465">BA156+BB156+BC156+BD156+BE156+BF156+BG156</f>
        <v>138554.48845599603</v>
      </c>
      <c r="BO156" s="216">
        <v>74.8</v>
      </c>
      <c r="BP156" s="216">
        <v>0.56100000000000005</v>
      </c>
      <c r="BQ156" s="216">
        <v>4.22</v>
      </c>
      <c r="BR156" s="216">
        <v>75.5</v>
      </c>
      <c r="BS156" s="216">
        <v>0.66</v>
      </c>
      <c r="BT156" s="216">
        <v>6.21</v>
      </c>
      <c r="BU156" s="218">
        <v>7.99</v>
      </c>
      <c r="BV156" s="218">
        <v>4.42</v>
      </c>
      <c r="BW156" s="218">
        <v>0</v>
      </c>
      <c r="BX156" s="218">
        <v>5.93</v>
      </c>
      <c r="BY156" s="218">
        <v>10.17</v>
      </c>
      <c r="BZ156" s="218">
        <v>9800</v>
      </c>
      <c r="CA156" s="218">
        <v>6.13</v>
      </c>
      <c r="CB156" s="218">
        <v>3.05</v>
      </c>
      <c r="CC156" s="218">
        <v>0</v>
      </c>
      <c r="CD156" s="218">
        <v>7.63</v>
      </c>
      <c r="CE156" s="218">
        <v>7.26</v>
      </c>
      <c r="CF156" s="218">
        <v>0</v>
      </c>
      <c r="CG156" s="218"/>
      <c r="CH156" s="218"/>
      <c r="CI156" s="218"/>
      <c r="CJ156" s="218"/>
      <c r="CK156" s="218"/>
      <c r="CL156" s="218"/>
      <c r="CM156" s="220">
        <v>75.3</v>
      </c>
      <c r="CN156" s="220"/>
      <c r="CO156" s="139">
        <v>5</v>
      </c>
      <c r="CP156" s="122">
        <v>8.0500000000000007</v>
      </c>
      <c r="CQ156" s="122">
        <v>1.71</v>
      </c>
      <c r="CR156" s="123">
        <v>77.900000000000006</v>
      </c>
      <c r="CS156" s="122">
        <v>17.899999999999999</v>
      </c>
      <c r="CT156" s="122">
        <v>1.68</v>
      </c>
      <c r="CU156" s="152" t="s">
        <v>192</v>
      </c>
      <c r="CV156" s="79">
        <v>2.6</v>
      </c>
      <c r="CW156" s="79">
        <v>15</v>
      </c>
      <c r="CX156" s="79">
        <v>67</v>
      </c>
      <c r="CY156" s="139">
        <v>10</v>
      </c>
      <c r="CZ156" s="122">
        <v>7.28</v>
      </c>
      <c r="DA156" s="122">
        <v>1.52</v>
      </c>
      <c r="DB156" s="123">
        <v>76.599999999999994</v>
      </c>
      <c r="DC156" s="122">
        <v>22.3</v>
      </c>
      <c r="DD156" s="122">
        <v>1.76</v>
      </c>
      <c r="DE156" s="152" t="s">
        <v>238</v>
      </c>
      <c r="DF156" s="79">
        <v>2.2999999999999998</v>
      </c>
      <c r="DG156" s="79">
        <v>13</v>
      </c>
      <c r="DH156" s="79">
        <v>56</v>
      </c>
      <c r="DI156" s="169"/>
      <c r="DJ156" s="169"/>
      <c r="DK156" s="169"/>
      <c r="DL156" s="169"/>
      <c r="DM156" s="169"/>
      <c r="DN156" s="169"/>
      <c r="DO156" s="169"/>
      <c r="DP156" s="79"/>
      <c r="DQ156" s="79"/>
      <c r="DR156" s="79"/>
      <c r="DS156" s="139">
        <v>5</v>
      </c>
      <c r="DT156" s="122">
        <v>7.85</v>
      </c>
      <c r="DU156" s="122">
        <v>1.75</v>
      </c>
      <c r="DV156" s="123">
        <v>74.8</v>
      </c>
      <c r="DW156" s="122">
        <v>23.1</v>
      </c>
      <c r="DX156" s="122"/>
      <c r="DY156" s="152"/>
      <c r="DZ156" s="79">
        <v>2.1</v>
      </c>
      <c r="EA156" s="79"/>
      <c r="EB156" s="79"/>
      <c r="EC156" s="79"/>
      <c r="ED156" s="79"/>
      <c r="EE156" s="79"/>
      <c r="EF156" s="79"/>
      <c r="EG156" s="79"/>
      <c r="EH156" s="79"/>
      <c r="EI156" s="79"/>
      <c r="EJ156" s="79"/>
      <c r="EK156" s="8">
        <f t="shared" si="441"/>
        <v>0</v>
      </c>
      <c r="EL156" s="403"/>
      <c r="EM156" s="169"/>
      <c r="EN156" s="169"/>
      <c r="EO156" s="169"/>
      <c r="EP156" s="169"/>
      <c r="EQ156" s="122"/>
      <c r="ER156" s="122"/>
      <c r="ES156" s="121"/>
      <c r="ET156" s="121"/>
      <c r="EU156" s="121"/>
      <c r="EV156" s="121"/>
      <c r="EW156" s="121"/>
      <c r="EX156" s="121"/>
      <c r="EY156" s="121"/>
    </row>
    <row r="157" spans="1:155" ht="14.1" customHeight="1">
      <c r="A157" s="174"/>
      <c r="B157" s="397" t="s">
        <v>295</v>
      </c>
      <c r="C157" s="190"/>
      <c r="D157" s="317" t="e">
        <f t="shared" si="425"/>
        <v>#DIV/0!</v>
      </c>
      <c r="E157" s="320" t="e">
        <f t="shared" si="426"/>
        <v>#DIV/0!</v>
      </c>
      <c r="F157" s="320" t="e">
        <f t="shared" si="427"/>
        <v>#DIV/0!</v>
      </c>
      <c r="G157" s="323" t="e">
        <f t="shared" si="428"/>
        <v>#DIV/0!</v>
      </c>
      <c r="H157" s="306"/>
      <c r="I157" s="309"/>
      <c r="J157" s="309"/>
      <c r="K157" s="309"/>
      <c r="L157" s="309"/>
      <c r="M157" s="309"/>
      <c r="N157" s="309"/>
      <c r="O157" s="309"/>
      <c r="P157" s="211"/>
      <c r="Q157" s="214"/>
      <c r="R157" s="306"/>
      <c r="S157" s="309"/>
      <c r="T157" s="309"/>
      <c r="U157" s="309"/>
      <c r="V157" s="309"/>
      <c r="W157" s="309"/>
      <c r="X157" s="336"/>
      <c r="Y157" s="306"/>
      <c r="Z157" s="309"/>
      <c r="AA157" s="309"/>
      <c r="AB157" s="309"/>
      <c r="AC157" s="309"/>
      <c r="AD157" s="309"/>
      <c r="AE157" s="336"/>
      <c r="AF157" s="306"/>
      <c r="AG157" s="211"/>
      <c r="AH157" s="211"/>
      <c r="AI157" s="211"/>
      <c r="AJ157" s="211"/>
      <c r="AK157" s="211"/>
      <c r="AL157" s="214"/>
      <c r="AM157" s="333"/>
      <c r="AN157" s="211"/>
      <c r="AO157" s="211"/>
      <c r="AP157" s="211"/>
      <c r="AQ157" s="211"/>
      <c r="AR157" s="211"/>
      <c r="AS157" s="211"/>
      <c r="AT157" s="333"/>
      <c r="AU157" s="211"/>
      <c r="AV157" s="211"/>
      <c r="AW157" s="211"/>
      <c r="AX157" s="211"/>
      <c r="AY157" s="211"/>
      <c r="AZ157" s="214"/>
      <c r="BA157" s="333"/>
      <c r="BB157" s="333"/>
      <c r="BC157" s="333"/>
      <c r="BD157" s="333"/>
      <c r="BE157" s="333"/>
      <c r="BF157" s="333"/>
      <c r="BG157" s="333"/>
      <c r="BH157" s="333"/>
      <c r="BI157" s="211"/>
      <c r="BJ157" s="211"/>
      <c r="BK157" s="211"/>
      <c r="BL157" s="211"/>
      <c r="BM157" s="211"/>
      <c r="BN157" s="214"/>
      <c r="BO157" s="196"/>
      <c r="BP157" s="196"/>
      <c r="BQ157" s="196"/>
      <c r="BR157" s="196"/>
      <c r="BS157" s="196"/>
      <c r="BT157" s="196"/>
      <c r="BU157" s="193"/>
      <c r="BV157" s="193"/>
      <c r="BW157" s="193"/>
      <c r="BX157" s="193"/>
      <c r="BY157" s="193"/>
      <c r="BZ157" s="193"/>
      <c r="CA157" s="193"/>
      <c r="CB157" s="193"/>
      <c r="CC157" s="193"/>
      <c r="CD157" s="193"/>
      <c r="CE157" s="193"/>
      <c r="CF157" s="193"/>
      <c r="CG157" s="193"/>
      <c r="CH157" s="193"/>
      <c r="CI157" s="193"/>
      <c r="CJ157" s="193"/>
      <c r="CK157" s="193"/>
      <c r="CL157" s="193"/>
      <c r="CM157" s="205"/>
      <c r="CN157" s="205"/>
      <c r="CO157" s="24">
        <v>13</v>
      </c>
      <c r="CP157" s="21">
        <v>7.8</v>
      </c>
      <c r="CQ157" s="21">
        <v>1.82</v>
      </c>
      <c r="CR157" s="22">
        <v>76.400000000000006</v>
      </c>
      <c r="CS157" s="21">
        <v>17.8</v>
      </c>
      <c r="CT157" s="21">
        <v>1.66</v>
      </c>
      <c r="CU157" s="40" t="s">
        <v>239</v>
      </c>
      <c r="CV157" s="8">
        <v>2.7</v>
      </c>
      <c r="CW157" s="8">
        <v>123</v>
      </c>
      <c r="CX157" s="8">
        <v>49</v>
      </c>
      <c r="CY157" s="24">
        <v>6</v>
      </c>
      <c r="CZ157" s="21">
        <v>7.43</v>
      </c>
      <c r="DA157" s="21">
        <v>1.67</v>
      </c>
      <c r="DB157" s="22">
        <v>76.599999999999994</v>
      </c>
      <c r="DC157" s="21">
        <v>21.9</v>
      </c>
      <c r="DD157" s="21">
        <v>1.75</v>
      </c>
      <c r="DE157" s="40" t="s">
        <v>228</v>
      </c>
      <c r="DF157" s="8">
        <v>2.5</v>
      </c>
      <c r="DG157" s="8">
        <v>12</v>
      </c>
      <c r="DH157" s="33">
        <v>45</v>
      </c>
      <c r="DI157" s="54"/>
      <c r="DJ157" s="54"/>
      <c r="DK157" s="54"/>
      <c r="DL157" s="54"/>
      <c r="DM157" s="54"/>
      <c r="DN157" s="54"/>
      <c r="DO157" s="54"/>
      <c r="DP157" s="8"/>
      <c r="DQ157" s="8"/>
      <c r="DR157" s="8"/>
      <c r="DS157" s="24">
        <v>8</v>
      </c>
      <c r="DT157" s="21">
        <v>7.95</v>
      </c>
      <c r="DU157" s="21">
        <v>1.6</v>
      </c>
      <c r="DV157" s="22">
        <v>75</v>
      </c>
      <c r="DW157" s="21">
        <v>22.9</v>
      </c>
      <c r="DX157" s="21"/>
      <c r="DY157" s="40"/>
      <c r="DZ157" s="8">
        <v>2.2000000000000002</v>
      </c>
      <c r="EA157" s="8">
        <v>3</v>
      </c>
      <c r="EB157" s="8">
        <v>10</v>
      </c>
      <c r="EC157" s="8">
        <v>7</v>
      </c>
      <c r="ED157" s="8">
        <v>3</v>
      </c>
      <c r="EE157" s="8">
        <v>10</v>
      </c>
      <c r="EF157" s="8">
        <v>9</v>
      </c>
      <c r="EG157" s="8">
        <v>2</v>
      </c>
      <c r="EH157" s="8">
        <v>88</v>
      </c>
      <c r="EI157" s="8">
        <v>13</v>
      </c>
      <c r="EJ157" s="8">
        <v>14</v>
      </c>
      <c r="EK157" s="8">
        <f t="shared" si="441"/>
        <v>159</v>
      </c>
      <c r="EL157" s="9"/>
      <c r="EM157" s="23"/>
      <c r="EN157" s="21"/>
      <c r="EO157" s="21"/>
      <c r="EP157" s="22"/>
      <c r="EQ157" s="21"/>
      <c r="ER157" s="21"/>
      <c r="ES157" s="23"/>
      <c r="ET157" s="23"/>
      <c r="EU157" s="23"/>
      <c r="EV157" s="23"/>
      <c r="EW157" s="23"/>
      <c r="EX157" s="23"/>
      <c r="EY157" s="23"/>
    </row>
    <row r="158" spans="1:155" ht="14.1" customHeight="1">
      <c r="A158" s="174"/>
      <c r="B158" s="397" t="s">
        <v>295</v>
      </c>
      <c r="C158" s="190"/>
      <c r="D158" s="317" t="e">
        <f t="shared" si="425"/>
        <v>#DIV/0!</v>
      </c>
      <c r="E158" s="320" t="e">
        <f t="shared" si="426"/>
        <v>#DIV/0!</v>
      </c>
      <c r="F158" s="320" t="e">
        <f t="shared" si="427"/>
        <v>#DIV/0!</v>
      </c>
      <c r="G158" s="323" t="e">
        <f t="shared" si="428"/>
        <v>#DIV/0!</v>
      </c>
      <c r="H158" s="306"/>
      <c r="I158" s="309"/>
      <c r="J158" s="309"/>
      <c r="K158" s="309"/>
      <c r="L158" s="309"/>
      <c r="M158" s="309"/>
      <c r="N158" s="309"/>
      <c r="O158" s="309"/>
      <c r="P158" s="211"/>
      <c r="Q158" s="214"/>
      <c r="R158" s="306"/>
      <c r="S158" s="309"/>
      <c r="T158" s="309"/>
      <c r="U158" s="309"/>
      <c r="V158" s="309"/>
      <c r="W158" s="309"/>
      <c r="X158" s="336"/>
      <c r="Y158" s="306"/>
      <c r="Z158" s="309"/>
      <c r="AA158" s="309"/>
      <c r="AB158" s="309"/>
      <c r="AC158" s="309"/>
      <c r="AD158" s="309"/>
      <c r="AE158" s="336"/>
      <c r="AF158" s="306"/>
      <c r="AG158" s="211"/>
      <c r="AH158" s="211"/>
      <c r="AI158" s="211"/>
      <c r="AJ158" s="211"/>
      <c r="AK158" s="211"/>
      <c r="AL158" s="214"/>
      <c r="AM158" s="333"/>
      <c r="AN158" s="211"/>
      <c r="AO158" s="211"/>
      <c r="AP158" s="211"/>
      <c r="AQ158" s="211"/>
      <c r="AR158" s="211"/>
      <c r="AS158" s="211"/>
      <c r="AT158" s="333"/>
      <c r="AU158" s="211"/>
      <c r="AV158" s="211"/>
      <c r="AW158" s="211"/>
      <c r="AX158" s="211"/>
      <c r="AY158" s="211"/>
      <c r="AZ158" s="214"/>
      <c r="BA158" s="333"/>
      <c r="BB158" s="333"/>
      <c r="BC158" s="333"/>
      <c r="BD158" s="333"/>
      <c r="BE158" s="333"/>
      <c r="BF158" s="333"/>
      <c r="BG158" s="333"/>
      <c r="BH158" s="333"/>
      <c r="BI158" s="211"/>
      <c r="BJ158" s="211"/>
      <c r="BK158" s="211"/>
      <c r="BL158" s="211"/>
      <c r="BM158" s="211"/>
      <c r="BN158" s="214"/>
      <c r="BO158" s="196"/>
      <c r="BP158" s="196"/>
      <c r="BQ158" s="196"/>
      <c r="BR158" s="196"/>
      <c r="BS158" s="196"/>
      <c r="BT158" s="196"/>
      <c r="BU158" s="193"/>
      <c r="BV158" s="193"/>
      <c r="BW158" s="193"/>
      <c r="BX158" s="193"/>
      <c r="BY158" s="193"/>
      <c r="BZ158" s="193"/>
      <c r="CA158" s="193"/>
      <c r="CB158" s="193"/>
      <c r="CC158" s="193"/>
      <c r="CD158" s="193"/>
      <c r="CE158" s="193"/>
      <c r="CF158" s="193"/>
      <c r="CG158" s="193"/>
      <c r="CH158" s="193"/>
      <c r="CI158" s="193"/>
      <c r="CJ158" s="193"/>
      <c r="CK158" s="193"/>
      <c r="CL158" s="193"/>
      <c r="CM158" s="205"/>
      <c r="CN158" s="205"/>
      <c r="CO158" s="24">
        <v>8</v>
      </c>
      <c r="CP158" s="21">
        <v>7.98</v>
      </c>
      <c r="CQ158" s="21">
        <v>1.8</v>
      </c>
      <c r="CR158" s="22">
        <v>77</v>
      </c>
      <c r="CS158" s="21">
        <v>17.8</v>
      </c>
      <c r="CT158" s="21">
        <v>1.6</v>
      </c>
      <c r="CU158" s="40" t="s">
        <v>199</v>
      </c>
      <c r="CV158" s="8">
        <v>2.7</v>
      </c>
      <c r="CW158" s="8">
        <v>16</v>
      </c>
      <c r="CX158" s="8">
        <v>71</v>
      </c>
      <c r="CY158" s="24">
        <v>9</v>
      </c>
      <c r="CZ158" s="21">
        <v>7.64</v>
      </c>
      <c r="DA158" s="21">
        <v>1.74</v>
      </c>
      <c r="DB158" s="22">
        <v>76.3</v>
      </c>
      <c r="DC158" s="21">
        <v>22.2</v>
      </c>
      <c r="DD158" s="21"/>
      <c r="DE158" s="40"/>
      <c r="DF158" s="8">
        <v>2.2999999999999998</v>
      </c>
      <c r="DG158" s="8">
        <v>22</v>
      </c>
      <c r="DH158" s="33">
        <v>13</v>
      </c>
      <c r="DI158" s="54"/>
      <c r="DJ158" s="54"/>
      <c r="DK158" s="54"/>
      <c r="DL158" s="54"/>
      <c r="DM158" s="54"/>
      <c r="DN158" s="54"/>
      <c r="DO158" s="54"/>
      <c r="DP158" s="8"/>
      <c r="DQ158" s="8"/>
      <c r="DR158" s="8"/>
      <c r="DS158" s="24">
        <v>11</v>
      </c>
      <c r="DT158" s="21">
        <v>7.77</v>
      </c>
      <c r="DU158" s="21">
        <v>1.9</v>
      </c>
      <c r="DV158" s="22">
        <v>75</v>
      </c>
      <c r="DW158" s="21">
        <v>23.4</v>
      </c>
      <c r="DX158" s="21"/>
      <c r="DY158" s="40"/>
      <c r="DZ158" s="8">
        <v>2.5</v>
      </c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9"/>
      <c r="EM158" s="23"/>
      <c r="EN158" s="21"/>
      <c r="EO158" s="21"/>
      <c r="EP158" s="22"/>
      <c r="EQ158" s="21"/>
      <c r="ER158" s="21"/>
      <c r="ES158" s="23"/>
      <c r="ET158" s="23"/>
      <c r="EU158" s="23"/>
      <c r="EV158" s="23"/>
      <c r="EW158" s="23"/>
      <c r="EX158" s="23"/>
      <c r="EY158" s="23"/>
    </row>
    <row r="159" spans="1:155" s="401" customFormat="1" ht="14.1" customHeight="1" thickBot="1">
      <c r="A159" s="175"/>
      <c r="B159" s="400" t="s">
        <v>295</v>
      </c>
      <c r="C159" s="191"/>
      <c r="D159" s="318" t="e">
        <f t="shared" si="425"/>
        <v>#DIV/0!</v>
      </c>
      <c r="E159" s="321" t="e">
        <f t="shared" si="426"/>
        <v>#DIV/0!</v>
      </c>
      <c r="F159" s="321" t="e">
        <f t="shared" si="427"/>
        <v>#DIV/0!</v>
      </c>
      <c r="G159" s="324" t="e">
        <f t="shared" si="428"/>
        <v>#DIV/0!</v>
      </c>
      <c r="H159" s="307"/>
      <c r="I159" s="310"/>
      <c r="J159" s="310"/>
      <c r="K159" s="310"/>
      <c r="L159" s="310"/>
      <c r="M159" s="310"/>
      <c r="N159" s="310"/>
      <c r="O159" s="310"/>
      <c r="P159" s="302"/>
      <c r="Q159" s="304"/>
      <c r="R159" s="307"/>
      <c r="S159" s="310"/>
      <c r="T159" s="310"/>
      <c r="U159" s="310"/>
      <c r="V159" s="310"/>
      <c r="W159" s="310"/>
      <c r="X159" s="337"/>
      <c r="Y159" s="307"/>
      <c r="Z159" s="310"/>
      <c r="AA159" s="310"/>
      <c r="AB159" s="310"/>
      <c r="AC159" s="310"/>
      <c r="AD159" s="310"/>
      <c r="AE159" s="337"/>
      <c r="AF159" s="307"/>
      <c r="AG159" s="302"/>
      <c r="AH159" s="302"/>
      <c r="AI159" s="302"/>
      <c r="AJ159" s="302"/>
      <c r="AK159" s="302"/>
      <c r="AL159" s="304"/>
      <c r="AM159" s="334"/>
      <c r="AN159" s="302"/>
      <c r="AO159" s="302"/>
      <c r="AP159" s="302"/>
      <c r="AQ159" s="302"/>
      <c r="AR159" s="302"/>
      <c r="AS159" s="302"/>
      <c r="AT159" s="334"/>
      <c r="AU159" s="302"/>
      <c r="AV159" s="302"/>
      <c r="AW159" s="302"/>
      <c r="AX159" s="302"/>
      <c r="AY159" s="302"/>
      <c r="AZ159" s="304"/>
      <c r="BA159" s="334"/>
      <c r="BB159" s="334"/>
      <c r="BC159" s="334"/>
      <c r="BD159" s="334"/>
      <c r="BE159" s="334"/>
      <c r="BF159" s="334"/>
      <c r="BG159" s="334"/>
      <c r="BH159" s="334"/>
      <c r="BI159" s="302"/>
      <c r="BJ159" s="302"/>
      <c r="BK159" s="302"/>
      <c r="BL159" s="302"/>
      <c r="BM159" s="302"/>
      <c r="BN159" s="304"/>
      <c r="BO159" s="217"/>
      <c r="BP159" s="217"/>
      <c r="BQ159" s="217"/>
      <c r="BR159" s="217"/>
      <c r="BS159" s="217"/>
      <c r="BT159" s="217"/>
      <c r="BU159" s="219"/>
      <c r="BV159" s="219"/>
      <c r="BW159" s="219"/>
      <c r="BX159" s="219"/>
      <c r="BY159" s="219"/>
      <c r="BZ159" s="219"/>
      <c r="CA159" s="219"/>
      <c r="CB159" s="219"/>
      <c r="CC159" s="219"/>
      <c r="CD159" s="219"/>
      <c r="CE159" s="219"/>
      <c r="CF159" s="219"/>
      <c r="CG159" s="219"/>
      <c r="CH159" s="219"/>
      <c r="CI159" s="219"/>
      <c r="CJ159" s="219"/>
      <c r="CK159" s="219"/>
      <c r="CL159" s="219"/>
      <c r="CM159" s="221"/>
      <c r="CN159" s="221"/>
      <c r="CV159" s="116"/>
      <c r="CW159" s="116"/>
      <c r="CX159" s="116"/>
      <c r="DF159" s="116"/>
      <c r="DG159" s="102"/>
      <c r="DH159" s="146"/>
      <c r="DI159" s="394"/>
      <c r="DJ159" s="394"/>
      <c r="DK159" s="394"/>
      <c r="DL159" s="394"/>
      <c r="DM159" s="394"/>
      <c r="DN159" s="394"/>
      <c r="DO159" s="394"/>
      <c r="DP159" s="102"/>
      <c r="DQ159" s="102"/>
      <c r="DR159" s="102"/>
      <c r="DS159" s="101"/>
      <c r="DT159" s="99"/>
      <c r="DU159" s="99"/>
      <c r="DV159" s="100"/>
      <c r="DW159" s="99"/>
      <c r="DX159" s="99"/>
      <c r="DY159" s="153"/>
      <c r="DZ159" s="102"/>
      <c r="EA159" s="102"/>
      <c r="EB159" s="102"/>
      <c r="EC159" s="102"/>
      <c r="ED159" s="102"/>
      <c r="EE159" s="102"/>
      <c r="EF159" s="102"/>
      <c r="EG159" s="102"/>
      <c r="EH159" s="102"/>
      <c r="EI159" s="102"/>
      <c r="EJ159" s="102"/>
      <c r="EK159" s="102"/>
      <c r="EL159" s="106"/>
      <c r="EM159" s="101"/>
      <c r="EN159" s="99"/>
      <c r="EO159" s="99"/>
      <c r="EP159" s="100"/>
      <c r="EQ159" s="99"/>
      <c r="ER159" s="99"/>
      <c r="ES159" s="101"/>
      <c r="ET159" s="101"/>
      <c r="EU159" s="101"/>
      <c r="EV159" s="101"/>
      <c r="EW159" s="101"/>
      <c r="EX159" s="101"/>
      <c r="EY159" s="101"/>
    </row>
    <row r="160" spans="1:155" s="398" customFormat="1" ht="14.1" customHeight="1">
      <c r="A160" s="173">
        <v>38</v>
      </c>
      <c r="B160" s="397" t="s">
        <v>296</v>
      </c>
      <c r="C160" s="189" t="s">
        <v>90</v>
      </c>
      <c r="D160" s="316">
        <f t="shared" si="425"/>
        <v>76.92307692307692</v>
      </c>
      <c r="E160" s="319">
        <f t="shared" si="426"/>
        <v>23.076923076923077</v>
      </c>
      <c r="F160" s="319">
        <f t="shared" si="427"/>
        <v>0</v>
      </c>
      <c r="G160" s="322">
        <f t="shared" si="428"/>
        <v>0</v>
      </c>
      <c r="H160" s="305">
        <v>0</v>
      </c>
      <c r="I160" s="308">
        <v>16</v>
      </c>
      <c r="J160" s="308">
        <v>4.8</v>
      </c>
      <c r="K160" s="308">
        <v>0</v>
      </c>
      <c r="L160" s="308">
        <v>0</v>
      </c>
      <c r="M160" s="308">
        <v>7</v>
      </c>
      <c r="N160" s="308">
        <v>1.5</v>
      </c>
      <c r="O160" s="308">
        <v>0.2</v>
      </c>
      <c r="P160" s="301"/>
      <c r="Q160" s="303"/>
      <c r="R160" s="305">
        <v>0</v>
      </c>
      <c r="S160" s="308">
        <v>1</v>
      </c>
      <c r="T160" s="308">
        <v>0.35</v>
      </c>
      <c r="U160" s="308">
        <v>0</v>
      </c>
      <c r="V160" s="308">
        <v>0</v>
      </c>
      <c r="W160" s="308">
        <v>2.94</v>
      </c>
      <c r="X160" s="335">
        <v>20.5</v>
      </c>
      <c r="Y160" s="305">
        <f t="shared" ref="Y160:AD160" si="466">H160*R160*10</f>
        <v>0</v>
      </c>
      <c r="Z160" s="308">
        <f t="shared" si="466"/>
        <v>160</v>
      </c>
      <c r="AA160" s="308">
        <f t="shared" si="466"/>
        <v>16.8</v>
      </c>
      <c r="AB160" s="308">
        <f t="shared" si="466"/>
        <v>0</v>
      </c>
      <c r="AC160" s="308">
        <f t="shared" si="466"/>
        <v>0</v>
      </c>
      <c r="AD160" s="308">
        <f t="shared" si="466"/>
        <v>205.79999999999998</v>
      </c>
      <c r="AE160" s="335">
        <f t="shared" ref="AE160" si="467">X160*O160*10</f>
        <v>41.000000000000007</v>
      </c>
      <c r="AF160" s="305">
        <v>0</v>
      </c>
      <c r="AG160" s="301">
        <v>13.4</v>
      </c>
      <c r="AH160" s="301">
        <v>2.2999999999999998</v>
      </c>
      <c r="AI160" s="301">
        <v>0</v>
      </c>
      <c r="AJ160" s="301">
        <v>0</v>
      </c>
      <c r="AK160" s="301">
        <v>32.200000000000003</v>
      </c>
      <c r="AL160" s="303">
        <v>85.3</v>
      </c>
      <c r="AM160" s="332">
        <f t="shared" ref="AM160" si="468">AF160*10*H160</f>
        <v>0</v>
      </c>
      <c r="AN160" s="301">
        <f t="shared" ref="AN160:AS160" si="469">AG160*I160*10</f>
        <v>2144</v>
      </c>
      <c r="AO160" s="301">
        <f t="shared" si="469"/>
        <v>110.39999999999999</v>
      </c>
      <c r="AP160" s="301">
        <f t="shared" si="469"/>
        <v>0</v>
      </c>
      <c r="AQ160" s="301">
        <f t="shared" si="469"/>
        <v>0</v>
      </c>
      <c r="AR160" s="301">
        <f t="shared" si="469"/>
        <v>2254.0000000000005</v>
      </c>
      <c r="AS160" s="301">
        <f t="shared" si="469"/>
        <v>1279.5</v>
      </c>
      <c r="AT160" s="332">
        <v>0</v>
      </c>
      <c r="AU160" s="301">
        <v>19.8</v>
      </c>
      <c r="AV160" s="301">
        <v>50.2</v>
      </c>
      <c r="AW160" s="301">
        <v>0</v>
      </c>
      <c r="AX160" s="301">
        <v>0</v>
      </c>
      <c r="AY160" s="301">
        <v>16.8</v>
      </c>
      <c r="AZ160" s="303">
        <v>29</v>
      </c>
      <c r="BA160" s="332">
        <f t="shared" ref="BA160:BG160" si="470">(H160*3*1000)/(1-AT160/100)</f>
        <v>0</v>
      </c>
      <c r="BB160" s="332">
        <f t="shared" si="470"/>
        <v>59850.374064837903</v>
      </c>
      <c r="BC160" s="332">
        <f t="shared" si="470"/>
        <v>28915.662650602408</v>
      </c>
      <c r="BD160" s="332">
        <f t="shared" si="470"/>
        <v>0</v>
      </c>
      <c r="BE160" s="332">
        <f t="shared" si="470"/>
        <v>0</v>
      </c>
      <c r="BF160" s="332">
        <f t="shared" si="470"/>
        <v>25240.384615384617</v>
      </c>
      <c r="BG160" s="332">
        <f t="shared" si="470"/>
        <v>6338.0281690140846</v>
      </c>
      <c r="BH160" s="332">
        <f t="shared" ref="BH160" si="471">H160+I160+J160+K160+L160</f>
        <v>20.8</v>
      </c>
      <c r="BI160" s="301">
        <f t="shared" ref="BI160" si="472">M160+N160+O160</f>
        <v>8.6999999999999993</v>
      </c>
      <c r="BJ160" s="301">
        <f t="shared" ref="BJ160" si="473">BH160+BI160</f>
        <v>29.5</v>
      </c>
      <c r="BK160" s="301">
        <f t="shared" ref="BK160" si="474">Y160+Z160+AA160+AB160+AC160+AD160+AE160</f>
        <v>423.6</v>
      </c>
      <c r="BL160" s="301">
        <f t="shared" ref="BL160" si="475">AM160+AN160+AO160+AP160+AQ160+AR160+AS160</f>
        <v>5787.9000000000005</v>
      </c>
      <c r="BM160" s="350">
        <f t="shared" ref="BM160" si="476">BJ160*3*1000</f>
        <v>88500</v>
      </c>
      <c r="BN160" s="303">
        <f t="shared" ref="BN160" si="477">BA160+BB160+BC160+BD160+BE160+BF160+BG160</f>
        <v>120344.44949983901</v>
      </c>
      <c r="BO160" s="216">
        <v>72.8</v>
      </c>
      <c r="BP160" s="216">
        <v>0.32900000000000001</v>
      </c>
      <c r="BQ160" s="216">
        <v>5.7</v>
      </c>
      <c r="BR160" s="216">
        <v>75</v>
      </c>
      <c r="BS160" s="216">
        <v>0.23</v>
      </c>
      <c r="BT160" s="216">
        <v>6.76</v>
      </c>
      <c r="BU160" s="218">
        <v>6.42</v>
      </c>
      <c r="BV160" s="218">
        <v>3.38</v>
      </c>
      <c r="BW160" s="218">
        <v>3900</v>
      </c>
      <c r="BX160" s="218">
        <v>5.4</v>
      </c>
      <c r="BY160" s="218">
        <v>9.3000000000000007</v>
      </c>
      <c r="BZ160" s="218">
        <v>8200</v>
      </c>
      <c r="CA160" s="218">
        <v>7.43</v>
      </c>
      <c r="CB160" s="218">
        <v>3</v>
      </c>
      <c r="CC160" s="218">
        <v>2790</v>
      </c>
      <c r="CD160" s="218">
        <v>7.47</v>
      </c>
      <c r="CE160" s="218">
        <v>6.07</v>
      </c>
      <c r="CF160" s="218">
        <v>0</v>
      </c>
      <c r="CG160" s="218">
        <v>7.26</v>
      </c>
      <c r="CH160" s="218">
        <v>1.5</v>
      </c>
      <c r="CI160" s="218">
        <v>1460</v>
      </c>
      <c r="CJ160" s="218"/>
      <c r="CK160" s="218"/>
      <c r="CL160" s="218"/>
      <c r="CM160" s="220">
        <v>72</v>
      </c>
      <c r="CN160" s="220">
        <v>77.8</v>
      </c>
      <c r="CO160" s="139">
        <v>11</v>
      </c>
      <c r="CP160" s="122">
        <v>7.8</v>
      </c>
      <c r="CQ160" s="122">
        <v>1.5</v>
      </c>
      <c r="CR160" s="123">
        <v>76.599999999999994</v>
      </c>
      <c r="CS160" s="122">
        <v>19.399999999999999</v>
      </c>
      <c r="CT160" s="122">
        <v>1.55</v>
      </c>
      <c r="CU160" s="152" t="s">
        <v>91</v>
      </c>
      <c r="CV160" s="79">
        <v>2.2999999999999998</v>
      </c>
      <c r="CW160" s="79">
        <v>18</v>
      </c>
      <c r="CX160" s="79">
        <v>48</v>
      </c>
      <c r="CY160" s="139">
        <v>7</v>
      </c>
      <c r="CZ160" s="122">
        <v>7.56</v>
      </c>
      <c r="DA160" s="122">
        <v>1.6</v>
      </c>
      <c r="DB160" s="123">
        <v>76.2</v>
      </c>
      <c r="DC160" s="122">
        <v>22.6</v>
      </c>
      <c r="DD160" s="122"/>
      <c r="DE160" s="152"/>
      <c r="DF160" s="79">
        <v>2</v>
      </c>
      <c r="DG160" s="79">
        <v>25</v>
      </c>
      <c r="DH160" s="79">
        <v>48</v>
      </c>
      <c r="DP160" s="154"/>
      <c r="DQ160" s="154"/>
      <c r="DR160" s="154"/>
      <c r="DS160" s="168">
        <v>9</v>
      </c>
      <c r="DT160" s="169">
        <v>7.6</v>
      </c>
      <c r="DU160" s="169">
        <v>1.84</v>
      </c>
      <c r="DV160" s="169">
        <v>74.8</v>
      </c>
      <c r="DW160" s="169">
        <v>23.7</v>
      </c>
      <c r="DX160" s="169"/>
      <c r="DY160" s="169"/>
      <c r="DZ160" s="79"/>
      <c r="EA160" s="79"/>
      <c r="EB160" s="79"/>
      <c r="EC160" s="79"/>
      <c r="ED160" s="79"/>
      <c r="EE160" s="79"/>
      <c r="EF160" s="79"/>
      <c r="EG160" s="79"/>
      <c r="EH160" s="79"/>
      <c r="EI160" s="79"/>
      <c r="EJ160" s="79"/>
      <c r="EK160" s="79"/>
      <c r="EL160" s="403"/>
      <c r="EM160" s="169"/>
      <c r="EN160" s="169"/>
      <c r="EO160" s="169"/>
      <c r="EP160" s="169"/>
      <c r="EQ160" s="169"/>
      <c r="ER160" s="169"/>
      <c r="ES160" s="169"/>
      <c r="ET160" s="169"/>
      <c r="EU160" s="169"/>
      <c r="EV160" s="169"/>
      <c r="EW160" s="169"/>
      <c r="EX160" s="169"/>
      <c r="EY160" s="169"/>
    </row>
    <row r="161" spans="1:155" ht="14.1" customHeight="1">
      <c r="A161" s="174"/>
      <c r="B161" s="397" t="s">
        <v>296</v>
      </c>
      <c r="C161" s="190"/>
      <c r="D161" s="317" t="e">
        <f t="shared" si="425"/>
        <v>#DIV/0!</v>
      </c>
      <c r="E161" s="320" t="e">
        <f t="shared" si="426"/>
        <v>#DIV/0!</v>
      </c>
      <c r="F161" s="320" t="e">
        <f t="shared" si="427"/>
        <v>#DIV/0!</v>
      </c>
      <c r="G161" s="323" t="e">
        <f t="shared" si="428"/>
        <v>#DIV/0!</v>
      </c>
      <c r="H161" s="306"/>
      <c r="I161" s="309"/>
      <c r="J161" s="309"/>
      <c r="K161" s="309"/>
      <c r="L161" s="309"/>
      <c r="M161" s="309"/>
      <c r="N161" s="309"/>
      <c r="O161" s="309"/>
      <c r="P161" s="211"/>
      <c r="Q161" s="214"/>
      <c r="R161" s="306"/>
      <c r="S161" s="309"/>
      <c r="T161" s="309"/>
      <c r="U161" s="309"/>
      <c r="V161" s="309"/>
      <c r="W161" s="309"/>
      <c r="X161" s="336"/>
      <c r="Y161" s="306"/>
      <c r="Z161" s="309"/>
      <c r="AA161" s="309"/>
      <c r="AB161" s="309"/>
      <c r="AC161" s="309"/>
      <c r="AD161" s="309"/>
      <c r="AE161" s="336"/>
      <c r="AF161" s="306"/>
      <c r="AG161" s="211"/>
      <c r="AH161" s="211"/>
      <c r="AI161" s="211"/>
      <c r="AJ161" s="211"/>
      <c r="AK161" s="211"/>
      <c r="AL161" s="214"/>
      <c r="AM161" s="333"/>
      <c r="AN161" s="211"/>
      <c r="AO161" s="211"/>
      <c r="AP161" s="211"/>
      <c r="AQ161" s="211"/>
      <c r="AR161" s="211"/>
      <c r="AS161" s="211"/>
      <c r="AT161" s="333"/>
      <c r="AU161" s="211"/>
      <c r="AV161" s="211"/>
      <c r="AW161" s="211"/>
      <c r="AX161" s="211"/>
      <c r="AY161" s="211"/>
      <c r="AZ161" s="214"/>
      <c r="BA161" s="333"/>
      <c r="BB161" s="333"/>
      <c r="BC161" s="333"/>
      <c r="BD161" s="333"/>
      <c r="BE161" s="333"/>
      <c r="BF161" s="333"/>
      <c r="BG161" s="333"/>
      <c r="BH161" s="333"/>
      <c r="BI161" s="211"/>
      <c r="BJ161" s="211"/>
      <c r="BK161" s="211"/>
      <c r="BL161" s="211"/>
      <c r="BM161" s="351"/>
      <c r="BN161" s="214"/>
      <c r="BO161" s="196"/>
      <c r="BP161" s="196"/>
      <c r="BQ161" s="196"/>
      <c r="BR161" s="196"/>
      <c r="BS161" s="196"/>
      <c r="BT161" s="196"/>
      <c r="BU161" s="193"/>
      <c r="BV161" s="193"/>
      <c r="BW161" s="193"/>
      <c r="BX161" s="193"/>
      <c r="BY161" s="193"/>
      <c r="BZ161" s="193"/>
      <c r="CA161" s="193"/>
      <c r="CB161" s="193"/>
      <c r="CC161" s="193"/>
      <c r="CD161" s="193"/>
      <c r="CE161" s="193"/>
      <c r="CF161" s="193"/>
      <c r="CG161" s="193"/>
      <c r="CH161" s="193"/>
      <c r="CI161" s="193"/>
      <c r="CJ161" s="193"/>
      <c r="CK161" s="193"/>
      <c r="CL161" s="193"/>
      <c r="CM161" s="205"/>
      <c r="CN161" s="205"/>
      <c r="CO161" s="24">
        <v>13</v>
      </c>
      <c r="CP161" s="21">
        <v>7.87</v>
      </c>
      <c r="CQ161" s="21">
        <v>1.8</v>
      </c>
      <c r="CR161" s="22">
        <v>77</v>
      </c>
      <c r="CS161" s="21">
        <v>20.100000000000001</v>
      </c>
      <c r="CT161" s="21">
        <v>1.6</v>
      </c>
      <c r="CU161" s="40" t="s">
        <v>155</v>
      </c>
      <c r="CV161" s="8">
        <v>2.2999999999999998</v>
      </c>
      <c r="CW161" s="8">
        <v>16</v>
      </c>
      <c r="CX161" s="8">
        <v>54</v>
      </c>
      <c r="CY161" s="24">
        <v>8</v>
      </c>
      <c r="CZ161" s="21">
        <v>7.62</v>
      </c>
      <c r="DA161" s="21">
        <v>1.74</v>
      </c>
      <c r="DB161" s="22">
        <v>76</v>
      </c>
      <c r="DC161" s="21">
        <v>22</v>
      </c>
      <c r="DD161" s="21"/>
      <c r="DE161" s="40"/>
      <c r="DF161" s="8">
        <v>2</v>
      </c>
      <c r="DG161" s="8">
        <v>24</v>
      </c>
      <c r="DH161" s="8">
        <v>45</v>
      </c>
      <c r="DS161" s="48">
        <v>7</v>
      </c>
      <c r="DT161" s="54">
        <v>7.51</v>
      </c>
      <c r="DU161" s="54">
        <v>1.92</v>
      </c>
      <c r="DV161" s="54">
        <v>74.5</v>
      </c>
      <c r="DW161" s="54">
        <v>23.8</v>
      </c>
      <c r="DX161" s="54"/>
      <c r="DY161" s="54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404"/>
      <c r="EM161" s="54"/>
      <c r="EN161" s="54"/>
      <c r="EO161" s="54"/>
      <c r="EP161" s="54"/>
      <c r="EQ161" s="54"/>
      <c r="ER161" s="54"/>
      <c r="ES161" s="54"/>
      <c r="ET161" s="54"/>
      <c r="EU161" s="54"/>
      <c r="EV161" s="54"/>
      <c r="EW161" s="54"/>
      <c r="EX161" s="54"/>
      <c r="EY161" s="54"/>
    </row>
    <row r="162" spans="1:155" ht="14.1" customHeight="1">
      <c r="A162" s="174"/>
      <c r="B162" s="397" t="s">
        <v>296</v>
      </c>
      <c r="C162" s="190"/>
      <c r="D162" s="317" t="e">
        <f t="shared" si="425"/>
        <v>#DIV/0!</v>
      </c>
      <c r="E162" s="320" t="e">
        <f t="shared" si="426"/>
        <v>#DIV/0!</v>
      </c>
      <c r="F162" s="320" t="e">
        <f t="shared" si="427"/>
        <v>#DIV/0!</v>
      </c>
      <c r="G162" s="323" t="e">
        <f t="shared" si="428"/>
        <v>#DIV/0!</v>
      </c>
      <c r="H162" s="306"/>
      <c r="I162" s="309"/>
      <c r="J162" s="309"/>
      <c r="K162" s="309"/>
      <c r="L162" s="309"/>
      <c r="M162" s="309"/>
      <c r="N162" s="309"/>
      <c r="O162" s="309"/>
      <c r="P162" s="211"/>
      <c r="Q162" s="214"/>
      <c r="R162" s="306"/>
      <c r="S162" s="309"/>
      <c r="T162" s="309"/>
      <c r="U162" s="309"/>
      <c r="V162" s="309"/>
      <c r="W162" s="309"/>
      <c r="X162" s="336"/>
      <c r="Y162" s="306"/>
      <c r="Z162" s="309"/>
      <c r="AA162" s="309"/>
      <c r="AB162" s="309"/>
      <c r="AC162" s="309"/>
      <c r="AD162" s="309"/>
      <c r="AE162" s="336"/>
      <c r="AF162" s="306"/>
      <c r="AG162" s="211"/>
      <c r="AH162" s="211"/>
      <c r="AI162" s="211"/>
      <c r="AJ162" s="211"/>
      <c r="AK162" s="211"/>
      <c r="AL162" s="214"/>
      <c r="AM162" s="333"/>
      <c r="AN162" s="211"/>
      <c r="AO162" s="211"/>
      <c r="AP162" s="211"/>
      <c r="AQ162" s="211"/>
      <c r="AR162" s="211"/>
      <c r="AS162" s="211"/>
      <c r="AT162" s="333"/>
      <c r="AU162" s="211"/>
      <c r="AV162" s="211"/>
      <c r="AW162" s="211"/>
      <c r="AX162" s="211"/>
      <c r="AY162" s="211"/>
      <c r="AZ162" s="214"/>
      <c r="BA162" s="333"/>
      <c r="BB162" s="333"/>
      <c r="BC162" s="333"/>
      <c r="BD162" s="333"/>
      <c r="BE162" s="333"/>
      <c r="BF162" s="333"/>
      <c r="BG162" s="333"/>
      <c r="BH162" s="333"/>
      <c r="BI162" s="211"/>
      <c r="BJ162" s="211"/>
      <c r="BK162" s="211"/>
      <c r="BL162" s="211"/>
      <c r="BM162" s="351"/>
      <c r="BN162" s="214"/>
      <c r="BO162" s="196"/>
      <c r="BP162" s="196"/>
      <c r="BQ162" s="196"/>
      <c r="BR162" s="196"/>
      <c r="BS162" s="196"/>
      <c r="BT162" s="196"/>
      <c r="BU162" s="193"/>
      <c r="BV162" s="193"/>
      <c r="BW162" s="193"/>
      <c r="BX162" s="193"/>
      <c r="BY162" s="193"/>
      <c r="BZ162" s="193"/>
      <c r="CA162" s="193"/>
      <c r="CB162" s="193"/>
      <c r="CC162" s="193"/>
      <c r="CD162" s="193"/>
      <c r="CE162" s="193"/>
      <c r="CF162" s="193"/>
      <c r="CG162" s="193"/>
      <c r="CH162" s="193"/>
      <c r="CI162" s="193"/>
      <c r="CJ162" s="193"/>
      <c r="CK162" s="193"/>
      <c r="CL162" s="193"/>
      <c r="CM162" s="205"/>
      <c r="CN162" s="205"/>
      <c r="CO162" s="24">
        <v>12</v>
      </c>
      <c r="CP162" s="21">
        <v>7.75</v>
      </c>
      <c r="CQ162" s="21">
        <v>1.68</v>
      </c>
      <c r="CR162" s="22">
        <v>77</v>
      </c>
      <c r="CS162" s="21">
        <v>20.8</v>
      </c>
      <c r="CT162" s="21"/>
      <c r="CU162" s="40"/>
      <c r="CV162" s="8">
        <v>2.2999999999999998</v>
      </c>
      <c r="CW162" s="8">
        <v>14</v>
      </c>
      <c r="CX162" s="8">
        <v>53</v>
      </c>
      <c r="CY162" s="24">
        <v>9</v>
      </c>
      <c r="CZ162" s="21">
        <v>7.6</v>
      </c>
      <c r="DA162" s="21">
        <v>1.7</v>
      </c>
      <c r="DB162" s="22">
        <v>75.8</v>
      </c>
      <c r="DC162" s="21">
        <v>21.7</v>
      </c>
      <c r="DD162" s="21"/>
      <c r="DE162" s="40"/>
      <c r="DF162" s="8">
        <v>2</v>
      </c>
      <c r="DG162" s="8">
        <v>16</v>
      </c>
      <c r="DH162" s="8">
        <v>46</v>
      </c>
      <c r="DS162" s="48">
        <v>4</v>
      </c>
      <c r="DT162" s="54">
        <v>7.42</v>
      </c>
      <c r="DU162" s="54">
        <v>1.5</v>
      </c>
      <c r="DV162" s="54">
        <v>75.2</v>
      </c>
      <c r="DW162" s="54">
        <v>22.9</v>
      </c>
      <c r="DX162" s="54"/>
      <c r="DY162" s="54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404"/>
      <c r="EM162" s="54"/>
      <c r="EN162" s="54"/>
      <c r="EO162" s="54"/>
      <c r="EP162" s="54"/>
      <c r="EQ162" s="54"/>
      <c r="ER162" s="54"/>
      <c r="ES162" s="54"/>
      <c r="ET162" s="54"/>
      <c r="EU162" s="54"/>
      <c r="EV162" s="54"/>
      <c r="EW162" s="54"/>
      <c r="EX162" s="54"/>
      <c r="EY162" s="54"/>
    </row>
    <row r="163" spans="1:155" s="401" customFormat="1" ht="14.1" customHeight="1" thickBot="1">
      <c r="A163" s="175"/>
      <c r="B163" s="400" t="s">
        <v>296</v>
      </c>
      <c r="C163" s="191"/>
      <c r="D163" s="318" t="e">
        <f t="shared" si="425"/>
        <v>#DIV/0!</v>
      </c>
      <c r="E163" s="321" t="e">
        <f t="shared" si="426"/>
        <v>#DIV/0!</v>
      </c>
      <c r="F163" s="321" t="e">
        <f t="shared" si="427"/>
        <v>#DIV/0!</v>
      </c>
      <c r="G163" s="324" t="e">
        <f t="shared" si="428"/>
        <v>#DIV/0!</v>
      </c>
      <c r="H163" s="307"/>
      <c r="I163" s="310"/>
      <c r="J163" s="310"/>
      <c r="K163" s="310"/>
      <c r="L163" s="310"/>
      <c r="M163" s="310"/>
      <c r="N163" s="310"/>
      <c r="O163" s="310"/>
      <c r="P163" s="302"/>
      <c r="Q163" s="304"/>
      <c r="R163" s="307"/>
      <c r="S163" s="310"/>
      <c r="T163" s="310"/>
      <c r="U163" s="310"/>
      <c r="V163" s="310"/>
      <c r="W163" s="310"/>
      <c r="X163" s="337"/>
      <c r="Y163" s="307"/>
      <c r="Z163" s="310"/>
      <c r="AA163" s="310"/>
      <c r="AB163" s="310"/>
      <c r="AC163" s="310"/>
      <c r="AD163" s="310"/>
      <c r="AE163" s="337"/>
      <c r="AF163" s="307"/>
      <c r="AG163" s="302"/>
      <c r="AH163" s="302"/>
      <c r="AI163" s="302"/>
      <c r="AJ163" s="302"/>
      <c r="AK163" s="302"/>
      <c r="AL163" s="304"/>
      <c r="AM163" s="334"/>
      <c r="AN163" s="302"/>
      <c r="AO163" s="302"/>
      <c r="AP163" s="302"/>
      <c r="AQ163" s="302"/>
      <c r="AR163" s="302"/>
      <c r="AS163" s="302"/>
      <c r="AT163" s="334"/>
      <c r="AU163" s="302"/>
      <c r="AV163" s="302"/>
      <c r="AW163" s="302"/>
      <c r="AX163" s="302"/>
      <c r="AY163" s="302"/>
      <c r="AZ163" s="304"/>
      <c r="BA163" s="334"/>
      <c r="BB163" s="334"/>
      <c r="BC163" s="334"/>
      <c r="BD163" s="334"/>
      <c r="BE163" s="334"/>
      <c r="BF163" s="334"/>
      <c r="BG163" s="334"/>
      <c r="BH163" s="334"/>
      <c r="BI163" s="302"/>
      <c r="BJ163" s="302"/>
      <c r="BK163" s="302"/>
      <c r="BL163" s="302"/>
      <c r="BM163" s="352"/>
      <c r="BN163" s="304"/>
      <c r="BO163" s="217"/>
      <c r="BP163" s="217"/>
      <c r="BQ163" s="217"/>
      <c r="BR163" s="217"/>
      <c r="BS163" s="217"/>
      <c r="BT163" s="217"/>
      <c r="BU163" s="219"/>
      <c r="BV163" s="219"/>
      <c r="BW163" s="219"/>
      <c r="BX163" s="219"/>
      <c r="BY163" s="219"/>
      <c r="BZ163" s="219"/>
      <c r="CA163" s="219"/>
      <c r="CB163" s="219"/>
      <c r="CC163" s="219"/>
      <c r="CD163" s="219"/>
      <c r="CE163" s="219"/>
      <c r="CF163" s="219"/>
      <c r="CG163" s="219"/>
      <c r="CH163" s="219"/>
      <c r="CI163" s="219"/>
      <c r="CJ163" s="219"/>
      <c r="CK163" s="219"/>
      <c r="CL163" s="219"/>
      <c r="CM163" s="221"/>
      <c r="CN163" s="221"/>
      <c r="CV163" s="116"/>
      <c r="CW163" s="116"/>
      <c r="CX163" s="116"/>
      <c r="CY163" s="103"/>
      <c r="DF163" s="116"/>
      <c r="DG163" s="116"/>
      <c r="DH163" s="116"/>
      <c r="DP163" s="116"/>
      <c r="DQ163" s="116"/>
      <c r="DR163" s="116"/>
      <c r="DT163" s="394"/>
      <c r="DU163" s="394"/>
      <c r="DV163" s="394"/>
      <c r="DW163" s="394"/>
      <c r="DX163" s="394"/>
      <c r="DY163" s="394"/>
      <c r="DZ163" s="102"/>
      <c r="EA163" s="102"/>
      <c r="EB163" s="102"/>
      <c r="EC163" s="102"/>
      <c r="ED163" s="102"/>
      <c r="EE163" s="102"/>
      <c r="EF163" s="102"/>
      <c r="EG163" s="102"/>
      <c r="EH163" s="102"/>
      <c r="EI163" s="102"/>
      <c r="EJ163" s="102"/>
      <c r="EK163" s="102"/>
      <c r="EL163" s="395"/>
      <c r="EM163" s="394"/>
      <c r="EN163" s="394"/>
      <c r="EO163" s="394"/>
      <c r="EP163" s="394"/>
      <c r="EQ163" s="394"/>
      <c r="ER163" s="394"/>
      <c r="ES163" s="394"/>
      <c r="ET163" s="394"/>
      <c r="EU163" s="394"/>
      <c r="EV163" s="394"/>
      <c r="EW163" s="394"/>
      <c r="EX163" s="394"/>
      <c r="EY163" s="394"/>
    </row>
    <row r="164" spans="1:155" s="398" customFormat="1" ht="14.1" customHeight="1" thickBot="1">
      <c r="A164" s="173">
        <v>39</v>
      </c>
      <c r="B164" s="397" t="s">
        <v>297</v>
      </c>
      <c r="C164" s="189" t="s">
        <v>90</v>
      </c>
      <c r="D164" s="316">
        <f t="shared" si="425"/>
        <v>71.428571428571431</v>
      </c>
      <c r="E164" s="319">
        <f t="shared" si="426"/>
        <v>28.571428571428569</v>
      </c>
      <c r="F164" s="319">
        <f t="shared" si="427"/>
        <v>0</v>
      </c>
      <c r="G164" s="322">
        <f t="shared" si="428"/>
        <v>0</v>
      </c>
      <c r="H164" s="305">
        <v>0</v>
      </c>
      <c r="I164" s="308">
        <v>17.5</v>
      </c>
      <c r="J164" s="308">
        <v>7</v>
      </c>
      <c r="K164" s="308">
        <v>0</v>
      </c>
      <c r="L164" s="308">
        <v>0</v>
      </c>
      <c r="M164" s="308">
        <v>8.5</v>
      </c>
      <c r="N164" s="308">
        <v>1.8</v>
      </c>
      <c r="O164" s="308">
        <v>0.1</v>
      </c>
      <c r="P164" s="301"/>
      <c r="Q164" s="303"/>
      <c r="R164" s="305">
        <v>0</v>
      </c>
      <c r="S164" s="308">
        <v>1.2</v>
      </c>
      <c r="T164" s="308">
        <v>0.43</v>
      </c>
      <c r="U164" s="308">
        <v>0</v>
      </c>
      <c r="V164" s="308">
        <v>0</v>
      </c>
      <c r="W164" s="308">
        <v>2.98</v>
      </c>
      <c r="X164" s="335">
        <v>20.5</v>
      </c>
      <c r="Y164" s="305">
        <f t="shared" ref="Y164:AD164" si="478">H164*R164*10</f>
        <v>0</v>
      </c>
      <c r="Z164" s="308">
        <f t="shared" si="478"/>
        <v>210</v>
      </c>
      <c r="AA164" s="308">
        <f t="shared" si="478"/>
        <v>30.099999999999998</v>
      </c>
      <c r="AB164" s="308">
        <f t="shared" si="478"/>
        <v>0</v>
      </c>
      <c r="AC164" s="308">
        <f t="shared" si="478"/>
        <v>0</v>
      </c>
      <c r="AD164" s="308">
        <f t="shared" si="478"/>
        <v>253.29999999999998</v>
      </c>
      <c r="AE164" s="335">
        <f t="shared" ref="AE164" si="479">X164*O164*10</f>
        <v>20.500000000000004</v>
      </c>
      <c r="AF164" s="305">
        <v>0</v>
      </c>
      <c r="AG164" s="301">
        <v>13</v>
      </c>
      <c r="AH164" s="301">
        <v>3.1</v>
      </c>
      <c r="AI164" s="301">
        <v>0</v>
      </c>
      <c r="AJ164" s="301">
        <v>0</v>
      </c>
      <c r="AK164" s="301">
        <v>27.9</v>
      </c>
      <c r="AL164" s="303">
        <v>85.3</v>
      </c>
      <c r="AM164" s="332">
        <f t="shared" ref="AM164" si="480">AF164*10*H164</f>
        <v>0</v>
      </c>
      <c r="AN164" s="301">
        <f t="shared" ref="AN164:AS164" si="481">AG164*I164*10</f>
        <v>2275</v>
      </c>
      <c r="AO164" s="301">
        <f t="shared" si="481"/>
        <v>217</v>
      </c>
      <c r="AP164" s="301">
        <f t="shared" si="481"/>
        <v>0</v>
      </c>
      <c r="AQ164" s="301">
        <f t="shared" si="481"/>
        <v>0</v>
      </c>
      <c r="AR164" s="301">
        <f t="shared" si="481"/>
        <v>2371.5</v>
      </c>
      <c r="AS164" s="301">
        <f t="shared" si="481"/>
        <v>1535.3999999999999</v>
      </c>
      <c r="AT164" s="332">
        <v>0</v>
      </c>
      <c r="AU164" s="301">
        <v>15.2</v>
      </c>
      <c r="AV164" s="301">
        <v>54.6</v>
      </c>
      <c r="AW164" s="301">
        <v>0</v>
      </c>
      <c r="AX164" s="301">
        <v>0</v>
      </c>
      <c r="AY164" s="301">
        <v>16</v>
      </c>
      <c r="AZ164" s="303">
        <v>27.8</v>
      </c>
      <c r="BA164" s="332">
        <f t="shared" ref="BA164:BG164" si="482">(H164*3*1000)/(1-AT164/100)</f>
        <v>0</v>
      </c>
      <c r="BB164" s="332">
        <f t="shared" si="482"/>
        <v>61910.377358490565</v>
      </c>
      <c r="BC164" s="332">
        <f t="shared" si="482"/>
        <v>46255.506607929521</v>
      </c>
      <c r="BD164" s="332">
        <f t="shared" si="482"/>
        <v>0</v>
      </c>
      <c r="BE164" s="332">
        <f t="shared" si="482"/>
        <v>0</v>
      </c>
      <c r="BF164" s="332">
        <f t="shared" si="482"/>
        <v>30357.142857142859</v>
      </c>
      <c r="BG164" s="332">
        <f t="shared" si="482"/>
        <v>7479.2243767313021</v>
      </c>
      <c r="BH164" s="332">
        <f t="shared" ref="BH164" si="483">H164+I164+J164+K164+L164</f>
        <v>24.5</v>
      </c>
      <c r="BI164" s="301">
        <f t="shared" ref="BI164" si="484">M164+N164+O164</f>
        <v>10.4</v>
      </c>
      <c r="BJ164" s="301">
        <f t="shared" ref="BJ164" si="485">BH164+BI164</f>
        <v>34.9</v>
      </c>
      <c r="BK164" s="301">
        <f t="shared" ref="BK164" si="486">Y164+Z164+AA164+AB164+AC164+AD164+AE164</f>
        <v>513.9</v>
      </c>
      <c r="BL164" s="301">
        <f t="shared" ref="BL164" si="487">AM164+AN164+AO164+AP164+AQ164+AR164+AS164</f>
        <v>6398.9</v>
      </c>
      <c r="BM164" s="301">
        <f t="shared" ref="BM164" si="488">BJ164*3*1000</f>
        <v>104699.99999999999</v>
      </c>
      <c r="BN164" s="303">
        <f t="shared" ref="BN164" si="489">BA164+BB164+BC164+BD164+BE164+BF164+BG164</f>
        <v>146002.25120029424</v>
      </c>
      <c r="BO164" s="216">
        <v>75</v>
      </c>
      <c r="BP164" s="216">
        <v>0.47499999999999998</v>
      </c>
      <c r="BQ164" s="216">
        <v>3.3</v>
      </c>
      <c r="BR164" s="216">
        <v>74.8</v>
      </c>
      <c r="BS164" s="216">
        <v>0.38100000000000001</v>
      </c>
      <c r="BT164" s="216">
        <v>4.17</v>
      </c>
      <c r="BU164" s="218">
        <v>7.35</v>
      </c>
      <c r="BV164" s="218">
        <v>2.52</v>
      </c>
      <c r="BW164" s="218">
        <v>2300</v>
      </c>
      <c r="BX164" s="218">
        <v>5.48</v>
      </c>
      <c r="BY164" s="218">
        <v>5.76</v>
      </c>
      <c r="BZ164" s="218">
        <v>7000</v>
      </c>
      <c r="CA164" s="218"/>
      <c r="CB164" s="218"/>
      <c r="CC164" s="218"/>
      <c r="CD164" s="218">
        <v>7.41</v>
      </c>
      <c r="CE164" s="218">
        <v>6.15</v>
      </c>
      <c r="CF164" s="218">
        <v>5300</v>
      </c>
      <c r="CG164" s="218">
        <v>7.2</v>
      </c>
      <c r="CH164" s="218">
        <v>3.5</v>
      </c>
      <c r="CI164" s="218">
        <v>3400</v>
      </c>
      <c r="CJ164" s="218">
        <v>7.77</v>
      </c>
      <c r="CK164" s="218">
        <v>5.26</v>
      </c>
      <c r="CL164" s="218"/>
      <c r="CM164" s="220"/>
      <c r="CN164" s="390">
        <v>78.3</v>
      </c>
      <c r="CO164" s="141">
        <v>10</v>
      </c>
      <c r="CP164" s="122">
        <v>7.75</v>
      </c>
      <c r="CQ164" s="122">
        <v>1.68</v>
      </c>
      <c r="CR164" s="123">
        <v>77.7</v>
      </c>
      <c r="CS164" s="169">
        <v>18.7</v>
      </c>
      <c r="CT164" s="169"/>
      <c r="CU164" s="169"/>
      <c r="CV164" s="79">
        <v>2.7</v>
      </c>
      <c r="CW164" s="79">
        <v>14</v>
      </c>
      <c r="CX164" s="79">
        <v>50</v>
      </c>
      <c r="CY164" s="139">
        <v>7</v>
      </c>
      <c r="CZ164" s="169">
        <v>7.2</v>
      </c>
      <c r="DA164" s="169">
        <v>1.4</v>
      </c>
      <c r="DB164" s="169">
        <v>76.2</v>
      </c>
      <c r="DC164" s="169">
        <v>20.6</v>
      </c>
      <c r="DD164" s="169"/>
      <c r="DE164" s="169"/>
      <c r="DF164" s="79">
        <v>2.2000000000000002</v>
      </c>
      <c r="DG164" s="79">
        <v>16</v>
      </c>
      <c r="DH164" s="79"/>
      <c r="DI164" s="169"/>
      <c r="DJ164" s="169"/>
      <c r="DK164" s="169"/>
      <c r="DL164" s="169"/>
      <c r="DM164" s="169"/>
      <c r="DN164" s="169"/>
      <c r="DO164" s="169"/>
      <c r="DP164" s="79"/>
      <c r="DQ164" s="79"/>
      <c r="DR164" s="79"/>
      <c r="DS164" s="405"/>
      <c r="DT164" s="169"/>
      <c r="DU164" s="169"/>
      <c r="DV164" s="169"/>
      <c r="DW164" s="169"/>
      <c r="DX164" s="169"/>
      <c r="DY164" s="169"/>
      <c r="DZ164" s="79"/>
      <c r="EA164" s="79"/>
      <c r="EB164" s="79"/>
      <c r="EC164" s="79"/>
      <c r="ED164" s="79"/>
      <c r="EE164" s="79"/>
      <c r="EF164" s="79"/>
      <c r="EG164" s="79"/>
      <c r="EH164" s="79"/>
      <c r="EI164" s="79"/>
      <c r="EJ164" s="79"/>
      <c r="EK164" s="79"/>
      <c r="EL164" s="403"/>
      <c r="EM164" s="169"/>
      <c r="EN164" s="169"/>
      <c r="EO164" s="169"/>
      <c r="EP164" s="169"/>
      <c r="EQ164" s="169"/>
      <c r="ER164" s="169"/>
      <c r="ES164" s="169"/>
      <c r="ET164" s="169"/>
      <c r="EU164" s="169"/>
      <c r="EV164" s="169"/>
      <c r="EW164" s="169"/>
      <c r="EX164" s="169"/>
      <c r="EY164" s="169"/>
    </row>
    <row r="165" spans="1:155" ht="14.1" customHeight="1" thickBot="1">
      <c r="A165" s="174"/>
      <c r="B165" s="397" t="s">
        <v>297</v>
      </c>
      <c r="C165" s="190"/>
      <c r="D165" s="317" t="e">
        <f t="shared" si="425"/>
        <v>#DIV/0!</v>
      </c>
      <c r="E165" s="320" t="e">
        <f t="shared" si="426"/>
        <v>#DIV/0!</v>
      </c>
      <c r="F165" s="320" t="e">
        <f t="shared" si="427"/>
        <v>#DIV/0!</v>
      </c>
      <c r="G165" s="323" t="e">
        <f t="shared" si="428"/>
        <v>#DIV/0!</v>
      </c>
      <c r="H165" s="306"/>
      <c r="I165" s="309"/>
      <c r="J165" s="309"/>
      <c r="K165" s="309"/>
      <c r="L165" s="309"/>
      <c r="M165" s="309"/>
      <c r="N165" s="309"/>
      <c r="O165" s="309"/>
      <c r="P165" s="211"/>
      <c r="Q165" s="214"/>
      <c r="R165" s="306"/>
      <c r="S165" s="309"/>
      <c r="T165" s="309"/>
      <c r="U165" s="309"/>
      <c r="V165" s="309"/>
      <c r="W165" s="309"/>
      <c r="X165" s="336"/>
      <c r="Y165" s="306"/>
      <c r="Z165" s="309"/>
      <c r="AA165" s="309"/>
      <c r="AB165" s="309"/>
      <c r="AC165" s="309"/>
      <c r="AD165" s="309"/>
      <c r="AE165" s="336"/>
      <c r="AF165" s="306"/>
      <c r="AG165" s="211"/>
      <c r="AH165" s="211"/>
      <c r="AI165" s="211"/>
      <c r="AJ165" s="211"/>
      <c r="AK165" s="211"/>
      <c r="AL165" s="214"/>
      <c r="AM165" s="333"/>
      <c r="AN165" s="211"/>
      <c r="AO165" s="211"/>
      <c r="AP165" s="211"/>
      <c r="AQ165" s="211"/>
      <c r="AR165" s="211"/>
      <c r="AS165" s="211"/>
      <c r="AT165" s="333"/>
      <c r="AU165" s="211"/>
      <c r="AV165" s="211"/>
      <c r="AW165" s="211"/>
      <c r="AX165" s="211"/>
      <c r="AY165" s="211"/>
      <c r="AZ165" s="214"/>
      <c r="BA165" s="333"/>
      <c r="BB165" s="333"/>
      <c r="BC165" s="333"/>
      <c r="BD165" s="333"/>
      <c r="BE165" s="333"/>
      <c r="BF165" s="333"/>
      <c r="BG165" s="333"/>
      <c r="BH165" s="333"/>
      <c r="BI165" s="211"/>
      <c r="BJ165" s="211"/>
      <c r="BK165" s="211"/>
      <c r="BL165" s="211"/>
      <c r="BM165" s="211"/>
      <c r="BN165" s="214"/>
      <c r="BO165" s="196"/>
      <c r="BP165" s="196"/>
      <c r="BQ165" s="196"/>
      <c r="BR165" s="196"/>
      <c r="BS165" s="196"/>
      <c r="BT165" s="196"/>
      <c r="BU165" s="193"/>
      <c r="BV165" s="193"/>
      <c r="BW165" s="193"/>
      <c r="BX165" s="193"/>
      <c r="BY165" s="193"/>
      <c r="BZ165" s="193"/>
      <c r="CA165" s="193"/>
      <c r="CB165" s="193"/>
      <c r="CC165" s="193"/>
      <c r="CD165" s="193"/>
      <c r="CE165" s="193"/>
      <c r="CF165" s="193"/>
      <c r="CG165" s="193"/>
      <c r="CH165" s="193"/>
      <c r="CI165" s="193"/>
      <c r="CJ165" s="193"/>
      <c r="CK165" s="193"/>
      <c r="CL165" s="193"/>
      <c r="CM165" s="205"/>
      <c r="CN165" s="391"/>
      <c r="CO165" s="25">
        <v>11</v>
      </c>
      <c r="CP165" s="21">
        <v>7.79</v>
      </c>
      <c r="CQ165" s="21">
        <v>1.8</v>
      </c>
      <c r="CR165" s="22">
        <v>78</v>
      </c>
      <c r="CS165" s="54">
        <v>19</v>
      </c>
      <c r="CT165" s="169"/>
      <c r="CU165" s="54"/>
      <c r="CV165" s="8">
        <v>2.7</v>
      </c>
      <c r="CW165" s="8">
        <v>10</v>
      </c>
      <c r="CX165" s="8">
        <v>50</v>
      </c>
      <c r="CY165" s="24">
        <v>8</v>
      </c>
      <c r="CZ165" s="54">
        <v>7.55</v>
      </c>
      <c r="DA165" s="54">
        <v>1.6</v>
      </c>
      <c r="DB165" s="54">
        <v>76.8</v>
      </c>
      <c r="DC165" s="54">
        <v>20.3</v>
      </c>
      <c r="DD165" s="54"/>
      <c r="DE165" s="54"/>
      <c r="DF165" s="8">
        <v>2.25</v>
      </c>
      <c r="DG165" s="8">
        <v>8</v>
      </c>
      <c r="DH165" s="8"/>
      <c r="DI165" s="54"/>
      <c r="DJ165" s="54"/>
      <c r="DK165" s="54"/>
      <c r="DL165" s="54"/>
      <c r="DM165" s="54"/>
      <c r="DN165" s="54"/>
      <c r="DO165" s="54"/>
      <c r="DP165" s="8"/>
      <c r="DQ165" s="8"/>
      <c r="DR165" s="8"/>
      <c r="DS165" s="406"/>
      <c r="DT165" s="54"/>
      <c r="DU165" s="54"/>
      <c r="DV165" s="54"/>
      <c r="DW165" s="54"/>
      <c r="DX165" s="54"/>
      <c r="DY165" s="54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404"/>
      <c r="EM165" s="54"/>
      <c r="EN165" s="54"/>
      <c r="EO165" s="54"/>
      <c r="EP165" s="54"/>
      <c r="EQ165" s="54"/>
      <c r="ER165" s="54"/>
      <c r="ES165" s="54"/>
      <c r="ET165" s="54"/>
      <c r="EU165" s="54"/>
      <c r="EV165" s="54"/>
      <c r="EW165" s="54"/>
      <c r="EX165" s="54"/>
      <c r="EY165" s="54"/>
    </row>
    <row r="166" spans="1:155" ht="14.1" customHeight="1" thickBot="1">
      <c r="A166" s="174"/>
      <c r="B166" s="397" t="s">
        <v>297</v>
      </c>
      <c r="C166" s="190"/>
      <c r="D166" s="317" t="e">
        <f t="shared" si="425"/>
        <v>#DIV/0!</v>
      </c>
      <c r="E166" s="320" t="e">
        <f t="shared" si="426"/>
        <v>#DIV/0!</v>
      </c>
      <c r="F166" s="320" t="e">
        <f t="shared" si="427"/>
        <v>#DIV/0!</v>
      </c>
      <c r="G166" s="323" t="e">
        <f t="shared" si="428"/>
        <v>#DIV/0!</v>
      </c>
      <c r="H166" s="306"/>
      <c r="I166" s="309"/>
      <c r="J166" s="309"/>
      <c r="K166" s="309"/>
      <c r="L166" s="309"/>
      <c r="M166" s="309"/>
      <c r="N166" s="309"/>
      <c r="O166" s="309"/>
      <c r="P166" s="211"/>
      <c r="Q166" s="214"/>
      <c r="R166" s="306"/>
      <c r="S166" s="309"/>
      <c r="T166" s="309"/>
      <c r="U166" s="309"/>
      <c r="V166" s="309"/>
      <c r="W166" s="309"/>
      <c r="X166" s="336"/>
      <c r="Y166" s="306"/>
      <c r="Z166" s="309"/>
      <c r="AA166" s="309"/>
      <c r="AB166" s="309"/>
      <c r="AC166" s="309"/>
      <c r="AD166" s="309"/>
      <c r="AE166" s="336"/>
      <c r="AF166" s="306"/>
      <c r="AG166" s="211"/>
      <c r="AH166" s="211"/>
      <c r="AI166" s="211"/>
      <c r="AJ166" s="211"/>
      <c r="AK166" s="211"/>
      <c r="AL166" s="214"/>
      <c r="AM166" s="333"/>
      <c r="AN166" s="211"/>
      <c r="AO166" s="211"/>
      <c r="AP166" s="211"/>
      <c r="AQ166" s="211"/>
      <c r="AR166" s="211"/>
      <c r="AS166" s="211"/>
      <c r="AT166" s="333"/>
      <c r="AU166" s="211"/>
      <c r="AV166" s="211"/>
      <c r="AW166" s="211"/>
      <c r="AX166" s="211"/>
      <c r="AY166" s="211"/>
      <c r="AZ166" s="214"/>
      <c r="BA166" s="333"/>
      <c r="BB166" s="333"/>
      <c r="BC166" s="333"/>
      <c r="BD166" s="333"/>
      <c r="BE166" s="333"/>
      <c r="BF166" s="333"/>
      <c r="BG166" s="333"/>
      <c r="BH166" s="333"/>
      <c r="BI166" s="211"/>
      <c r="BJ166" s="211"/>
      <c r="BK166" s="211"/>
      <c r="BL166" s="211"/>
      <c r="BM166" s="211"/>
      <c r="BN166" s="214"/>
      <c r="BO166" s="196"/>
      <c r="BP166" s="196"/>
      <c r="BQ166" s="196"/>
      <c r="BR166" s="196"/>
      <c r="BS166" s="196"/>
      <c r="BT166" s="196"/>
      <c r="BU166" s="193"/>
      <c r="BV166" s="193"/>
      <c r="BW166" s="193"/>
      <c r="BX166" s="193"/>
      <c r="BY166" s="193"/>
      <c r="BZ166" s="193"/>
      <c r="CA166" s="193"/>
      <c r="CB166" s="193"/>
      <c r="CC166" s="193"/>
      <c r="CD166" s="193"/>
      <c r="CE166" s="193"/>
      <c r="CF166" s="193"/>
      <c r="CG166" s="193"/>
      <c r="CH166" s="193"/>
      <c r="CI166" s="193"/>
      <c r="CJ166" s="193"/>
      <c r="CK166" s="193"/>
      <c r="CL166" s="193"/>
      <c r="CM166" s="205"/>
      <c r="CN166" s="391"/>
      <c r="CO166" s="25">
        <v>12</v>
      </c>
      <c r="CP166" s="21">
        <v>7.7</v>
      </c>
      <c r="CQ166" s="21">
        <v>1.83</v>
      </c>
      <c r="CR166" s="22">
        <v>77.900000000000006</v>
      </c>
      <c r="CS166" s="54">
        <v>18.399999999999999</v>
      </c>
      <c r="CT166" s="169"/>
      <c r="CU166" s="54"/>
      <c r="CV166" s="8">
        <v>2.7</v>
      </c>
      <c r="CW166" s="8">
        <v>16</v>
      </c>
      <c r="CX166" s="8">
        <v>51</v>
      </c>
      <c r="CY166" s="24">
        <v>10</v>
      </c>
      <c r="CZ166" s="54">
        <v>7.65</v>
      </c>
      <c r="DA166" s="54">
        <v>1.55</v>
      </c>
      <c r="DB166" s="54">
        <v>76.5</v>
      </c>
      <c r="DC166" s="54">
        <v>21.7</v>
      </c>
      <c r="DD166" s="54"/>
      <c r="DE166" s="54"/>
      <c r="DF166" s="8">
        <v>2.7</v>
      </c>
      <c r="DG166" s="8">
        <v>9</v>
      </c>
      <c r="DH166" s="8"/>
      <c r="DI166" s="54"/>
      <c r="DJ166" s="54"/>
      <c r="DK166" s="54"/>
      <c r="DL166" s="54"/>
      <c r="DM166" s="54"/>
      <c r="DN166" s="54"/>
      <c r="DO166" s="54"/>
      <c r="DP166" s="8"/>
      <c r="DQ166" s="8"/>
      <c r="DR166" s="8"/>
      <c r="DS166" s="406"/>
      <c r="DT166" s="54"/>
      <c r="DU166" s="54"/>
      <c r="DV166" s="54"/>
      <c r="DW166" s="54"/>
      <c r="DX166" s="54"/>
      <c r="DY166" s="54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404"/>
      <c r="EM166" s="54"/>
      <c r="EN166" s="54"/>
      <c r="EO166" s="54"/>
      <c r="EP166" s="54"/>
      <c r="EQ166" s="54"/>
      <c r="ER166" s="54"/>
      <c r="ES166" s="54"/>
      <c r="ET166" s="54"/>
      <c r="EU166" s="54"/>
      <c r="EV166" s="54"/>
      <c r="EW166" s="54"/>
      <c r="EX166" s="54"/>
      <c r="EY166" s="54"/>
    </row>
    <row r="167" spans="1:155" s="401" customFormat="1" ht="14.1" customHeight="1" thickBot="1">
      <c r="A167" s="175"/>
      <c r="B167" s="400" t="s">
        <v>297</v>
      </c>
      <c r="C167" s="191"/>
      <c r="D167" s="318" t="e">
        <f t="shared" si="425"/>
        <v>#DIV/0!</v>
      </c>
      <c r="E167" s="321" t="e">
        <f t="shared" si="426"/>
        <v>#DIV/0!</v>
      </c>
      <c r="F167" s="321" t="e">
        <f t="shared" si="427"/>
        <v>#DIV/0!</v>
      </c>
      <c r="G167" s="324" t="e">
        <f t="shared" si="428"/>
        <v>#DIV/0!</v>
      </c>
      <c r="H167" s="307"/>
      <c r="I167" s="310"/>
      <c r="J167" s="310"/>
      <c r="K167" s="310"/>
      <c r="L167" s="310"/>
      <c r="M167" s="310"/>
      <c r="N167" s="310"/>
      <c r="O167" s="310"/>
      <c r="P167" s="302"/>
      <c r="Q167" s="304"/>
      <c r="R167" s="307"/>
      <c r="S167" s="310"/>
      <c r="T167" s="310"/>
      <c r="U167" s="310"/>
      <c r="V167" s="310"/>
      <c r="W167" s="310"/>
      <c r="X167" s="337"/>
      <c r="Y167" s="307"/>
      <c r="Z167" s="310"/>
      <c r="AA167" s="310"/>
      <c r="AB167" s="310"/>
      <c r="AC167" s="310"/>
      <c r="AD167" s="310"/>
      <c r="AE167" s="337"/>
      <c r="AF167" s="307"/>
      <c r="AG167" s="302"/>
      <c r="AH167" s="302"/>
      <c r="AI167" s="302"/>
      <c r="AJ167" s="302"/>
      <c r="AK167" s="302"/>
      <c r="AL167" s="304"/>
      <c r="AM167" s="334"/>
      <c r="AN167" s="302"/>
      <c r="AO167" s="302"/>
      <c r="AP167" s="302"/>
      <c r="AQ167" s="302"/>
      <c r="AR167" s="302"/>
      <c r="AS167" s="302"/>
      <c r="AT167" s="334"/>
      <c r="AU167" s="302"/>
      <c r="AV167" s="302"/>
      <c r="AW167" s="302"/>
      <c r="AX167" s="302"/>
      <c r="AY167" s="302"/>
      <c r="AZ167" s="304"/>
      <c r="BA167" s="334"/>
      <c r="BB167" s="334"/>
      <c r="BC167" s="334"/>
      <c r="BD167" s="334"/>
      <c r="BE167" s="334"/>
      <c r="BF167" s="334"/>
      <c r="BG167" s="334"/>
      <c r="BH167" s="334"/>
      <c r="BI167" s="302"/>
      <c r="BJ167" s="302"/>
      <c r="BK167" s="302"/>
      <c r="BL167" s="302"/>
      <c r="BM167" s="302"/>
      <c r="BN167" s="304"/>
      <c r="BO167" s="217"/>
      <c r="BP167" s="217"/>
      <c r="BQ167" s="217"/>
      <c r="BR167" s="217"/>
      <c r="BS167" s="217"/>
      <c r="BT167" s="217"/>
      <c r="BU167" s="219"/>
      <c r="BV167" s="219"/>
      <c r="BW167" s="219"/>
      <c r="BX167" s="219"/>
      <c r="BY167" s="219"/>
      <c r="BZ167" s="219"/>
      <c r="CA167" s="219"/>
      <c r="CB167" s="219"/>
      <c r="CC167" s="219"/>
      <c r="CD167" s="219"/>
      <c r="CE167" s="219"/>
      <c r="CF167" s="219"/>
      <c r="CG167" s="219"/>
      <c r="CH167" s="219"/>
      <c r="CI167" s="219"/>
      <c r="CJ167" s="219"/>
      <c r="CK167" s="219"/>
      <c r="CL167" s="219"/>
      <c r="CM167" s="221"/>
      <c r="CN167" s="392"/>
      <c r="CO167" s="105"/>
      <c r="CP167" s="99"/>
      <c r="CQ167" s="99"/>
      <c r="CR167" s="100"/>
      <c r="CS167" s="394"/>
      <c r="CT167" s="169"/>
      <c r="CU167" s="394"/>
      <c r="CV167" s="102"/>
      <c r="CW167" s="102"/>
      <c r="CX167" s="102"/>
      <c r="CY167" s="103"/>
      <c r="CZ167" s="394"/>
      <c r="DA167" s="394"/>
      <c r="DB167" s="394"/>
      <c r="DC167" s="394"/>
      <c r="DD167" s="394"/>
      <c r="DE167" s="394"/>
      <c r="DF167" s="102"/>
      <c r="DG167" s="102"/>
      <c r="DH167" s="102"/>
      <c r="DI167" s="394"/>
      <c r="DJ167" s="394"/>
      <c r="DK167" s="394"/>
      <c r="DL167" s="394"/>
      <c r="DM167" s="394"/>
      <c r="DN167" s="394"/>
      <c r="DO167" s="394"/>
      <c r="DP167" s="102"/>
      <c r="DQ167" s="102"/>
      <c r="DR167" s="102"/>
      <c r="DS167" s="407"/>
      <c r="DT167" s="394"/>
      <c r="DU167" s="394"/>
      <c r="DV167" s="394"/>
      <c r="DW167" s="394"/>
      <c r="DX167" s="394"/>
      <c r="DY167" s="394"/>
      <c r="DZ167" s="102"/>
      <c r="EA167" s="102"/>
      <c r="EB167" s="102"/>
      <c r="EC167" s="102"/>
      <c r="ED167" s="102"/>
      <c r="EE167" s="102"/>
      <c r="EF167" s="102"/>
      <c r="EG167" s="102"/>
      <c r="EH167" s="102"/>
      <c r="EI167" s="102"/>
      <c r="EJ167" s="102"/>
      <c r="EK167" s="102"/>
      <c r="EL167" s="395"/>
      <c r="EM167" s="394"/>
      <c r="EN167" s="394"/>
      <c r="EO167" s="394"/>
      <c r="EP167" s="394"/>
      <c r="EQ167" s="394"/>
      <c r="ER167" s="394"/>
      <c r="ES167" s="394"/>
      <c r="ET167" s="394"/>
      <c r="EU167" s="394"/>
      <c r="EV167" s="394"/>
      <c r="EW167" s="394"/>
      <c r="EX167" s="394"/>
      <c r="EY167" s="394"/>
    </row>
    <row r="168" spans="1:155" s="398" customFormat="1" ht="14.1" customHeight="1">
      <c r="A168" s="173">
        <v>40</v>
      </c>
      <c r="B168" s="397" t="s">
        <v>298</v>
      </c>
      <c r="C168" s="189" t="s">
        <v>96</v>
      </c>
      <c r="D168" s="316">
        <f t="shared" si="425"/>
        <v>72.340425531914903</v>
      </c>
      <c r="E168" s="319">
        <f t="shared" si="426"/>
        <v>27.659574468085108</v>
      </c>
      <c r="F168" s="319">
        <f t="shared" si="427"/>
        <v>0</v>
      </c>
      <c r="G168" s="322">
        <f t="shared" si="428"/>
        <v>0</v>
      </c>
      <c r="H168" s="305">
        <v>17</v>
      </c>
      <c r="I168" s="308">
        <v>0</v>
      </c>
      <c r="J168" s="308">
        <v>6.5</v>
      </c>
      <c r="K168" s="308">
        <v>0</v>
      </c>
      <c r="L168" s="308">
        <v>0</v>
      </c>
      <c r="M168" s="308">
        <v>8</v>
      </c>
      <c r="N168" s="308">
        <v>1.7</v>
      </c>
      <c r="O168" s="308">
        <v>0.1</v>
      </c>
      <c r="P168" s="301"/>
      <c r="Q168" s="303"/>
      <c r="R168" s="305">
        <v>1.2</v>
      </c>
      <c r="S168" s="308">
        <v>0</v>
      </c>
      <c r="T168" s="308">
        <v>0.4</v>
      </c>
      <c r="U168" s="308">
        <v>0</v>
      </c>
      <c r="V168" s="308">
        <v>0</v>
      </c>
      <c r="W168" s="308">
        <v>3</v>
      </c>
      <c r="X168" s="335">
        <v>20.5</v>
      </c>
      <c r="Y168" s="305">
        <f t="shared" ref="Y168:AD168" si="490">H168*R168*10</f>
        <v>204</v>
      </c>
      <c r="Z168" s="308">
        <f t="shared" si="490"/>
        <v>0</v>
      </c>
      <c r="AA168" s="308">
        <f t="shared" si="490"/>
        <v>26</v>
      </c>
      <c r="AB168" s="308">
        <f t="shared" si="490"/>
        <v>0</v>
      </c>
      <c r="AC168" s="308">
        <f t="shared" si="490"/>
        <v>0</v>
      </c>
      <c r="AD168" s="308">
        <f t="shared" si="490"/>
        <v>240</v>
      </c>
      <c r="AE168" s="335">
        <f t="shared" ref="AE168" si="491">X168*O168*10</f>
        <v>20.500000000000004</v>
      </c>
      <c r="AF168" s="305">
        <v>13.4</v>
      </c>
      <c r="AG168" s="301">
        <v>0</v>
      </c>
      <c r="AH168" s="301">
        <v>2.2999999999999998</v>
      </c>
      <c r="AI168" s="301">
        <v>0</v>
      </c>
      <c r="AJ168" s="301">
        <v>0</v>
      </c>
      <c r="AK168" s="301">
        <v>30</v>
      </c>
      <c r="AL168" s="303">
        <v>85.3</v>
      </c>
      <c r="AM168" s="332">
        <f t="shared" ref="AM168" si="492">AF168*10*H168</f>
        <v>2278</v>
      </c>
      <c r="AN168" s="301">
        <f t="shared" ref="AN168:AS168" si="493">AG168*I168*10</f>
        <v>0</v>
      </c>
      <c r="AO168" s="301">
        <f t="shared" si="493"/>
        <v>149.5</v>
      </c>
      <c r="AP168" s="301">
        <f t="shared" si="493"/>
        <v>0</v>
      </c>
      <c r="AQ168" s="301">
        <f t="shared" si="493"/>
        <v>0</v>
      </c>
      <c r="AR168" s="301">
        <f t="shared" si="493"/>
        <v>2400</v>
      </c>
      <c r="AS168" s="301">
        <f t="shared" si="493"/>
        <v>1450.1</v>
      </c>
      <c r="AT168" s="332">
        <v>18.600000000000001</v>
      </c>
      <c r="AU168" s="301">
        <v>0</v>
      </c>
      <c r="AV168" s="301">
        <v>55</v>
      </c>
      <c r="AW168" s="301">
        <v>0</v>
      </c>
      <c r="AX168" s="301">
        <v>0</v>
      </c>
      <c r="AY168" s="301">
        <v>15.8</v>
      </c>
      <c r="AZ168" s="303">
        <v>27.8</v>
      </c>
      <c r="BA168" s="332">
        <f t="shared" ref="BA168:BG168" si="494">(H168*3*1000)/(1-AT168/100)</f>
        <v>62653.562653562658</v>
      </c>
      <c r="BB168" s="332">
        <f t="shared" si="494"/>
        <v>0</v>
      </c>
      <c r="BC168" s="332">
        <f t="shared" si="494"/>
        <v>43333.333333333336</v>
      </c>
      <c r="BD168" s="332">
        <f t="shared" si="494"/>
        <v>0</v>
      </c>
      <c r="BE168" s="332">
        <f t="shared" si="494"/>
        <v>0</v>
      </c>
      <c r="BF168" s="332">
        <f t="shared" si="494"/>
        <v>28503.562945368172</v>
      </c>
      <c r="BG168" s="332">
        <f t="shared" si="494"/>
        <v>7063.7119113573408</v>
      </c>
      <c r="BH168" s="332">
        <f t="shared" ref="BH168" si="495">H168+I168+J168+K168+L168</f>
        <v>23.5</v>
      </c>
      <c r="BI168" s="301">
        <f t="shared" ref="BI168" si="496">M168+N168+O168</f>
        <v>9.7999999999999989</v>
      </c>
      <c r="BJ168" s="301">
        <f t="shared" ref="BJ168" si="497">BH168+BI168</f>
        <v>33.299999999999997</v>
      </c>
      <c r="BK168" s="301">
        <f t="shared" ref="BK168" si="498">Y168+Z168+AA168+AB168+AC168+AD168+AE168</f>
        <v>490.5</v>
      </c>
      <c r="BL168" s="301">
        <f t="shared" ref="BL168" si="499">AM168+AN168+AO168+AP168+AQ168+AR168+AS168</f>
        <v>6277.6</v>
      </c>
      <c r="BM168" s="301">
        <f t="shared" ref="BM168" si="500">BJ168*3*1000</f>
        <v>99899.999999999985</v>
      </c>
      <c r="BN168" s="303">
        <f t="shared" ref="BN168" si="501">BA168+BB168+BC168+BD168+BE168+BF168+BG168</f>
        <v>141554.17084362148</v>
      </c>
      <c r="BO168" s="216">
        <v>75.3</v>
      </c>
      <c r="BP168" s="216">
        <v>0.33200000000000002</v>
      </c>
      <c r="BQ168" s="216">
        <v>4.58</v>
      </c>
      <c r="BR168" s="216">
        <v>74.400000000000006</v>
      </c>
      <c r="BS168" s="216">
        <v>0.46</v>
      </c>
      <c r="BT168" s="216">
        <v>3.4</v>
      </c>
      <c r="BU168" s="218"/>
      <c r="BV168" s="218"/>
      <c r="BW168" s="218"/>
      <c r="BX168" s="218">
        <v>5.37</v>
      </c>
      <c r="BY168" s="218">
        <v>6.9</v>
      </c>
      <c r="BZ168" s="218">
        <v>6500</v>
      </c>
      <c r="CA168" s="218">
        <v>6.72</v>
      </c>
      <c r="CB168" s="218">
        <v>3.9</v>
      </c>
      <c r="CC168" s="218"/>
      <c r="CD168" s="218">
        <v>7.37</v>
      </c>
      <c r="CE168" s="218">
        <v>5.97</v>
      </c>
      <c r="CF168" s="218">
        <v>5000</v>
      </c>
      <c r="CG168" s="218">
        <v>6.69</v>
      </c>
      <c r="CH168" s="218">
        <v>4.79</v>
      </c>
      <c r="CI168" s="218">
        <v>4300</v>
      </c>
      <c r="CJ168" s="218">
        <v>7.16</v>
      </c>
      <c r="CK168" s="218">
        <v>4.5</v>
      </c>
      <c r="CL168" s="218">
        <v>4600</v>
      </c>
      <c r="CM168" s="220">
        <v>73.7</v>
      </c>
      <c r="CN168" s="220"/>
      <c r="CO168" s="139">
        <v>9</v>
      </c>
      <c r="CP168" s="122">
        <v>7.7</v>
      </c>
      <c r="CQ168" s="122">
        <v>1.95</v>
      </c>
      <c r="CR168" s="123">
        <v>76.2</v>
      </c>
      <c r="CS168" s="169">
        <v>21.2</v>
      </c>
      <c r="CT168" s="169"/>
      <c r="CU168" s="169"/>
      <c r="CV168" s="79">
        <v>2.2000000000000002</v>
      </c>
      <c r="CW168" s="79"/>
      <c r="CX168" s="79"/>
      <c r="CY168" s="139"/>
      <c r="CZ168" s="169"/>
      <c r="DA168" s="169"/>
      <c r="DB168" s="169"/>
      <c r="DC168" s="169"/>
      <c r="DD168" s="169"/>
      <c r="DE168" s="169"/>
      <c r="DF168" s="79"/>
      <c r="DG168" s="79"/>
      <c r="DH168" s="79"/>
      <c r="DI168" s="169"/>
      <c r="DJ168" s="169"/>
      <c r="DK168" s="169"/>
      <c r="DL168" s="169"/>
      <c r="DM168" s="169"/>
      <c r="DN168" s="169"/>
      <c r="DO168" s="169"/>
      <c r="DP168" s="79"/>
      <c r="DQ168" s="79"/>
      <c r="DR168" s="79"/>
      <c r="DS168" s="405"/>
      <c r="DT168" s="169"/>
      <c r="DU168" s="169"/>
      <c r="DV168" s="169"/>
      <c r="DW168" s="169"/>
      <c r="DX168" s="169"/>
      <c r="DY168" s="169"/>
      <c r="DZ168" s="79"/>
      <c r="EA168" s="79"/>
      <c r="EB168" s="79"/>
      <c r="EC168" s="79"/>
      <c r="ED168" s="79"/>
      <c r="EE168" s="79"/>
      <c r="EF168" s="79"/>
      <c r="EG168" s="79"/>
      <c r="EH168" s="79"/>
      <c r="EI168" s="79"/>
      <c r="EJ168" s="79"/>
      <c r="EK168" s="79"/>
      <c r="EL168" s="403"/>
      <c r="EM168" s="169"/>
      <c r="EN168" s="169"/>
      <c r="EO168" s="169"/>
      <c r="EP168" s="169"/>
      <c r="EQ168" s="169"/>
      <c r="ER168" s="169"/>
      <c r="ES168" s="169"/>
      <c r="ET168" s="169"/>
      <c r="EU168" s="169"/>
      <c r="EV168" s="169"/>
      <c r="EW168" s="169"/>
      <c r="EX168" s="169"/>
      <c r="EY168" s="169"/>
    </row>
    <row r="169" spans="1:155" ht="14.1" customHeight="1">
      <c r="A169" s="174"/>
      <c r="B169" s="397" t="s">
        <v>298</v>
      </c>
      <c r="C169" s="190"/>
      <c r="D169" s="317" t="e">
        <f t="shared" si="425"/>
        <v>#DIV/0!</v>
      </c>
      <c r="E169" s="320" t="e">
        <f t="shared" si="426"/>
        <v>#DIV/0!</v>
      </c>
      <c r="F169" s="320" t="e">
        <f t="shared" si="427"/>
        <v>#DIV/0!</v>
      </c>
      <c r="G169" s="323" t="e">
        <f t="shared" si="428"/>
        <v>#DIV/0!</v>
      </c>
      <c r="H169" s="306"/>
      <c r="I169" s="309"/>
      <c r="J169" s="309"/>
      <c r="K169" s="309"/>
      <c r="L169" s="309"/>
      <c r="M169" s="309"/>
      <c r="N169" s="309"/>
      <c r="O169" s="309"/>
      <c r="P169" s="211"/>
      <c r="Q169" s="214"/>
      <c r="R169" s="306"/>
      <c r="S169" s="309"/>
      <c r="T169" s="309"/>
      <c r="U169" s="309"/>
      <c r="V169" s="309"/>
      <c r="W169" s="309"/>
      <c r="X169" s="336"/>
      <c r="Y169" s="306"/>
      <c r="Z169" s="309"/>
      <c r="AA169" s="309"/>
      <c r="AB169" s="309"/>
      <c r="AC169" s="309"/>
      <c r="AD169" s="309"/>
      <c r="AE169" s="336"/>
      <c r="AF169" s="306"/>
      <c r="AG169" s="211"/>
      <c r="AH169" s="211"/>
      <c r="AI169" s="211"/>
      <c r="AJ169" s="211"/>
      <c r="AK169" s="211"/>
      <c r="AL169" s="214"/>
      <c r="AM169" s="333"/>
      <c r="AN169" s="211"/>
      <c r="AO169" s="211"/>
      <c r="AP169" s="211"/>
      <c r="AQ169" s="211"/>
      <c r="AR169" s="211"/>
      <c r="AS169" s="211"/>
      <c r="AT169" s="333"/>
      <c r="AU169" s="211"/>
      <c r="AV169" s="211"/>
      <c r="AW169" s="211"/>
      <c r="AX169" s="211"/>
      <c r="AY169" s="211"/>
      <c r="AZ169" s="214"/>
      <c r="BA169" s="333"/>
      <c r="BB169" s="333"/>
      <c r="BC169" s="333"/>
      <c r="BD169" s="333"/>
      <c r="BE169" s="333"/>
      <c r="BF169" s="333"/>
      <c r="BG169" s="333"/>
      <c r="BH169" s="333"/>
      <c r="BI169" s="211"/>
      <c r="BJ169" s="211"/>
      <c r="BK169" s="211"/>
      <c r="BL169" s="211"/>
      <c r="BM169" s="211"/>
      <c r="BN169" s="214"/>
      <c r="BO169" s="196"/>
      <c r="BP169" s="196"/>
      <c r="BQ169" s="196"/>
      <c r="BR169" s="196"/>
      <c r="BS169" s="196"/>
      <c r="BT169" s="196"/>
      <c r="BU169" s="193"/>
      <c r="BV169" s="193"/>
      <c r="BW169" s="193"/>
      <c r="BX169" s="193"/>
      <c r="BY169" s="193"/>
      <c r="BZ169" s="193"/>
      <c r="CA169" s="193"/>
      <c r="CB169" s="193"/>
      <c r="CC169" s="193"/>
      <c r="CD169" s="193"/>
      <c r="CE169" s="193"/>
      <c r="CF169" s="193"/>
      <c r="CG169" s="193"/>
      <c r="CH169" s="193"/>
      <c r="CI169" s="193"/>
      <c r="CJ169" s="193"/>
      <c r="CK169" s="193"/>
      <c r="CL169" s="193"/>
      <c r="CM169" s="205"/>
      <c r="CN169" s="205"/>
      <c r="CO169" s="24">
        <v>6</v>
      </c>
      <c r="CP169" s="21">
        <v>7.12</v>
      </c>
      <c r="CQ169" s="21">
        <v>1.4</v>
      </c>
      <c r="CR169" s="22">
        <v>76</v>
      </c>
      <c r="CS169" s="54"/>
      <c r="CT169" s="54"/>
      <c r="CU169" s="54"/>
      <c r="CV169" s="8">
        <v>2.6</v>
      </c>
      <c r="CW169" s="8"/>
      <c r="CX169" s="8"/>
      <c r="CY169" s="24"/>
      <c r="CZ169" s="54"/>
      <c r="DA169" s="54"/>
      <c r="DB169" s="54"/>
      <c r="DC169" s="54"/>
      <c r="DD169" s="54"/>
      <c r="DE169" s="54"/>
      <c r="DF169" s="8"/>
      <c r="DG169" s="8"/>
      <c r="DH169" s="8"/>
      <c r="DI169" s="54"/>
      <c r="DJ169" s="54"/>
      <c r="DK169" s="54"/>
      <c r="DL169" s="54"/>
      <c r="DM169" s="54"/>
      <c r="DN169" s="54"/>
      <c r="DO169" s="54"/>
      <c r="DP169" s="8"/>
      <c r="DQ169" s="8"/>
      <c r="DR169" s="8"/>
      <c r="DS169" s="406"/>
      <c r="DT169" s="54"/>
      <c r="DU169" s="54"/>
      <c r="DV169" s="54"/>
      <c r="DW169" s="54"/>
      <c r="DX169" s="54"/>
      <c r="DY169" s="54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404"/>
      <c r="EM169" s="54"/>
      <c r="EN169" s="54"/>
      <c r="EO169" s="54"/>
      <c r="EP169" s="54"/>
      <c r="EQ169" s="54"/>
      <c r="ER169" s="54"/>
      <c r="ES169" s="54"/>
      <c r="ET169" s="54"/>
      <c r="EU169" s="54"/>
      <c r="EV169" s="54"/>
      <c r="EW169" s="54"/>
      <c r="EX169" s="54"/>
      <c r="EY169" s="54"/>
    </row>
    <row r="170" spans="1:155" ht="14.1" customHeight="1">
      <c r="A170" s="174"/>
      <c r="B170" s="397" t="s">
        <v>298</v>
      </c>
      <c r="C170" s="190"/>
      <c r="D170" s="317" t="e">
        <f t="shared" si="425"/>
        <v>#DIV/0!</v>
      </c>
      <c r="E170" s="320" t="e">
        <f t="shared" si="426"/>
        <v>#DIV/0!</v>
      </c>
      <c r="F170" s="320" t="e">
        <f t="shared" si="427"/>
        <v>#DIV/0!</v>
      </c>
      <c r="G170" s="323" t="e">
        <f t="shared" si="428"/>
        <v>#DIV/0!</v>
      </c>
      <c r="H170" s="306"/>
      <c r="I170" s="309"/>
      <c r="J170" s="309"/>
      <c r="K170" s="309"/>
      <c r="L170" s="309"/>
      <c r="M170" s="309"/>
      <c r="N170" s="309"/>
      <c r="O170" s="309"/>
      <c r="P170" s="211"/>
      <c r="Q170" s="214"/>
      <c r="R170" s="306"/>
      <c r="S170" s="309"/>
      <c r="T170" s="309"/>
      <c r="U170" s="309"/>
      <c r="V170" s="309"/>
      <c r="W170" s="309"/>
      <c r="X170" s="336"/>
      <c r="Y170" s="306"/>
      <c r="Z170" s="309"/>
      <c r="AA170" s="309"/>
      <c r="AB170" s="309"/>
      <c r="AC170" s="309"/>
      <c r="AD170" s="309"/>
      <c r="AE170" s="336"/>
      <c r="AF170" s="306"/>
      <c r="AG170" s="211"/>
      <c r="AH170" s="211"/>
      <c r="AI170" s="211"/>
      <c r="AJ170" s="211"/>
      <c r="AK170" s="211"/>
      <c r="AL170" s="214"/>
      <c r="AM170" s="333"/>
      <c r="AN170" s="211"/>
      <c r="AO170" s="211"/>
      <c r="AP170" s="211"/>
      <c r="AQ170" s="211"/>
      <c r="AR170" s="211"/>
      <c r="AS170" s="211"/>
      <c r="AT170" s="333"/>
      <c r="AU170" s="211"/>
      <c r="AV170" s="211"/>
      <c r="AW170" s="211"/>
      <c r="AX170" s="211"/>
      <c r="AY170" s="211"/>
      <c r="AZ170" s="214"/>
      <c r="BA170" s="333"/>
      <c r="BB170" s="333"/>
      <c r="BC170" s="333"/>
      <c r="BD170" s="333"/>
      <c r="BE170" s="333"/>
      <c r="BF170" s="333"/>
      <c r="BG170" s="333"/>
      <c r="BH170" s="333"/>
      <c r="BI170" s="211"/>
      <c r="BJ170" s="211"/>
      <c r="BK170" s="211"/>
      <c r="BL170" s="211"/>
      <c r="BM170" s="211"/>
      <c r="BN170" s="214"/>
      <c r="BO170" s="196"/>
      <c r="BP170" s="196"/>
      <c r="BQ170" s="196"/>
      <c r="BR170" s="196"/>
      <c r="BS170" s="196"/>
      <c r="BT170" s="196"/>
      <c r="BU170" s="193"/>
      <c r="BV170" s="193"/>
      <c r="BW170" s="193"/>
      <c r="BX170" s="193"/>
      <c r="BY170" s="193"/>
      <c r="BZ170" s="193"/>
      <c r="CA170" s="193"/>
      <c r="CB170" s="193"/>
      <c r="CC170" s="193"/>
      <c r="CD170" s="193"/>
      <c r="CE170" s="193"/>
      <c r="CF170" s="193"/>
      <c r="CG170" s="193"/>
      <c r="CH170" s="193"/>
      <c r="CI170" s="193"/>
      <c r="CJ170" s="193"/>
      <c r="CK170" s="193"/>
      <c r="CL170" s="193"/>
      <c r="CM170" s="205"/>
      <c r="CN170" s="205"/>
      <c r="CO170" s="24">
        <v>11</v>
      </c>
      <c r="CP170" s="21">
        <v>7.71</v>
      </c>
      <c r="CQ170" s="21">
        <v>1.78</v>
      </c>
      <c r="CR170" s="22">
        <v>76.900000000000006</v>
      </c>
      <c r="CS170" s="54"/>
      <c r="CT170" s="54"/>
      <c r="CU170" s="54"/>
      <c r="CV170" s="8">
        <v>2</v>
      </c>
      <c r="CW170" s="8"/>
      <c r="CX170" s="8"/>
      <c r="CY170" s="24"/>
      <c r="CZ170" s="54"/>
      <c r="DA170" s="54"/>
      <c r="DB170" s="54"/>
      <c r="DC170" s="54"/>
      <c r="DD170" s="54"/>
      <c r="DE170" s="54"/>
      <c r="DF170" s="8"/>
      <c r="DG170" s="8"/>
      <c r="DH170" s="8"/>
      <c r="DI170" s="54"/>
      <c r="DJ170" s="54"/>
      <c r="DK170" s="54"/>
      <c r="DL170" s="54"/>
      <c r="DM170" s="54"/>
      <c r="DN170" s="54"/>
      <c r="DO170" s="54"/>
      <c r="DP170" s="8"/>
      <c r="DQ170" s="8"/>
      <c r="DR170" s="8"/>
      <c r="DS170" s="406"/>
      <c r="DT170" s="54"/>
      <c r="DU170" s="54"/>
      <c r="DV170" s="54"/>
      <c r="DW170" s="54"/>
      <c r="DX170" s="54"/>
      <c r="DY170" s="54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404"/>
      <c r="EM170" s="54"/>
      <c r="EN170" s="54"/>
      <c r="EO170" s="54"/>
      <c r="EP170" s="54"/>
      <c r="EQ170" s="54"/>
      <c r="ER170" s="54"/>
      <c r="ES170" s="54"/>
      <c r="ET170" s="54"/>
      <c r="EU170" s="54"/>
      <c r="EV170" s="54"/>
      <c r="EW170" s="54"/>
      <c r="EX170" s="54"/>
      <c r="EY170" s="54"/>
    </row>
    <row r="171" spans="1:155" s="401" customFormat="1" ht="14.1" customHeight="1" thickBot="1">
      <c r="A171" s="175"/>
      <c r="B171" s="400" t="s">
        <v>298</v>
      </c>
      <c r="C171" s="191"/>
      <c r="D171" s="318" t="e">
        <f t="shared" si="425"/>
        <v>#DIV/0!</v>
      </c>
      <c r="E171" s="321" t="e">
        <f t="shared" si="426"/>
        <v>#DIV/0!</v>
      </c>
      <c r="F171" s="321" t="e">
        <f t="shared" si="427"/>
        <v>#DIV/0!</v>
      </c>
      <c r="G171" s="324" t="e">
        <f t="shared" si="428"/>
        <v>#DIV/0!</v>
      </c>
      <c r="H171" s="307"/>
      <c r="I171" s="310"/>
      <c r="J171" s="310"/>
      <c r="K171" s="310"/>
      <c r="L171" s="310"/>
      <c r="M171" s="310"/>
      <c r="N171" s="310"/>
      <c r="O171" s="310"/>
      <c r="P171" s="302"/>
      <c r="Q171" s="304"/>
      <c r="R171" s="307"/>
      <c r="S171" s="310"/>
      <c r="T171" s="310"/>
      <c r="U171" s="310"/>
      <c r="V171" s="310"/>
      <c r="W171" s="310"/>
      <c r="X171" s="337"/>
      <c r="Y171" s="307"/>
      <c r="Z171" s="310"/>
      <c r="AA171" s="310"/>
      <c r="AB171" s="310"/>
      <c r="AC171" s="310"/>
      <c r="AD171" s="310"/>
      <c r="AE171" s="337"/>
      <c r="AF171" s="307"/>
      <c r="AG171" s="302"/>
      <c r="AH171" s="302"/>
      <c r="AI171" s="302"/>
      <c r="AJ171" s="302"/>
      <c r="AK171" s="302"/>
      <c r="AL171" s="304"/>
      <c r="AM171" s="334"/>
      <c r="AN171" s="302"/>
      <c r="AO171" s="302"/>
      <c r="AP171" s="302"/>
      <c r="AQ171" s="302"/>
      <c r="AR171" s="302"/>
      <c r="AS171" s="302"/>
      <c r="AT171" s="334"/>
      <c r="AU171" s="302"/>
      <c r="AV171" s="302"/>
      <c r="AW171" s="302"/>
      <c r="AX171" s="302"/>
      <c r="AY171" s="302"/>
      <c r="AZ171" s="304"/>
      <c r="BA171" s="334"/>
      <c r="BB171" s="334"/>
      <c r="BC171" s="334"/>
      <c r="BD171" s="334"/>
      <c r="BE171" s="334"/>
      <c r="BF171" s="334"/>
      <c r="BG171" s="334"/>
      <c r="BH171" s="334"/>
      <c r="BI171" s="302"/>
      <c r="BJ171" s="302"/>
      <c r="BK171" s="302"/>
      <c r="BL171" s="302"/>
      <c r="BM171" s="302"/>
      <c r="BN171" s="304"/>
      <c r="BO171" s="217"/>
      <c r="BP171" s="217"/>
      <c r="BQ171" s="217"/>
      <c r="BR171" s="217"/>
      <c r="BS171" s="217"/>
      <c r="BT171" s="217"/>
      <c r="BU171" s="219"/>
      <c r="BV171" s="219"/>
      <c r="BW171" s="219"/>
      <c r="BX171" s="219"/>
      <c r="BY171" s="219"/>
      <c r="BZ171" s="219"/>
      <c r="CA171" s="219"/>
      <c r="CB171" s="219"/>
      <c r="CC171" s="219"/>
      <c r="CD171" s="219"/>
      <c r="CE171" s="219"/>
      <c r="CF171" s="219"/>
      <c r="CG171" s="219"/>
      <c r="CH171" s="219"/>
      <c r="CI171" s="219"/>
      <c r="CJ171" s="219"/>
      <c r="CK171" s="219"/>
      <c r="CL171" s="219"/>
      <c r="CM171" s="221"/>
      <c r="CN171" s="221"/>
      <c r="CO171" s="103"/>
      <c r="CP171" s="99"/>
      <c r="CQ171" s="99"/>
      <c r="CR171" s="100"/>
      <c r="CS171" s="394"/>
      <c r="CT171" s="394"/>
      <c r="CU171" s="394"/>
      <c r="CV171" s="102"/>
      <c r="CW171" s="102"/>
      <c r="CX171" s="102"/>
      <c r="CY171" s="103"/>
      <c r="CZ171" s="394"/>
      <c r="DA171" s="394"/>
      <c r="DB171" s="394"/>
      <c r="DC171" s="394"/>
      <c r="DD171" s="394"/>
      <c r="DE171" s="394"/>
      <c r="DF171" s="102"/>
      <c r="DG171" s="102"/>
      <c r="DH171" s="102"/>
      <c r="DI171" s="394"/>
      <c r="DJ171" s="394"/>
      <c r="DK171" s="394"/>
      <c r="DL171" s="394"/>
      <c r="DM171" s="394"/>
      <c r="DN171" s="394"/>
      <c r="DO171" s="394"/>
      <c r="DP171" s="102"/>
      <c r="DQ171" s="102"/>
      <c r="DR171" s="102"/>
      <c r="DS171" s="407"/>
      <c r="DT171" s="394"/>
      <c r="DU171" s="394"/>
      <c r="DV171" s="394"/>
      <c r="DW171" s="394"/>
      <c r="DX171" s="394"/>
      <c r="DY171" s="394"/>
      <c r="DZ171" s="102"/>
      <c r="EA171" s="102"/>
      <c r="EB171" s="102"/>
      <c r="EC171" s="102"/>
      <c r="ED171" s="102"/>
      <c r="EE171" s="102"/>
      <c r="EF171" s="102"/>
      <c r="EG171" s="102"/>
      <c r="EH171" s="102"/>
      <c r="EI171" s="102"/>
      <c r="EJ171" s="102"/>
      <c r="EK171" s="102"/>
      <c r="EL171" s="395"/>
      <c r="EM171" s="394"/>
      <c r="EN171" s="394"/>
      <c r="EO171" s="394"/>
      <c r="EP171" s="394"/>
      <c r="EQ171" s="394"/>
      <c r="ER171" s="394"/>
      <c r="ES171" s="394"/>
      <c r="ET171" s="394"/>
      <c r="EU171" s="394"/>
      <c r="EV171" s="394"/>
      <c r="EW171" s="394"/>
      <c r="EX171" s="394"/>
      <c r="EY171" s="394"/>
    </row>
    <row r="172" spans="1:155" s="398" customFormat="1" ht="14.1" customHeight="1">
      <c r="A172" s="173">
        <v>41</v>
      </c>
      <c r="B172" s="397" t="s">
        <v>299</v>
      </c>
      <c r="C172" s="189" t="s">
        <v>90</v>
      </c>
      <c r="D172" s="316">
        <f t="shared" si="425"/>
        <v>77.732053040695021</v>
      </c>
      <c r="E172" s="319">
        <f t="shared" si="426"/>
        <v>22.267946959304982</v>
      </c>
      <c r="F172" s="319">
        <f t="shared" si="427"/>
        <v>0</v>
      </c>
      <c r="G172" s="322">
        <f t="shared" si="428"/>
        <v>0</v>
      </c>
      <c r="H172" s="305">
        <v>0</v>
      </c>
      <c r="I172" s="308">
        <v>17</v>
      </c>
      <c r="J172" s="308">
        <v>4.87</v>
      </c>
      <c r="K172" s="308">
        <v>0</v>
      </c>
      <c r="L172" s="308">
        <v>0</v>
      </c>
      <c r="M172" s="308">
        <v>6.5</v>
      </c>
      <c r="N172" s="308">
        <v>1.7</v>
      </c>
      <c r="O172" s="308">
        <v>0.2</v>
      </c>
      <c r="P172" s="301"/>
      <c r="Q172" s="303"/>
      <c r="R172" s="305">
        <v>0</v>
      </c>
      <c r="S172" s="308">
        <v>1</v>
      </c>
      <c r="T172" s="308">
        <v>0.35</v>
      </c>
      <c r="U172" s="308">
        <v>0</v>
      </c>
      <c r="V172" s="308">
        <v>0</v>
      </c>
      <c r="W172" s="308">
        <v>3</v>
      </c>
      <c r="X172" s="335">
        <v>20.5</v>
      </c>
      <c r="Y172" s="305">
        <f t="shared" ref="Y172:AD172" si="502">H172*R172*10</f>
        <v>0</v>
      </c>
      <c r="Z172" s="308">
        <f t="shared" si="502"/>
        <v>170</v>
      </c>
      <c r="AA172" s="308">
        <f t="shared" si="502"/>
        <v>17.044999999999998</v>
      </c>
      <c r="AB172" s="308">
        <f t="shared" si="502"/>
        <v>0</v>
      </c>
      <c r="AC172" s="308">
        <f t="shared" si="502"/>
        <v>0</v>
      </c>
      <c r="AD172" s="308">
        <f t="shared" si="502"/>
        <v>195</v>
      </c>
      <c r="AE172" s="335">
        <f t="shared" ref="AE172" si="503">O172*X172*10</f>
        <v>41.000000000000007</v>
      </c>
      <c r="AF172" s="305">
        <v>0</v>
      </c>
      <c r="AG172" s="301">
        <v>13</v>
      </c>
      <c r="AH172" s="301">
        <v>2</v>
      </c>
      <c r="AI172" s="301">
        <v>0</v>
      </c>
      <c r="AJ172" s="301">
        <v>0</v>
      </c>
      <c r="AK172" s="301">
        <v>30</v>
      </c>
      <c r="AL172" s="303">
        <v>84.8</v>
      </c>
      <c r="AM172" s="332">
        <f t="shared" ref="AM172" si="504">AF172*10*H172</f>
        <v>0</v>
      </c>
      <c r="AN172" s="301">
        <f t="shared" ref="AN172:AS172" si="505">AG172*I172*10</f>
        <v>2210</v>
      </c>
      <c r="AO172" s="301">
        <f t="shared" si="505"/>
        <v>97.4</v>
      </c>
      <c r="AP172" s="301">
        <f t="shared" si="505"/>
        <v>0</v>
      </c>
      <c r="AQ172" s="301">
        <f t="shared" si="505"/>
        <v>0</v>
      </c>
      <c r="AR172" s="301">
        <f t="shared" si="505"/>
        <v>1950</v>
      </c>
      <c r="AS172" s="301">
        <f t="shared" si="505"/>
        <v>1441.6</v>
      </c>
      <c r="AT172" s="332"/>
      <c r="AU172" s="301"/>
      <c r="AV172" s="301"/>
      <c r="AW172" s="301"/>
      <c r="AX172" s="301"/>
      <c r="AY172" s="301"/>
      <c r="AZ172" s="303"/>
      <c r="BA172" s="332">
        <f t="shared" ref="BA172:BG172" si="506">(H172*3*1000)/(1-AT172/100)</f>
        <v>0</v>
      </c>
      <c r="BB172" s="332">
        <f t="shared" si="506"/>
        <v>51000</v>
      </c>
      <c r="BC172" s="332">
        <f t="shared" si="506"/>
        <v>14610</v>
      </c>
      <c r="BD172" s="332">
        <f t="shared" si="506"/>
        <v>0</v>
      </c>
      <c r="BE172" s="332">
        <f t="shared" si="506"/>
        <v>0</v>
      </c>
      <c r="BF172" s="332">
        <f t="shared" si="506"/>
        <v>19500</v>
      </c>
      <c r="BG172" s="332">
        <f t="shared" si="506"/>
        <v>5100</v>
      </c>
      <c r="BH172" s="332">
        <f t="shared" ref="BH172" si="507">H172+I172+J172+K172+L172</f>
        <v>21.87</v>
      </c>
      <c r="BI172" s="301">
        <f t="shared" ref="BI172" si="508">M172+N172+O172</f>
        <v>8.3999999999999986</v>
      </c>
      <c r="BJ172" s="301">
        <f t="shared" ref="BJ172" si="509">BH172+BI172</f>
        <v>30.27</v>
      </c>
      <c r="BK172" s="301">
        <f t="shared" ref="BK172" si="510">Y172+Z172+AA172+AB172+AC172+AD172+AE172</f>
        <v>423.04499999999996</v>
      </c>
      <c r="BL172" s="301">
        <f t="shared" ref="BL172" si="511">AM172+AN172+AO172+AP172+AQ172+AR172+AS172</f>
        <v>5699</v>
      </c>
      <c r="BM172" s="301">
        <f t="shared" ref="BM172" si="512">BJ172*3*1000</f>
        <v>90810</v>
      </c>
      <c r="BN172" s="303">
        <f t="shared" ref="BN172" si="513">BA172+BB172+BC172+BD172+BE172+BF172+BG172</f>
        <v>90210</v>
      </c>
      <c r="BO172" s="216">
        <v>75.3</v>
      </c>
      <c r="BP172" s="216">
        <v>0.40500000000000003</v>
      </c>
      <c r="BQ172" s="216">
        <v>4.8</v>
      </c>
      <c r="BR172" s="216">
        <v>74.2</v>
      </c>
      <c r="BS172" s="216">
        <v>0.36</v>
      </c>
      <c r="BT172" s="216">
        <v>4.59</v>
      </c>
      <c r="BU172" s="218"/>
      <c r="BV172" s="218"/>
      <c r="BW172" s="218"/>
      <c r="BX172" s="218">
        <v>6.03</v>
      </c>
      <c r="BY172" s="218">
        <v>7.4</v>
      </c>
      <c r="BZ172" s="218">
        <v>8200</v>
      </c>
      <c r="CA172" s="218">
        <v>7.15</v>
      </c>
      <c r="CB172" s="218">
        <v>4.7</v>
      </c>
      <c r="CC172" s="218">
        <v>4500</v>
      </c>
      <c r="CD172" s="218">
        <v>7.82</v>
      </c>
      <c r="CE172" s="218">
        <v>6.2</v>
      </c>
      <c r="CF172" s="218">
        <v>5500</v>
      </c>
      <c r="CG172" s="218">
        <v>6.86</v>
      </c>
      <c r="CH172" s="218">
        <v>4.9000000000000004</v>
      </c>
      <c r="CI172" s="218">
        <v>5000</v>
      </c>
      <c r="CJ172" s="218">
        <v>7.73</v>
      </c>
      <c r="CK172" s="218">
        <v>5.7</v>
      </c>
      <c r="CL172" s="218"/>
      <c r="CM172" s="220">
        <v>76.400000000000006</v>
      </c>
      <c r="CN172" s="220"/>
      <c r="CO172" s="139">
        <v>12</v>
      </c>
      <c r="CP172" s="122">
        <v>7.86</v>
      </c>
      <c r="CQ172" s="122">
        <v>1.52</v>
      </c>
      <c r="CR172" s="123">
        <v>76.400000000000006</v>
      </c>
      <c r="CS172" s="169"/>
      <c r="CT172" s="169"/>
      <c r="CU172" s="169"/>
      <c r="CV172" s="79"/>
      <c r="CW172" s="79"/>
      <c r="CX172" s="79"/>
      <c r="CY172" s="139"/>
      <c r="CZ172" s="169"/>
      <c r="DA172" s="169"/>
      <c r="DB172" s="169"/>
      <c r="DC172" s="169"/>
      <c r="DD172" s="169"/>
      <c r="DE172" s="169"/>
      <c r="DF172" s="79"/>
      <c r="DG172" s="79"/>
      <c r="DH172" s="79"/>
      <c r="DI172" s="169"/>
      <c r="DJ172" s="169"/>
      <c r="DK172" s="169"/>
      <c r="DL172" s="169"/>
      <c r="DM172" s="169"/>
      <c r="DN172" s="169"/>
      <c r="DO172" s="169"/>
      <c r="DP172" s="79"/>
      <c r="DQ172" s="79"/>
      <c r="DR172" s="79"/>
      <c r="DS172" s="405"/>
      <c r="DT172" s="169"/>
      <c r="DU172" s="169"/>
      <c r="DV172" s="169"/>
      <c r="DW172" s="169"/>
      <c r="DX172" s="169"/>
      <c r="DY172" s="169"/>
      <c r="DZ172" s="79"/>
      <c r="EA172" s="79"/>
      <c r="EB172" s="79"/>
      <c r="EC172" s="79"/>
      <c r="ED172" s="79"/>
      <c r="EE172" s="79"/>
      <c r="EF172" s="79"/>
      <c r="EG172" s="79"/>
      <c r="EH172" s="79"/>
      <c r="EI172" s="79"/>
      <c r="EJ172" s="79"/>
      <c r="EK172" s="79"/>
      <c r="EL172" s="403"/>
      <c r="EM172" s="169"/>
      <c r="EN172" s="169"/>
      <c r="EO172" s="169"/>
      <c r="EP172" s="169"/>
      <c r="EQ172" s="169"/>
      <c r="ER172" s="169"/>
      <c r="ES172" s="169"/>
      <c r="ET172" s="169"/>
      <c r="EU172" s="169"/>
      <c r="EV172" s="169"/>
      <c r="EW172" s="169"/>
      <c r="EX172" s="169"/>
      <c r="EY172" s="169"/>
    </row>
    <row r="173" spans="1:155" ht="14.1" customHeight="1">
      <c r="A173" s="174"/>
      <c r="B173" s="397" t="s">
        <v>299</v>
      </c>
      <c r="C173" s="190"/>
      <c r="D173" s="317" t="e">
        <f t="shared" si="425"/>
        <v>#DIV/0!</v>
      </c>
      <c r="E173" s="320" t="e">
        <f t="shared" si="426"/>
        <v>#DIV/0!</v>
      </c>
      <c r="F173" s="320" t="e">
        <f t="shared" si="427"/>
        <v>#DIV/0!</v>
      </c>
      <c r="G173" s="323" t="e">
        <f t="shared" si="428"/>
        <v>#DIV/0!</v>
      </c>
      <c r="H173" s="306"/>
      <c r="I173" s="309"/>
      <c r="J173" s="309"/>
      <c r="K173" s="309"/>
      <c r="L173" s="309"/>
      <c r="M173" s="309"/>
      <c r="N173" s="309"/>
      <c r="O173" s="309"/>
      <c r="P173" s="211"/>
      <c r="Q173" s="214"/>
      <c r="R173" s="306"/>
      <c r="S173" s="309"/>
      <c r="T173" s="309"/>
      <c r="U173" s="309"/>
      <c r="V173" s="309"/>
      <c r="W173" s="309"/>
      <c r="X173" s="336"/>
      <c r="Y173" s="306"/>
      <c r="Z173" s="309"/>
      <c r="AA173" s="309"/>
      <c r="AB173" s="309"/>
      <c r="AC173" s="309"/>
      <c r="AD173" s="309"/>
      <c r="AE173" s="336"/>
      <c r="AF173" s="306"/>
      <c r="AG173" s="211"/>
      <c r="AH173" s="211"/>
      <c r="AI173" s="211"/>
      <c r="AJ173" s="211"/>
      <c r="AK173" s="211"/>
      <c r="AL173" s="214"/>
      <c r="AM173" s="333"/>
      <c r="AN173" s="211"/>
      <c r="AO173" s="211"/>
      <c r="AP173" s="211"/>
      <c r="AQ173" s="211"/>
      <c r="AR173" s="211"/>
      <c r="AS173" s="211"/>
      <c r="AT173" s="333"/>
      <c r="AU173" s="211"/>
      <c r="AV173" s="211"/>
      <c r="AW173" s="211"/>
      <c r="AX173" s="211"/>
      <c r="AY173" s="211"/>
      <c r="AZ173" s="214"/>
      <c r="BA173" s="333"/>
      <c r="BB173" s="333"/>
      <c r="BC173" s="333"/>
      <c r="BD173" s="333"/>
      <c r="BE173" s="333"/>
      <c r="BF173" s="333"/>
      <c r="BG173" s="333"/>
      <c r="BH173" s="333"/>
      <c r="BI173" s="211"/>
      <c r="BJ173" s="211"/>
      <c r="BK173" s="211"/>
      <c r="BL173" s="211"/>
      <c r="BM173" s="211"/>
      <c r="BN173" s="214"/>
      <c r="BO173" s="196"/>
      <c r="BP173" s="196"/>
      <c r="BQ173" s="196"/>
      <c r="BR173" s="196"/>
      <c r="BS173" s="196"/>
      <c r="BT173" s="196"/>
      <c r="BU173" s="193"/>
      <c r="BV173" s="193"/>
      <c r="BW173" s="193"/>
      <c r="BX173" s="193"/>
      <c r="BY173" s="193"/>
      <c r="BZ173" s="193"/>
      <c r="CA173" s="193"/>
      <c r="CB173" s="193"/>
      <c r="CC173" s="193"/>
      <c r="CD173" s="193"/>
      <c r="CE173" s="193"/>
      <c r="CF173" s="193"/>
      <c r="CG173" s="193"/>
      <c r="CH173" s="193"/>
      <c r="CI173" s="193"/>
      <c r="CJ173" s="193"/>
      <c r="CK173" s="193"/>
      <c r="CL173" s="193"/>
      <c r="CM173" s="205"/>
      <c r="CN173" s="205"/>
      <c r="CO173" s="24">
        <v>5</v>
      </c>
      <c r="CP173" s="21"/>
      <c r="CQ173" s="21"/>
      <c r="CR173" s="22"/>
      <c r="CS173" s="54"/>
      <c r="CT173" s="54"/>
      <c r="CU173" s="54"/>
      <c r="CV173" s="8"/>
      <c r="CW173" s="8"/>
      <c r="CX173" s="8"/>
      <c r="CY173" s="408"/>
      <c r="CZ173" s="54"/>
      <c r="DA173" s="54"/>
      <c r="DB173" s="54"/>
      <c r="DC173" s="54"/>
      <c r="DD173" s="54"/>
      <c r="DE173" s="54"/>
      <c r="DF173" s="8"/>
      <c r="DG173" s="8"/>
      <c r="DH173" s="8"/>
      <c r="DI173" s="54"/>
      <c r="DJ173" s="54"/>
      <c r="DK173" s="54"/>
      <c r="DL173" s="54"/>
      <c r="DM173" s="54"/>
      <c r="DN173" s="54"/>
      <c r="DO173" s="54"/>
      <c r="DP173" s="8"/>
      <c r="DQ173" s="8"/>
      <c r="DR173" s="8"/>
      <c r="DS173" s="406"/>
      <c r="DT173" s="54"/>
      <c r="DU173" s="54"/>
      <c r="DV173" s="54"/>
      <c r="DW173" s="54"/>
      <c r="DX173" s="54"/>
      <c r="DY173" s="54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404"/>
      <c r="EM173" s="54"/>
      <c r="EN173" s="54"/>
      <c r="EO173" s="54"/>
      <c r="EP173" s="54"/>
      <c r="EQ173" s="54"/>
      <c r="ER173" s="54"/>
      <c r="ES173" s="54"/>
      <c r="ET173" s="54"/>
      <c r="EU173" s="54"/>
      <c r="EV173" s="54"/>
      <c r="EW173" s="54"/>
      <c r="EX173" s="54"/>
      <c r="EY173" s="54"/>
    </row>
    <row r="174" spans="1:155" ht="14.1" customHeight="1">
      <c r="A174" s="174"/>
      <c r="B174" s="397" t="s">
        <v>299</v>
      </c>
      <c r="C174" s="190"/>
      <c r="D174" s="317" t="e">
        <f t="shared" si="425"/>
        <v>#DIV/0!</v>
      </c>
      <c r="E174" s="320" t="e">
        <f t="shared" si="426"/>
        <v>#DIV/0!</v>
      </c>
      <c r="F174" s="320" t="e">
        <f t="shared" si="427"/>
        <v>#DIV/0!</v>
      </c>
      <c r="G174" s="323" t="e">
        <f t="shared" si="428"/>
        <v>#DIV/0!</v>
      </c>
      <c r="H174" s="306"/>
      <c r="I174" s="309"/>
      <c r="J174" s="309"/>
      <c r="K174" s="309"/>
      <c r="L174" s="309"/>
      <c r="M174" s="309"/>
      <c r="N174" s="309"/>
      <c r="O174" s="309"/>
      <c r="P174" s="211"/>
      <c r="Q174" s="214"/>
      <c r="R174" s="306"/>
      <c r="S174" s="309"/>
      <c r="T174" s="309"/>
      <c r="U174" s="309"/>
      <c r="V174" s="309"/>
      <c r="W174" s="309"/>
      <c r="X174" s="336"/>
      <c r="Y174" s="306"/>
      <c r="Z174" s="309"/>
      <c r="AA174" s="309"/>
      <c r="AB174" s="309"/>
      <c r="AC174" s="309"/>
      <c r="AD174" s="309"/>
      <c r="AE174" s="336"/>
      <c r="AF174" s="306"/>
      <c r="AG174" s="211"/>
      <c r="AH174" s="211"/>
      <c r="AI174" s="211"/>
      <c r="AJ174" s="211"/>
      <c r="AK174" s="211"/>
      <c r="AL174" s="214"/>
      <c r="AM174" s="333"/>
      <c r="AN174" s="211"/>
      <c r="AO174" s="211"/>
      <c r="AP174" s="211"/>
      <c r="AQ174" s="211"/>
      <c r="AR174" s="211"/>
      <c r="AS174" s="211"/>
      <c r="AT174" s="333"/>
      <c r="AU174" s="211"/>
      <c r="AV174" s="211"/>
      <c r="AW174" s="211"/>
      <c r="AX174" s="211"/>
      <c r="AY174" s="211"/>
      <c r="AZ174" s="214"/>
      <c r="BA174" s="333"/>
      <c r="BB174" s="333"/>
      <c r="BC174" s="333"/>
      <c r="BD174" s="333"/>
      <c r="BE174" s="333"/>
      <c r="BF174" s="333"/>
      <c r="BG174" s="333"/>
      <c r="BH174" s="333"/>
      <c r="BI174" s="211"/>
      <c r="BJ174" s="211"/>
      <c r="BK174" s="211"/>
      <c r="BL174" s="211"/>
      <c r="BM174" s="211"/>
      <c r="BN174" s="214"/>
      <c r="BO174" s="196"/>
      <c r="BP174" s="196"/>
      <c r="BQ174" s="196"/>
      <c r="BR174" s="196"/>
      <c r="BS174" s="196"/>
      <c r="BT174" s="196"/>
      <c r="BU174" s="193"/>
      <c r="BV174" s="193"/>
      <c r="BW174" s="193"/>
      <c r="BX174" s="193"/>
      <c r="BY174" s="193"/>
      <c r="BZ174" s="193"/>
      <c r="CA174" s="193"/>
      <c r="CB174" s="193"/>
      <c r="CC174" s="193"/>
      <c r="CD174" s="193"/>
      <c r="CE174" s="193"/>
      <c r="CF174" s="193"/>
      <c r="CG174" s="193"/>
      <c r="CH174" s="193"/>
      <c r="CI174" s="193"/>
      <c r="CJ174" s="193"/>
      <c r="CK174" s="193"/>
      <c r="CL174" s="193"/>
      <c r="CM174" s="205"/>
      <c r="CN174" s="205"/>
      <c r="CO174" s="24"/>
      <c r="CP174" s="21"/>
      <c r="CQ174" s="21"/>
      <c r="CR174" s="22"/>
      <c r="CS174" s="54"/>
      <c r="CT174" s="54"/>
      <c r="CU174" s="54"/>
      <c r="CV174" s="8"/>
      <c r="CW174" s="8"/>
      <c r="CX174" s="8"/>
      <c r="CY174" s="408"/>
      <c r="CZ174" s="54"/>
      <c r="DA174" s="54"/>
      <c r="DB174" s="54"/>
      <c r="DC174" s="54"/>
      <c r="DD174" s="54"/>
      <c r="DE174" s="54"/>
      <c r="DF174" s="8"/>
      <c r="DG174" s="8"/>
      <c r="DH174" s="8"/>
      <c r="DI174" s="54"/>
      <c r="DJ174" s="54"/>
      <c r="DK174" s="54"/>
      <c r="DL174" s="54"/>
      <c r="DM174" s="54"/>
      <c r="DN174" s="54"/>
      <c r="DO174" s="54"/>
      <c r="DP174" s="8"/>
      <c r="DQ174" s="8"/>
      <c r="DR174" s="8"/>
      <c r="DS174" s="406"/>
      <c r="DT174" s="54"/>
      <c r="DU174" s="54"/>
      <c r="DV174" s="54"/>
      <c r="DW174" s="54"/>
      <c r="DX174" s="54"/>
      <c r="DY174" s="54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404"/>
      <c r="EM174" s="54"/>
      <c r="EN174" s="54"/>
      <c r="EO174" s="54"/>
      <c r="EP174" s="54"/>
      <c r="EQ174" s="54"/>
      <c r="ER174" s="54"/>
      <c r="ES174" s="54"/>
      <c r="ET174" s="54"/>
      <c r="EU174" s="54"/>
      <c r="EV174" s="54"/>
      <c r="EW174" s="54"/>
      <c r="EX174" s="54"/>
      <c r="EY174" s="54"/>
    </row>
    <row r="175" spans="1:155" s="401" customFormat="1" ht="14.1" customHeight="1" thickBot="1">
      <c r="A175" s="175"/>
      <c r="B175" s="400" t="s">
        <v>299</v>
      </c>
      <c r="C175" s="191"/>
      <c r="D175" s="318" t="e">
        <f t="shared" si="425"/>
        <v>#DIV/0!</v>
      </c>
      <c r="E175" s="321" t="e">
        <f t="shared" si="426"/>
        <v>#DIV/0!</v>
      </c>
      <c r="F175" s="321" t="e">
        <f t="shared" si="427"/>
        <v>#DIV/0!</v>
      </c>
      <c r="G175" s="324" t="e">
        <f t="shared" si="428"/>
        <v>#DIV/0!</v>
      </c>
      <c r="H175" s="307"/>
      <c r="I175" s="310"/>
      <c r="J175" s="310"/>
      <c r="K175" s="310"/>
      <c r="L175" s="310"/>
      <c r="M175" s="310"/>
      <c r="N175" s="310"/>
      <c r="O175" s="310"/>
      <c r="P175" s="302"/>
      <c r="Q175" s="304"/>
      <c r="R175" s="307"/>
      <c r="S175" s="310"/>
      <c r="T175" s="310"/>
      <c r="U175" s="310"/>
      <c r="V175" s="310"/>
      <c r="W175" s="310"/>
      <c r="X175" s="337"/>
      <c r="Y175" s="307"/>
      <c r="Z175" s="310"/>
      <c r="AA175" s="310"/>
      <c r="AB175" s="310"/>
      <c r="AC175" s="310"/>
      <c r="AD175" s="310"/>
      <c r="AE175" s="337"/>
      <c r="AF175" s="307"/>
      <c r="AG175" s="302"/>
      <c r="AH175" s="302"/>
      <c r="AI175" s="302"/>
      <c r="AJ175" s="302"/>
      <c r="AK175" s="302"/>
      <c r="AL175" s="304"/>
      <c r="AM175" s="334"/>
      <c r="AN175" s="302"/>
      <c r="AO175" s="302"/>
      <c r="AP175" s="302"/>
      <c r="AQ175" s="302"/>
      <c r="AR175" s="302"/>
      <c r="AS175" s="302"/>
      <c r="AT175" s="334"/>
      <c r="AU175" s="302"/>
      <c r="AV175" s="302"/>
      <c r="AW175" s="302"/>
      <c r="AX175" s="302"/>
      <c r="AY175" s="302"/>
      <c r="AZ175" s="304"/>
      <c r="BA175" s="334"/>
      <c r="BB175" s="334"/>
      <c r="BC175" s="334"/>
      <c r="BD175" s="334"/>
      <c r="BE175" s="334"/>
      <c r="BF175" s="334"/>
      <c r="BG175" s="334"/>
      <c r="BH175" s="334"/>
      <c r="BI175" s="302"/>
      <c r="BJ175" s="302"/>
      <c r="BK175" s="302"/>
      <c r="BL175" s="302"/>
      <c r="BM175" s="302"/>
      <c r="BN175" s="304"/>
      <c r="BO175" s="217"/>
      <c r="BP175" s="217"/>
      <c r="BQ175" s="217"/>
      <c r="BR175" s="217"/>
      <c r="BS175" s="217"/>
      <c r="BT175" s="217"/>
      <c r="BU175" s="219"/>
      <c r="BV175" s="219"/>
      <c r="BW175" s="219"/>
      <c r="BX175" s="219"/>
      <c r="BY175" s="219"/>
      <c r="BZ175" s="219"/>
      <c r="CA175" s="219"/>
      <c r="CB175" s="219"/>
      <c r="CC175" s="219"/>
      <c r="CD175" s="219"/>
      <c r="CE175" s="219"/>
      <c r="CF175" s="219"/>
      <c r="CG175" s="219"/>
      <c r="CH175" s="219"/>
      <c r="CI175" s="219"/>
      <c r="CJ175" s="219"/>
      <c r="CK175" s="219"/>
      <c r="CL175" s="219"/>
      <c r="CM175" s="221"/>
      <c r="CN175" s="221"/>
      <c r="CO175" s="103"/>
      <c r="CP175" s="99"/>
      <c r="CQ175" s="99"/>
      <c r="CR175" s="100"/>
      <c r="CS175" s="394"/>
      <c r="CT175" s="394"/>
      <c r="CU175" s="394"/>
      <c r="CV175" s="102"/>
      <c r="CW175" s="102"/>
      <c r="CX175" s="102"/>
      <c r="CY175" s="409"/>
      <c r="CZ175" s="394"/>
      <c r="DA175" s="394"/>
      <c r="DB175" s="394"/>
      <c r="DC175" s="394"/>
      <c r="DD175" s="394"/>
      <c r="DE175" s="394"/>
      <c r="DF175" s="102"/>
      <c r="DG175" s="102"/>
      <c r="DH175" s="102"/>
      <c r="DI175" s="394"/>
      <c r="DJ175" s="394"/>
      <c r="DK175" s="394"/>
      <c r="DL175" s="394"/>
      <c r="DM175" s="394"/>
      <c r="DN175" s="394"/>
      <c r="DO175" s="394"/>
      <c r="DP175" s="102"/>
      <c r="DQ175" s="102"/>
      <c r="DR175" s="102"/>
      <c r="DS175" s="407"/>
      <c r="DT175" s="394"/>
      <c r="DU175" s="394"/>
      <c r="DV175" s="394"/>
      <c r="DW175" s="394"/>
      <c r="DX175" s="394"/>
      <c r="DY175" s="394"/>
      <c r="DZ175" s="102"/>
      <c r="EA175" s="102"/>
      <c r="EB175" s="102"/>
      <c r="EC175" s="102"/>
      <c r="ED175" s="102"/>
      <c r="EE175" s="102"/>
      <c r="EF175" s="102"/>
      <c r="EG175" s="102"/>
      <c r="EH175" s="102"/>
      <c r="EI175" s="102"/>
      <c r="EJ175" s="102"/>
      <c r="EK175" s="102"/>
      <c r="EL175" s="395"/>
      <c r="EM175" s="394"/>
      <c r="EN175" s="394"/>
      <c r="EO175" s="394"/>
      <c r="EP175" s="394"/>
      <c r="EQ175" s="394"/>
      <c r="ER175" s="394"/>
      <c r="ES175" s="394"/>
      <c r="ET175" s="394"/>
      <c r="EU175" s="394"/>
      <c r="EV175" s="394"/>
      <c r="EW175" s="394"/>
      <c r="EX175" s="394"/>
      <c r="EY175" s="394"/>
    </row>
    <row r="176" spans="1:155" s="398" customFormat="1" ht="14.1" customHeight="1">
      <c r="A176" s="173">
        <v>42</v>
      </c>
      <c r="B176" s="397" t="s">
        <v>300</v>
      </c>
      <c r="C176" s="189"/>
      <c r="D176" s="316" t="e">
        <f t="shared" si="425"/>
        <v>#DIV/0!</v>
      </c>
      <c r="E176" s="319" t="e">
        <f t="shared" si="426"/>
        <v>#DIV/0!</v>
      </c>
      <c r="F176" s="319" t="e">
        <f t="shared" si="427"/>
        <v>#DIV/0!</v>
      </c>
      <c r="G176" s="322" t="e">
        <f t="shared" si="428"/>
        <v>#DIV/0!</v>
      </c>
      <c r="H176" s="305"/>
      <c r="I176" s="308"/>
      <c r="J176" s="308"/>
      <c r="K176" s="308">
        <v>0</v>
      </c>
      <c r="L176" s="308">
        <v>0</v>
      </c>
      <c r="M176" s="308"/>
      <c r="N176" s="308"/>
      <c r="O176" s="308"/>
      <c r="P176" s="301"/>
      <c r="Q176" s="303"/>
      <c r="R176" s="305"/>
      <c r="S176" s="308"/>
      <c r="T176" s="308"/>
      <c r="U176" s="308">
        <v>0</v>
      </c>
      <c r="V176" s="308">
        <v>0</v>
      </c>
      <c r="W176" s="308"/>
      <c r="X176" s="335">
        <v>20.5</v>
      </c>
      <c r="Y176" s="305">
        <f t="shared" ref="Y176:AD176" si="514">H176*R176*10</f>
        <v>0</v>
      </c>
      <c r="Z176" s="308">
        <f t="shared" si="514"/>
        <v>0</v>
      </c>
      <c r="AA176" s="308">
        <f t="shared" si="514"/>
        <v>0</v>
      </c>
      <c r="AB176" s="308">
        <f t="shared" si="514"/>
        <v>0</v>
      </c>
      <c r="AC176" s="308">
        <f t="shared" si="514"/>
        <v>0</v>
      </c>
      <c r="AD176" s="308">
        <f t="shared" si="514"/>
        <v>0</v>
      </c>
      <c r="AE176" s="335">
        <f t="shared" ref="AE176" si="515">O176*X176*10</f>
        <v>0</v>
      </c>
      <c r="AF176" s="305"/>
      <c r="AG176" s="301"/>
      <c r="AH176" s="301"/>
      <c r="AI176" s="301">
        <v>0</v>
      </c>
      <c r="AJ176" s="301">
        <v>0</v>
      </c>
      <c r="AK176" s="301"/>
      <c r="AL176" s="303"/>
      <c r="AM176" s="332">
        <f t="shared" ref="AM176" si="516">AF176*10*H176</f>
        <v>0</v>
      </c>
      <c r="AN176" s="301">
        <f t="shared" ref="AN176:AS176" si="517">AG176*I176*10</f>
        <v>0</v>
      </c>
      <c r="AO176" s="301">
        <f t="shared" si="517"/>
        <v>0</v>
      </c>
      <c r="AP176" s="301">
        <f t="shared" si="517"/>
        <v>0</v>
      </c>
      <c r="AQ176" s="301">
        <f t="shared" si="517"/>
        <v>0</v>
      </c>
      <c r="AR176" s="301">
        <f t="shared" si="517"/>
        <v>0</v>
      </c>
      <c r="AS176" s="301">
        <f t="shared" si="517"/>
        <v>0</v>
      </c>
      <c r="AT176" s="332"/>
      <c r="AU176" s="301"/>
      <c r="AV176" s="301"/>
      <c r="AW176" s="301"/>
      <c r="AX176" s="301"/>
      <c r="AY176" s="301"/>
      <c r="AZ176" s="303"/>
      <c r="BA176" s="332">
        <f t="shared" ref="BA176:BG176" si="518">(H176*3*1000)/(1-AT176/100)</f>
        <v>0</v>
      </c>
      <c r="BB176" s="332">
        <f t="shared" si="518"/>
        <v>0</v>
      </c>
      <c r="BC176" s="332">
        <f t="shared" si="518"/>
        <v>0</v>
      </c>
      <c r="BD176" s="332">
        <f t="shared" si="518"/>
        <v>0</v>
      </c>
      <c r="BE176" s="332">
        <f t="shared" si="518"/>
        <v>0</v>
      </c>
      <c r="BF176" s="332">
        <f t="shared" si="518"/>
        <v>0</v>
      </c>
      <c r="BG176" s="332">
        <f t="shared" si="518"/>
        <v>0</v>
      </c>
      <c r="BH176" s="332">
        <f t="shared" ref="BH176" si="519">H176+I176+J176+K176+L176</f>
        <v>0</v>
      </c>
      <c r="BI176" s="301">
        <f t="shared" ref="BI176" si="520">M176+N176+O176</f>
        <v>0</v>
      </c>
      <c r="BJ176" s="301">
        <f t="shared" ref="BJ176" si="521">BH176+BI176</f>
        <v>0</v>
      </c>
      <c r="BK176" s="301">
        <f t="shared" ref="BK176" si="522">Y176+Z176+AA176+AB176+AC176+AD176+AE176</f>
        <v>0</v>
      </c>
      <c r="BL176" s="301">
        <f t="shared" ref="BL176" si="523">AM176+AN176+AO176+AP176+AQ176+AR176+AS176</f>
        <v>0</v>
      </c>
      <c r="BM176" s="301">
        <f t="shared" ref="BM176" si="524">BJ176*3*1000</f>
        <v>0</v>
      </c>
      <c r="BN176" s="303">
        <f t="shared" ref="BN176" si="525">BA176+BB176+BC176+BD176+BE176+BF176+BG176</f>
        <v>0</v>
      </c>
      <c r="BO176" s="216">
        <v>75.099999999999994</v>
      </c>
      <c r="BP176" s="216">
        <v>0.48</v>
      </c>
      <c r="BQ176" s="216">
        <v>4.0199999999999996</v>
      </c>
      <c r="BR176" s="216">
        <v>71.599999999999994</v>
      </c>
      <c r="BS176" s="216">
        <v>0.45</v>
      </c>
      <c r="BT176" s="216">
        <v>3.7</v>
      </c>
      <c r="BU176" s="218"/>
      <c r="BV176" s="218"/>
      <c r="BW176" s="218"/>
      <c r="BX176" s="218">
        <v>6.21</v>
      </c>
      <c r="BY176" s="218">
        <v>7.3</v>
      </c>
      <c r="BZ176" s="218">
        <v>7000</v>
      </c>
      <c r="CA176" s="218">
        <v>6.56</v>
      </c>
      <c r="CB176" s="218">
        <v>7.4</v>
      </c>
      <c r="CC176" s="218"/>
      <c r="CD176" s="218">
        <v>7.08</v>
      </c>
      <c r="CE176" s="218">
        <v>8.9</v>
      </c>
      <c r="CF176" s="218">
        <v>8000</v>
      </c>
      <c r="CG176" s="218"/>
      <c r="CH176" s="218"/>
      <c r="CI176" s="218"/>
      <c r="CJ176" s="218">
        <v>7.62</v>
      </c>
      <c r="CK176" s="218">
        <v>8.3000000000000007</v>
      </c>
      <c r="CL176" s="218">
        <v>8200</v>
      </c>
      <c r="CM176" s="220"/>
      <c r="CN176" s="220"/>
      <c r="CO176" s="139"/>
      <c r="CP176" s="122"/>
      <c r="CQ176" s="122"/>
      <c r="CR176" s="123"/>
      <c r="CS176" s="169"/>
      <c r="CT176" s="169"/>
      <c r="CU176" s="169"/>
      <c r="CV176" s="79"/>
      <c r="CW176" s="79"/>
      <c r="CX176" s="79"/>
      <c r="CY176" s="410"/>
      <c r="CZ176" s="169"/>
      <c r="DA176" s="169"/>
      <c r="DB176" s="169"/>
      <c r="DC176" s="169"/>
      <c r="DD176" s="169"/>
      <c r="DE176" s="169"/>
      <c r="DF176" s="79"/>
      <c r="DG176" s="79"/>
      <c r="DH176" s="79"/>
      <c r="DI176" s="169"/>
      <c r="DJ176" s="169"/>
      <c r="DK176" s="169"/>
      <c r="DL176" s="169"/>
      <c r="DM176" s="169"/>
      <c r="DN176" s="169"/>
      <c r="DO176" s="169"/>
      <c r="DP176" s="79"/>
      <c r="DQ176" s="79"/>
      <c r="DR176" s="79"/>
      <c r="DS176" s="405"/>
      <c r="DT176" s="169"/>
      <c r="DU176" s="169"/>
      <c r="DV176" s="169"/>
      <c r="DW176" s="169"/>
      <c r="DX176" s="169"/>
      <c r="DY176" s="169"/>
      <c r="DZ176" s="79"/>
      <c r="EA176" s="79"/>
      <c r="EB176" s="79"/>
      <c r="EC176" s="79"/>
      <c r="ED176" s="79"/>
      <c r="EE176" s="79"/>
      <c r="EF176" s="79"/>
      <c r="EG176" s="79"/>
      <c r="EH176" s="79"/>
      <c r="EI176" s="79"/>
      <c r="EJ176" s="79"/>
      <c r="EK176" s="79"/>
      <c r="EL176" s="403"/>
      <c r="EM176" s="169"/>
      <c r="EN176" s="169"/>
      <c r="EO176" s="169"/>
      <c r="EP176" s="169"/>
      <c r="EQ176" s="169"/>
      <c r="ER176" s="169"/>
      <c r="ES176" s="169"/>
      <c r="ET176" s="169"/>
      <c r="EU176" s="169"/>
      <c r="EV176" s="169"/>
      <c r="EW176" s="169"/>
      <c r="EX176" s="169"/>
      <c r="EY176" s="169"/>
    </row>
    <row r="177" spans="1:155" ht="14.1" customHeight="1">
      <c r="A177" s="174"/>
      <c r="B177" s="397" t="s">
        <v>300</v>
      </c>
      <c r="C177" s="190"/>
      <c r="D177" s="317" t="e">
        <f t="shared" si="425"/>
        <v>#DIV/0!</v>
      </c>
      <c r="E177" s="320" t="e">
        <f t="shared" si="426"/>
        <v>#DIV/0!</v>
      </c>
      <c r="F177" s="320" t="e">
        <f t="shared" si="427"/>
        <v>#DIV/0!</v>
      </c>
      <c r="G177" s="323" t="e">
        <f t="shared" si="428"/>
        <v>#DIV/0!</v>
      </c>
      <c r="H177" s="306"/>
      <c r="I177" s="309"/>
      <c r="J177" s="309"/>
      <c r="K177" s="309"/>
      <c r="L177" s="309"/>
      <c r="M177" s="309"/>
      <c r="N177" s="309"/>
      <c r="O177" s="309"/>
      <c r="P177" s="211"/>
      <c r="Q177" s="214"/>
      <c r="R177" s="306"/>
      <c r="S177" s="309"/>
      <c r="T177" s="309"/>
      <c r="U177" s="309"/>
      <c r="V177" s="309"/>
      <c r="W177" s="309"/>
      <c r="X177" s="336"/>
      <c r="Y177" s="306"/>
      <c r="Z177" s="309"/>
      <c r="AA177" s="309"/>
      <c r="AB177" s="309"/>
      <c r="AC177" s="309"/>
      <c r="AD177" s="309"/>
      <c r="AE177" s="336"/>
      <c r="AF177" s="306"/>
      <c r="AG177" s="211"/>
      <c r="AH177" s="211"/>
      <c r="AI177" s="211"/>
      <c r="AJ177" s="211"/>
      <c r="AK177" s="211"/>
      <c r="AL177" s="214"/>
      <c r="AM177" s="333"/>
      <c r="AN177" s="211"/>
      <c r="AO177" s="211"/>
      <c r="AP177" s="211"/>
      <c r="AQ177" s="211"/>
      <c r="AR177" s="211"/>
      <c r="AS177" s="211"/>
      <c r="AT177" s="333"/>
      <c r="AU177" s="211"/>
      <c r="AV177" s="211"/>
      <c r="AW177" s="211"/>
      <c r="AX177" s="211"/>
      <c r="AY177" s="211"/>
      <c r="AZ177" s="214"/>
      <c r="BA177" s="333"/>
      <c r="BB177" s="333"/>
      <c r="BC177" s="333"/>
      <c r="BD177" s="333"/>
      <c r="BE177" s="333"/>
      <c r="BF177" s="333"/>
      <c r="BG177" s="333"/>
      <c r="BH177" s="333"/>
      <c r="BI177" s="211"/>
      <c r="BJ177" s="211"/>
      <c r="BK177" s="211"/>
      <c r="BL177" s="211"/>
      <c r="BM177" s="211"/>
      <c r="BN177" s="214"/>
      <c r="BO177" s="196"/>
      <c r="BP177" s="196"/>
      <c r="BQ177" s="196"/>
      <c r="BR177" s="196"/>
      <c r="BS177" s="196"/>
      <c r="BT177" s="196"/>
      <c r="BU177" s="193"/>
      <c r="BV177" s="193"/>
      <c r="BW177" s="193"/>
      <c r="BX177" s="193"/>
      <c r="BY177" s="193"/>
      <c r="BZ177" s="193"/>
      <c r="CA177" s="193"/>
      <c r="CB177" s="193"/>
      <c r="CC177" s="193"/>
      <c r="CD177" s="193"/>
      <c r="CE177" s="193"/>
      <c r="CF177" s="193"/>
      <c r="CG177" s="193"/>
      <c r="CH177" s="193"/>
      <c r="CI177" s="193"/>
      <c r="CJ177" s="193"/>
      <c r="CK177" s="193"/>
      <c r="CL177" s="193"/>
      <c r="CM177" s="205"/>
      <c r="CN177" s="205"/>
      <c r="CO177" s="24"/>
      <c r="CP177" s="21"/>
      <c r="CQ177" s="21"/>
      <c r="CR177" s="22"/>
      <c r="CS177" s="54"/>
      <c r="CT177" s="54"/>
      <c r="CU177" s="54"/>
      <c r="CV177" s="8"/>
      <c r="CW177" s="8"/>
      <c r="CX177" s="8"/>
      <c r="CY177" s="408"/>
      <c r="CZ177" s="54"/>
      <c r="DA177" s="54"/>
      <c r="DB177" s="54"/>
      <c r="DC177" s="54"/>
      <c r="DD177" s="54"/>
      <c r="DE177" s="54"/>
      <c r="DF177" s="8"/>
      <c r="DG177" s="8"/>
      <c r="DH177" s="8"/>
      <c r="DI177" s="54"/>
      <c r="DJ177" s="54"/>
      <c r="DK177" s="54"/>
      <c r="DL177" s="54"/>
      <c r="DM177" s="54"/>
      <c r="DN177" s="54"/>
      <c r="DO177" s="54"/>
      <c r="DP177" s="8"/>
      <c r="DQ177" s="8"/>
      <c r="DR177" s="8"/>
      <c r="DS177" s="406"/>
      <c r="DT177" s="54"/>
      <c r="DU177" s="54"/>
      <c r="DV177" s="54"/>
      <c r="DW177" s="54"/>
      <c r="DX177" s="54"/>
      <c r="DY177" s="54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404"/>
      <c r="EM177" s="54"/>
      <c r="EN177" s="54"/>
      <c r="EO177" s="54"/>
      <c r="EP177" s="54"/>
      <c r="EQ177" s="54"/>
      <c r="ER177" s="54"/>
      <c r="ES177" s="54"/>
      <c r="ET177" s="54"/>
      <c r="EU177" s="54"/>
      <c r="EV177" s="54"/>
      <c r="EW177" s="54"/>
      <c r="EX177" s="54"/>
      <c r="EY177" s="54"/>
    </row>
    <row r="178" spans="1:155" ht="14.1" customHeight="1">
      <c r="A178" s="174"/>
      <c r="B178" s="397" t="s">
        <v>300</v>
      </c>
      <c r="C178" s="190"/>
      <c r="D178" s="317" t="e">
        <f t="shared" si="425"/>
        <v>#DIV/0!</v>
      </c>
      <c r="E178" s="320" t="e">
        <f t="shared" si="426"/>
        <v>#DIV/0!</v>
      </c>
      <c r="F178" s="320" t="e">
        <f t="shared" si="427"/>
        <v>#DIV/0!</v>
      </c>
      <c r="G178" s="323" t="e">
        <f t="shared" si="428"/>
        <v>#DIV/0!</v>
      </c>
      <c r="H178" s="306"/>
      <c r="I178" s="309"/>
      <c r="J178" s="309"/>
      <c r="K178" s="309"/>
      <c r="L178" s="309"/>
      <c r="M178" s="309"/>
      <c r="N178" s="309"/>
      <c r="O178" s="309"/>
      <c r="P178" s="211"/>
      <c r="Q178" s="214"/>
      <c r="R178" s="306"/>
      <c r="S178" s="309"/>
      <c r="T178" s="309"/>
      <c r="U178" s="309"/>
      <c r="V178" s="309"/>
      <c r="W178" s="309"/>
      <c r="X178" s="336"/>
      <c r="Y178" s="306"/>
      <c r="Z178" s="309"/>
      <c r="AA178" s="309"/>
      <c r="AB178" s="309"/>
      <c r="AC178" s="309"/>
      <c r="AD178" s="309"/>
      <c r="AE178" s="336"/>
      <c r="AF178" s="306"/>
      <c r="AG178" s="211"/>
      <c r="AH178" s="211"/>
      <c r="AI178" s="211"/>
      <c r="AJ178" s="211"/>
      <c r="AK178" s="211"/>
      <c r="AL178" s="214"/>
      <c r="AM178" s="333"/>
      <c r="AN178" s="211"/>
      <c r="AO178" s="211"/>
      <c r="AP178" s="211"/>
      <c r="AQ178" s="211"/>
      <c r="AR178" s="211"/>
      <c r="AS178" s="211"/>
      <c r="AT178" s="333"/>
      <c r="AU178" s="211"/>
      <c r="AV178" s="211"/>
      <c r="AW178" s="211"/>
      <c r="AX178" s="211"/>
      <c r="AY178" s="211"/>
      <c r="AZ178" s="214"/>
      <c r="BA178" s="333"/>
      <c r="BB178" s="333"/>
      <c r="BC178" s="333"/>
      <c r="BD178" s="333"/>
      <c r="BE178" s="333"/>
      <c r="BF178" s="333"/>
      <c r="BG178" s="333"/>
      <c r="BH178" s="333"/>
      <c r="BI178" s="211"/>
      <c r="BJ178" s="211"/>
      <c r="BK178" s="211"/>
      <c r="BL178" s="211"/>
      <c r="BM178" s="211"/>
      <c r="BN178" s="214"/>
      <c r="BO178" s="196"/>
      <c r="BP178" s="196"/>
      <c r="BQ178" s="196"/>
      <c r="BR178" s="196"/>
      <c r="BS178" s="196"/>
      <c r="BT178" s="196"/>
      <c r="BU178" s="193"/>
      <c r="BV178" s="193"/>
      <c r="BW178" s="193"/>
      <c r="BX178" s="193"/>
      <c r="BY178" s="193"/>
      <c r="BZ178" s="193"/>
      <c r="CA178" s="193"/>
      <c r="CB178" s="193"/>
      <c r="CC178" s="193"/>
      <c r="CD178" s="193"/>
      <c r="CE178" s="193"/>
      <c r="CF178" s="193"/>
      <c r="CG178" s="193"/>
      <c r="CH178" s="193"/>
      <c r="CI178" s="193"/>
      <c r="CJ178" s="193"/>
      <c r="CK178" s="193"/>
      <c r="CL178" s="193"/>
      <c r="CM178" s="205"/>
      <c r="CN178" s="205"/>
      <c r="CO178" s="24"/>
      <c r="CP178" s="21"/>
      <c r="CQ178" s="21"/>
      <c r="CR178" s="22"/>
      <c r="CS178" s="54"/>
      <c r="CT178" s="54"/>
      <c r="CU178" s="54"/>
      <c r="CV178" s="8"/>
      <c r="CW178" s="8"/>
      <c r="CX178" s="8"/>
      <c r="CY178" s="408"/>
      <c r="CZ178" s="54"/>
      <c r="DA178" s="54"/>
      <c r="DB178" s="54"/>
      <c r="DC178" s="54"/>
      <c r="DD178" s="54"/>
      <c r="DE178" s="54"/>
      <c r="DF178" s="8"/>
      <c r="DG178" s="8"/>
      <c r="DH178" s="8"/>
      <c r="DI178" s="54"/>
      <c r="DJ178" s="54"/>
      <c r="DK178" s="54"/>
      <c r="DL178" s="54"/>
      <c r="DM178" s="54"/>
      <c r="DN178" s="54"/>
      <c r="DO178" s="54"/>
      <c r="DP178" s="8"/>
      <c r="DQ178" s="8"/>
      <c r="DR178" s="8"/>
      <c r="DS178" s="406"/>
      <c r="DT178" s="54"/>
      <c r="DU178" s="54"/>
      <c r="DV178" s="54"/>
      <c r="DW178" s="54"/>
      <c r="DX178" s="54"/>
      <c r="DY178" s="54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404"/>
      <c r="EM178" s="54"/>
      <c r="EN178" s="54"/>
      <c r="EO178" s="54"/>
      <c r="EP178" s="54"/>
      <c r="EQ178" s="54"/>
      <c r="ER178" s="54"/>
      <c r="ES178" s="54"/>
      <c r="ET178" s="54"/>
      <c r="EU178" s="54"/>
      <c r="EV178" s="54"/>
      <c r="EW178" s="54"/>
      <c r="EX178" s="54"/>
      <c r="EY178" s="54"/>
    </row>
    <row r="179" spans="1:155" s="401" customFormat="1" ht="14.1" customHeight="1" thickBot="1">
      <c r="A179" s="175"/>
      <c r="B179" s="400" t="s">
        <v>300</v>
      </c>
      <c r="C179" s="191"/>
      <c r="D179" s="318" t="e">
        <f t="shared" si="425"/>
        <v>#DIV/0!</v>
      </c>
      <c r="E179" s="321" t="e">
        <f t="shared" si="426"/>
        <v>#DIV/0!</v>
      </c>
      <c r="F179" s="321" t="e">
        <f t="shared" si="427"/>
        <v>#DIV/0!</v>
      </c>
      <c r="G179" s="324" t="e">
        <f t="shared" si="428"/>
        <v>#DIV/0!</v>
      </c>
      <c r="H179" s="307"/>
      <c r="I179" s="310"/>
      <c r="J179" s="310"/>
      <c r="K179" s="310"/>
      <c r="L179" s="310"/>
      <c r="M179" s="310"/>
      <c r="N179" s="310"/>
      <c r="O179" s="310"/>
      <c r="P179" s="302"/>
      <c r="Q179" s="304"/>
      <c r="R179" s="307"/>
      <c r="S179" s="310"/>
      <c r="T179" s="310"/>
      <c r="U179" s="310"/>
      <c r="V179" s="310"/>
      <c r="W179" s="310"/>
      <c r="X179" s="337"/>
      <c r="Y179" s="307"/>
      <c r="Z179" s="310"/>
      <c r="AA179" s="310"/>
      <c r="AB179" s="310"/>
      <c r="AC179" s="310"/>
      <c r="AD179" s="310"/>
      <c r="AE179" s="337"/>
      <c r="AF179" s="307"/>
      <c r="AG179" s="302"/>
      <c r="AH179" s="302"/>
      <c r="AI179" s="302"/>
      <c r="AJ179" s="302"/>
      <c r="AK179" s="302"/>
      <c r="AL179" s="304"/>
      <c r="AM179" s="334"/>
      <c r="AN179" s="302"/>
      <c r="AO179" s="302"/>
      <c r="AP179" s="302"/>
      <c r="AQ179" s="302"/>
      <c r="AR179" s="302"/>
      <c r="AS179" s="302"/>
      <c r="AT179" s="334"/>
      <c r="AU179" s="302"/>
      <c r="AV179" s="302"/>
      <c r="AW179" s="302"/>
      <c r="AX179" s="302"/>
      <c r="AY179" s="302"/>
      <c r="AZ179" s="304"/>
      <c r="BA179" s="334"/>
      <c r="BB179" s="334"/>
      <c r="BC179" s="334"/>
      <c r="BD179" s="334"/>
      <c r="BE179" s="334"/>
      <c r="BF179" s="334"/>
      <c r="BG179" s="334"/>
      <c r="BH179" s="334"/>
      <c r="BI179" s="302"/>
      <c r="BJ179" s="302"/>
      <c r="BK179" s="302"/>
      <c r="BL179" s="302"/>
      <c r="BM179" s="302"/>
      <c r="BN179" s="304"/>
      <c r="BO179" s="217"/>
      <c r="BP179" s="217"/>
      <c r="BQ179" s="217"/>
      <c r="BR179" s="217"/>
      <c r="BS179" s="217"/>
      <c r="BT179" s="217"/>
      <c r="BU179" s="219"/>
      <c r="BV179" s="219"/>
      <c r="BW179" s="219"/>
      <c r="BX179" s="219"/>
      <c r="BY179" s="219"/>
      <c r="BZ179" s="219"/>
      <c r="CA179" s="219"/>
      <c r="CB179" s="219"/>
      <c r="CC179" s="219"/>
      <c r="CD179" s="219"/>
      <c r="CE179" s="219"/>
      <c r="CF179" s="219"/>
      <c r="CG179" s="219"/>
      <c r="CH179" s="219"/>
      <c r="CI179" s="219"/>
      <c r="CJ179" s="219"/>
      <c r="CK179" s="219"/>
      <c r="CL179" s="219"/>
      <c r="CM179" s="221"/>
      <c r="CN179" s="221"/>
      <c r="CO179" s="103"/>
      <c r="CP179" s="99"/>
      <c r="CQ179" s="99"/>
      <c r="CR179" s="100"/>
      <c r="CS179" s="394"/>
      <c r="CT179" s="394"/>
      <c r="CU179" s="394"/>
      <c r="CV179" s="102"/>
      <c r="CW179" s="102"/>
      <c r="CX179" s="102"/>
      <c r="CY179" s="409"/>
      <c r="CZ179" s="394"/>
      <c r="DA179" s="394"/>
      <c r="DB179" s="394"/>
      <c r="DC179" s="394"/>
      <c r="DD179" s="394"/>
      <c r="DE179" s="394"/>
      <c r="DF179" s="102"/>
      <c r="DG179" s="102"/>
      <c r="DH179" s="102"/>
      <c r="DI179" s="394"/>
      <c r="DJ179" s="394"/>
      <c r="DK179" s="394"/>
      <c r="DL179" s="394"/>
      <c r="DM179" s="394"/>
      <c r="DN179" s="394"/>
      <c r="DO179" s="394"/>
      <c r="DP179" s="102"/>
      <c r="DQ179" s="102"/>
      <c r="DR179" s="102"/>
      <c r="DS179" s="407"/>
      <c r="DT179" s="394"/>
      <c r="DU179" s="394"/>
      <c r="DV179" s="394"/>
      <c r="DW179" s="394"/>
      <c r="DX179" s="394"/>
      <c r="DY179" s="394"/>
      <c r="DZ179" s="102"/>
      <c r="EA179" s="102"/>
      <c r="EB179" s="102"/>
      <c r="EC179" s="102"/>
      <c r="ED179" s="102"/>
      <c r="EE179" s="102"/>
      <c r="EF179" s="102"/>
      <c r="EG179" s="102"/>
      <c r="EH179" s="102"/>
      <c r="EI179" s="102"/>
      <c r="EJ179" s="102"/>
      <c r="EK179" s="102"/>
      <c r="EL179" s="395"/>
      <c r="EM179" s="394"/>
      <c r="EN179" s="394"/>
      <c r="EO179" s="394"/>
      <c r="EP179" s="394"/>
      <c r="EQ179" s="394"/>
      <c r="ER179" s="394"/>
      <c r="ES179" s="394"/>
      <c r="ET179" s="394"/>
      <c r="EU179" s="394"/>
      <c r="EV179" s="394"/>
      <c r="EW179" s="394"/>
      <c r="EX179" s="394"/>
      <c r="EY179" s="394"/>
    </row>
    <row r="180" spans="1:155" s="398" customFormat="1" ht="14.1" customHeight="1">
      <c r="A180" s="173">
        <v>43</v>
      </c>
      <c r="B180" s="397" t="s">
        <v>301</v>
      </c>
      <c r="C180" s="189"/>
      <c r="D180" s="316" t="e">
        <f t="shared" si="425"/>
        <v>#DIV/0!</v>
      </c>
      <c r="E180" s="319" t="e">
        <f t="shared" si="426"/>
        <v>#DIV/0!</v>
      </c>
      <c r="F180" s="319" t="e">
        <f t="shared" si="427"/>
        <v>#DIV/0!</v>
      </c>
      <c r="G180" s="322" t="e">
        <f t="shared" si="428"/>
        <v>#DIV/0!</v>
      </c>
      <c r="H180" s="332"/>
      <c r="I180" s="301"/>
      <c r="J180" s="301"/>
      <c r="K180" s="301">
        <v>0</v>
      </c>
      <c r="L180" s="301">
        <v>0</v>
      </c>
      <c r="M180" s="301"/>
      <c r="N180" s="301"/>
      <c r="O180" s="301"/>
      <c r="P180" s="301"/>
      <c r="Q180" s="303"/>
      <c r="R180" s="305"/>
      <c r="S180" s="308"/>
      <c r="T180" s="308"/>
      <c r="U180" s="308">
        <v>0</v>
      </c>
      <c r="V180" s="308">
        <v>0</v>
      </c>
      <c r="W180" s="308"/>
      <c r="X180" s="335">
        <v>20.5</v>
      </c>
      <c r="Y180" s="305">
        <f t="shared" ref="Y180:AD180" si="526">H180*R180*10</f>
        <v>0</v>
      </c>
      <c r="Z180" s="308">
        <f t="shared" si="526"/>
        <v>0</v>
      </c>
      <c r="AA180" s="308">
        <f t="shared" si="526"/>
        <v>0</v>
      </c>
      <c r="AB180" s="308">
        <f t="shared" si="526"/>
        <v>0</v>
      </c>
      <c r="AC180" s="308">
        <f t="shared" si="526"/>
        <v>0</v>
      </c>
      <c r="AD180" s="308">
        <f t="shared" si="526"/>
        <v>0</v>
      </c>
      <c r="AE180" s="335">
        <f t="shared" ref="AE180" si="527">O180*X180*10</f>
        <v>0</v>
      </c>
      <c r="AF180" s="305"/>
      <c r="AG180" s="301"/>
      <c r="AH180" s="301"/>
      <c r="AI180" s="301">
        <v>0</v>
      </c>
      <c r="AJ180" s="301">
        <v>0</v>
      </c>
      <c r="AK180" s="301"/>
      <c r="AL180" s="303"/>
      <c r="AM180" s="332">
        <f t="shared" ref="AM180" si="528">AF180*10*H180</f>
        <v>0</v>
      </c>
      <c r="AN180" s="301">
        <f t="shared" ref="AN180:AS180" si="529">AG180*I180*10</f>
        <v>0</v>
      </c>
      <c r="AO180" s="301">
        <f t="shared" si="529"/>
        <v>0</v>
      </c>
      <c r="AP180" s="301">
        <f t="shared" si="529"/>
        <v>0</v>
      </c>
      <c r="AQ180" s="301">
        <f t="shared" si="529"/>
        <v>0</v>
      </c>
      <c r="AR180" s="301">
        <f t="shared" si="529"/>
        <v>0</v>
      </c>
      <c r="AS180" s="301">
        <f t="shared" si="529"/>
        <v>0</v>
      </c>
      <c r="AT180" s="332"/>
      <c r="AU180" s="301"/>
      <c r="AV180" s="301"/>
      <c r="AW180" s="301"/>
      <c r="AX180" s="301"/>
      <c r="AY180" s="301"/>
      <c r="AZ180" s="303"/>
      <c r="BA180" s="332">
        <f t="shared" ref="BA180:BG180" si="530">(H180*3*1000)/(1-AT180/100)</f>
        <v>0</v>
      </c>
      <c r="BB180" s="332">
        <f t="shared" si="530"/>
        <v>0</v>
      </c>
      <c r="BC180" s="332">
        <f t="shared" si="530"/>
        <v>0</v>
      </c>
      <c r="BD180" s="332">
        <f t="shared" si="530"/>
        <v>0</v>
      </c>
      <c r="BE180" s="332">
        <f t="shared" si="530"/>
        <v>0</v>
      </c>
      <c r="BF180" s="332">
        <f t="shared" si="530"/>
        <v>0</v>
      </c>
      <c r="BG180" s="332">
        <f t="shared" si="530"/>
        <v>0</v>
      </c>
      <c r="BH180" s="332">
        <f t="shared" ref="BH180" si="531">H180+I180+J180+K180+L180</f>
        <v>0</v>
      </c>
      <c r="BI180" s="301">
        <f t="shared" ref="BI180" si="532">M180+N180+O180</f>
        <v>0</v>
      </c>
      <c r="BJ180" s="301">
        <f t="shared" ref="BJ180" si="533">BH180+BI180</f>
        <v>0</v>
      </c>
      <c r="BK180" s="301">
        <f t="shared" ref="BK180" si="534">Y180+Z180+AA180+AB180+AC180+AD180+AE180</f>
        <v>0</v>
      </c>
      <c r="BL180" s="301">
        <f t="shared" ref="BL180" si="535">AM180+AN180+AO180+AP180+AQ180+AR180+AS180</f>
        <v>0</v>
      </c>
      <c r="BM180" s="301">
        <f t="shared" ref="BM180" si="536">BJ180*3*1000</f>
        <v>0</v>
      </c>
      <c r="BN180" s="303">
        <f t="shared" ref="BN180" si="537">BA180+BB180+BC180+BD180+BE180+BF180+BG180</f>
        <v>0</v>
      </c>
      <c r="BO180" s="216">
        <v>74</v>
      </c>
      <c r="BP180" s="216">
        <v>0.44</v>
      </c>
      <c r="BQ180" s="216">
        <v>3.8</v>
      </c>
      <c r="BR180" s="216">
        <v>3.26</v>
      </c>
      <c r="BS180" s="216">
        <v>0.49</v>
      </c>
      <c r="BT180" s="216">
        <v>72.8</v>
      </c>
      <c r="BU180" s="218">
        <v>7.62</v>
      </c>
      <c r="BV180" s="218">
        <v>2.65</v>
      </c>
      <c r="BW180" s="218">
        <v>2400</v>
      </c>
      <c r="BX180" s="218"/>
      <c r="BY180" s="218"/>
      <c r="BZ180" s="218"/>
      <c r="CA180" s="218"/>
      <c r="CB180" s="218"/>
      <c r="CC180" s="218"/>
      <c r="CD180" s="218"/>
      <c r="CE180" s="218"/>
      <c r="CF180" s="218"/>
      <c r="CG180" s="218"/>
      <c r="CH180" s="218"/>
      <c r="CI180" s="218"/>
      <c r="CJ180" s="218"/>
      <c r="CK180" s="218"/>
      <c r="CL180" s="218"/>
      <c r="CM180" s="220"/>
      <c r="CN180" s="220"/>
      <c r="CO180" s="139"/>
      <c r="CP180" s="122"/>
      <c r="CQ180" s="122"/>
      <c r="CR180" s="123"/>
      <c r="CS180" s="169"/>
      <c r="CT180" s="169"/>
      <c r="CU180" s="169"/>
      <c r="CV180" s="79"/>
      <c r="CW180" s="79"/>
      <c r="CX180" s="79"/>
      <c r="CY180" s="410"/>
      <c r="CZ180" s="169"/>
      <c r="DA180" s="169"/>
      <c r="DB180" s="169"/>
      <c r="DC180" s="169"/>
      <c r="DD180" s="169"/>
      <c r="DE180" s="169"/>
      <c r="DF180" s="79"/>
      <c r="DG180" s="79"/>
      <c r="DH180" s="79"/>
      <c r="DI180" s="169"/>
      <c r="DJ180" s="169"/>
      <c r="DK180" s="169"/>
      <c r="DL180" s="169"/>
      <c r="DM180" s="169"/>
      <c r="DN180" s="169"/>
      <c r="DO180" s="169"/>
      <c r="DP180" s="79"/>
      <c r="DQ180" s="79"/>
      <c r="DR180" s="79"/>
      <c r="DS180" s="405"/>
      <c r="DT180" s="169"/>
      <c r="DU180" s="169"/>
      <c r="DV180" s="169"/>
      <c r="DW180" s="169"/>
      <c r="DX180" s="169"/>
      <c r="DY180" s="169"/>
      <c r="DZ180" s="79"/>
      <c r="EA180" s="79"/>
      <c r="EB180" s="79"/>
      <c r="EC180" s="79"/>
      <c r="ED180" s="79"/>
      <c r="EE180" s="79"/>
      <c r="EF180" s="79"/>
      <c r="EG180" s="79"/>
      <c r="EH180" s="79"/>
      <c r="EI180" s="79"/>
      <c r="EJ180" s="79"/>
      <c r="EK180" s="79"/>
      <c r="EL180" s="403"/>
      <c r="EM180" s="169"/>
      <c r="EN180" s="169"/>
      <c r="EO180" s="169"/>
      <c r="EP180" s="169"/>
      <c r="EQ180" s="169"/>
      <c r="ER180" s="169"/>
      <c r="ES180" s="169"/>
      <c r="ET180" s="169"/>
      <c r="EU180" s="169"/>
      <c r="EV180" s="169"/>
      <c r="EW180" s="169"/>
      <c r="EX180" s="169"/>
      <c r="EY180" s="169"/>
    </row>
    <row r="181" spans="1:155" ht="14.1" customHeight="1">
      <c r="A181" s="174"/>
      <c r="B181" s="397" t="s">
        <v>301</v>
      </c>
      <c r="C181" s="190"/>
      <c r="D181" s="317" t="e">
        <f t="shared" si="425"/>
        <v>#DIV/0!</v>
      </c>
      <c r="E181" s="320" t="e">
        <f t="shared" si="426"/>
        <v>#DIV/0!</v>
      </c>
      <c r="F181" s="320" t="e">
        <f t="shared" si="427"/>
        <v>#DIV/0!</v>
      </c>
      <c r="G181" s="323" t="e">
        <f t="shared" si="428"/>
        <v>#DIV/0!</v>
      </c>
      <c r="H181" s="333"/>
      <c r="I181" s="211"/>
      <c r="J181" s="211"/>
      <c r="K181" s="211"/>
      <c r="L181" s="211"/>
      <c r="M181" s="211"/>
      <c r="N181" s="211"/>
      <c r="O181" s="211"/>
      <c r="P181" s="211"/>
      <c r="Q181" s="214"/>
      <c r="R181" s="306"/>
      <c r="S181" s="309"/>
      <c r="T181" s="309"/>
      <c r="U181" s="309"/>
      <c r="V181" s="309"/>
      <c r="W181" s="309"/>
      <c r="X181" s="336"/>
      <c r="Y181" s="306"/>
      <c r="Z181" s="309"/>
      <c r="AA181" s="309"/>
      <c r="AB181" s="309"/>
      <c r="AC181" s="309"/>
      <c r="AD181" s="309"/>
      <c r="AE181" s="336"/>
      <c r="AF181" s="306"/>
      <c r="AG181" s="211"/>
      <c r="AH181" s="211"/>
      <c r="AI181" s="211"/>
      <c r="AJ181" s="211"/>
      <c r="AK181" s="211"/>
      <c r="AL181" s="214"/>
      <c r="AM181" s="333"/>
      <c r="AN181" s="211"/>
      <c r="AO181" s="211"/>
      <c r="AP181" s="211"/>
      <c r="AQ181" s="211"/>
      <c r="AR181" s="211"/>
      <c r="AS181" s="211"/>
      <c r="AT181" s="333"/>
      <c r="AU181" s="211"/>
      <c r="AV181" s="211"/>
      <c r="AW181" s="211"/>
      <c r="AX181" s="211"/>
      <c r="AY181" s="211"/>
      <c r="AZ181" s="214"/>
      <c r="BA181" s="333"/>
      <c r="BB181" s="333"/>
      <c r="BC181" s="333"/>
      <c r="BD181" s="333"/>
      <c r="BE181" s="333"/>
      <c r="BF181" s="333"/>
      <c r="BG181" s="333"/>
      <c r="BH181" s="333"/>
      <c r="BI181" s="211"/>
      <c r="BJ181" s="211"/>
      <c r="BK181" s="211"/>
      <c r="BL181" s="211"/>
      <c r="BM181" s="211"/>
      <c r="BN181" s="214"/>
      <c r="BO181" s="196"/>
      <c r="BP181" s="196"/>
      <c r="BQ181" s="196"/>
      <c r="BR181" s="196"/>
      <c r="BS181" s="196"/>
      <c r="BT181" s="196"/>
      <c r="BU181" s="193"/>
      <c r="BV181" s="193"/>
      <c r="BW181" s="193"/>
      <c r="BX181" s="193"/>
      <c r="BY181" s="193"/>
      <c r="BZ181" s="193"/>
      <c r="CA181" s="193"/>
      <c r="CB181" s="193"/>
      <c r="CC181" s="193"/>
      <c r="CD181" s="193"/>
      <c r="CE181" s="193"/>
      <c r="CF181" s="193"/>
      <c r="CG181" s="193"/>
      <c r="CH181" s="193"/>
      <c r="CI181" s="193"/>
      <c r="CJ181" s="193"/>
      <c r="CK181" s="193"/>
      <c r="CL181" s="193"/>
      <c r="CM181" s="205"/>
      <c r="CN181" s="205"/>
      <c r="CO181" s="24"/>
      <c r="CP181" s="21"/>
      <c r="CQ181" s="21"/>
      <c r="CR181" s="22"/>
      <c r="CS181" s="54"/>
      <c r="CT181" s="54"/>
      <c r="CU181" s="54"/>
      <c r="CV181" s="8"/>
      <c r="CW181" s="8"/>
      <c r="CX181" s="8"/>
      <c r="CY181" s="408"/>
      <c r="CZ181" s="54"/>
      <c r="DA181" s="54"/>
      <c r="DB181" s="54"/>
      <c r="DC181" s="54"/>
      <c r="DD181" s="54"/>
      <c r="DE181" s="54"/>
      <c r="DF181" s="8"/>
      <c r="DG181" s="8"/>
      <c r="DH181" s="8"/>
      <c r="DI181" s="54"/>
      <c r="DJ181" s="54"/>
      <c r="DK181" s="54"/>
      <c r="DL181" s="54"/>
      <c r="DM181" s="54"/>
      <c r="DN181" s="54"/>
      <c r="DO181" s="54"/>
      <c r="DP181" s="8"/>
      <c r="DQ181" s="8"/>
      <c r="DR181" s="8"/>
      <c r="DS181" s="406"/>
      <c r="DT181" s="54"/>
      <c r="DU181" s="54"/>
      <c r="DV181" s="54"/>
      <c r="DW181" s="54"/>
      <c r="DX181" s="54"/>
      <c r="DY181" s="54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404"/>
      <c r="EM181" s="54"/>
      <c r="EN181" s="54"/>
      <c r="EO181" s="54"/>
      <c r="EP181" s="54"/>
      <c r="EQ181" s="54"/>
      <c r="ER181" s="54"/>
      <c r="ES181" s="54"/>
      <c r="ET181" s="54"/>
      <c r="EU181" s="54"/>
      <c r="EV181" s="54"/>
      <c r="EW181" s="54"/>
      <c r="EX181" s="54"/>
      <c r="EY181" s="54"/>
    </row>
    <row r="182" spans="1:155" ht="14.1" customHeight="1">
      <c r="A182" s="174"/>
      <c r="B182" s="397" t="s">
        <v>301</v>
      </c>
      <c r="C182" s="190"/>
      <c r="D182" s="317" t="e">
        <f t="shared" si="425"/>
        <v>#DIV/0!</v>
      </c>
      <c r="E182" s="320" t="e">
        <f t="shared" si="426"/>
        <v>#DIV/0!</v>
      </c>
      <c r="F182" s="320" t="e">
        <f t="shared" si="427"/>
        <v>#DIV/0!</v>
      </c>
      <c r="G182" s="323" t="e">
        <f t="shared" si="428"/>
        <v>#DIV/0!</v>
      </c>
      <c r="H182" s="333"/>
      <c r="I182" s="211"/>
      <c r="J182" s="211"/>
      <c r="K182" s="211"/>
      <c r="L182" s="211"/>
      <c r="M182" s="211"/>
      <c r="N182" s="211"/>
      <c r="O182" s="211"/>
      <c r="P182" s="211"/>
      <c r="Q182" s="214"/>
      <c r="R182" s="306"/>
      <c r="S182" s="309"/>
      <c r="T182" s="309"/>
      <c r="U182" s="309"/>
      <c r="V182" s="309"/>
      <c r="W182" s="309"/>
      <c r="X182" s="336"/>
      <c r="Y182" s="306"/>
      <c r="Z182" s="309"/>
      <c r="AA182" s="309"/>
      <c r="AB182" s="309"/>
      <c r="AC182" s="309"/>
      <c r="AD182" s="309"/>
      <c r="AE182" s="336"/>
      <c r="AF182" s="306"/>
      <c r="AG182" s="211"/>
      <c r="AH182" s="211"/>
      <c r="AI182" s="211"/>
      <c r="AJ182" s="211"/>
      <c r="AK182" s="211"/>
      <c r="AL182" s="214"/>
      <c r="AM182" s="333"/>
      <c r="AN182" s="211"/>
      <c r="AO182" s="211"/>
      <c r="AP182" s="211"/>
      <c r="AQ182" s="211"/>
      <c r="AR182" s="211"/>
      <c r="AS182" s="211"/>
      <c r="AT182" s="333"/>
      <c r="AU182" s="211"/>
      <c r="AV182" s="211"/>
      <c r="AW182" s="211"/>
      <c r="AX182" s="211"/>
      <c r="AY182" s="211"/>
      <c r="AZ182" s="214"/>
      <c r="BA182" s="333"/>
      <c r="BB182" s="333"/>
      <c r="BC182" s="333"/>
      <c r="BD182" s="333"/>
      <c r="BE182" s="333"/>
      <c r="BF182" s="333"/>
      <c r="BG182" s="333"/>
      <c r="BH182" s="333"/>
      <c r="BI182" s="211"/>
      <c r="BJ182" s="211"/>
      <c r="BK182" s="211"/>
      <c r="BL182" s="211"/>
      <c r="BM182" s="211"/>
      <c r="BN182" s="214"/>
      <c r="BO182" s="196"/>
      <c r="BP182" s="196"/>
      <c r="BQ182" s="196"/>
      <c r="BR182" s="196"/>
      <c r="BS182" s="196"/>
      <c r="BT182" s="196"/>
      <c r="BU182" s="193"/>
      <c r="BV182" s="193"/>
      <c r="BW182" s="193"/>
      <c r="BX182" s="193"/>
      <c r="BY182" s="193"/>
      <c r="BZ182" s="193"/>
      <c r="CA182" s="193"/>
      <c r="CB182" s="193"/>
      <c r="CC182" s="193"/>
      <c r="CD182" s="193"/>
      <c r="CE182" s="193"/>
      <c r="CF182" s="193"/>
      <c r="CG182" s="193"/>
      <c r="CH182" s="193"/>
      <c r="CI182" s="193"/>
      <c r="CJ182" s="193"/>
      <c r="CK182" s="193"/>
      <c r="CL182" s="193"/>
      <c r="CM182" s="205"/>
      <c r="CN182" s="205"/>
      <c r="CO182" s="24"/>
      <c r="CP182" s="21"/>
      <c r="CQ182" s="21"/>
      <c r="CR182" s="22"/>
      <c r="CS182" s="54"/>
      <c r="CT182" s="54"/>
      <c r="CU182" s="54"/>
      <c r="CV182" s="8"/>
      <c r="CW182" s="8"/>
      <c r="CX182" s="8"/>
      <c r="CY182" s="408"/>
      <c r="CZ182" s="54"/>
      <c r="DA182" s="54"/>
      <c r="DB182" s="54"/>
      <c r="DC182" s="54"/>
      <c r="DD182" s="54"/>
      <c r="DE182" s="54"/>
      <c r="DF182" s="8"/>
      <c r="DG182" s="8"/>
      <c r="DH182" s="8"/>
      <c r="DI182" s="54"/>
      <c r="DJ182" s="54"/>
      <c r="DK182" s="54"/>
      <c r="DL182" s="54"/>
      <c r="DM182" s="54"/>
      <c r="DN182" s="54"/>
      <c r="DO182" s="54"/>
      <c r="DP182" s="8"/>
      <c r="DQ182" s="8"/>
      <c r="DR182" s="8"/>
      <c r="DS182" s="406"/>
      <c r="DT182" s="54"/>
      <c r="DU182" s="54"/>
      <c r="DV182" s="54"/>
      <c r="DW182" s="54"/>
      <c r="DX182" s="54"/>
      <c r="DY182" s="54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404"/>
      <c r="EM182" s="54"/>
      <c r="EN182" s="54"/>
      <c r="EO182" s="54"/>
      <c r="EP182" s="54"/>
      <c r="EQ182" s="54"/>
      <c r="ER182" s="54"/>
      <c r="ES182" s="54"/>
      <c r="ET182" s="54"/>
      <c r="EU182" s="54"/>
      <c r="EV182" s="54"/>
      <c r="EW182" s="54"/>
      <c r="EX182" s="54"/>
      <c r="EY182" s="54"/>
    </row>
    <row r="183" spans="1:155" s="401" customFormat="1" ht="14.1" customHeight="1" thickBot="1">
      <c r="A183" s="175"/>
      <c r="B183" s="400" t="s">
        <v>301</v>
      </c>
      <c r="C183" s="191"/>
      <c r="D183" s="318" t="e">
        <f t="shared" si="425"/>
        <v>#DIV/0!</v>
      </c>
      <c r="E183" s="321" t="e">
        <f t="shared" si="426"/>
        <v>#DIV/0!</v>
      </c>
      <c r="F183" s="321" t="e">
        <f t="shared" si="427"/>
        <v>#DIV/0!</v>
      </c>
      <c r="G183" s="324" t="e">
        <f t="shared" si="428"/>
        <v>#DIV/0!</v>
      </c>
      <c r="H183" s="334"/>
      <c r="I183" s="302"/>
      <c r="J183" s="302"/>
      <c r="K183" s="302"/>
      <c r="L183" s="302"/>
      <c r="M183" s="302"/>
      <c r="N183" s="302"/>
      <c r="O183" s="302"/>
      <c r="P183" s="302"/>
      <c r="Q183" s="304"/>
      <c r="R183" s="307"/>
      <c r="S183" s="310"/>
      <c r="T183" s="310"/>
      <c r="U183" s="310"/>
      <c r="V183" s="310"/>
      <c r="W183" s="310"/>
      <c r="X183" s="337"/>
      <c r="Y183" s="307"/>
      <c r="Z183" s="310"/>
      <c r="AA183" s="310"/>
      <c r="AB183" s="310"/>
      <c r="AC183" s="310"/>
      <c r="AD183" s="310"/>
      <c r="AE183" s="337"/>
      <c r="AF183" s="307"/>
      <c r="AG183" s="302"/>
      <c r="AH183" s="302"/>
      <c r="AI183" s="302"/>
      <c r="AJ183" s="302"/>
      <c r="AK183" s="302"/>
      <c r="AL183" s="304"/>
      <c r="AM183" s="334"/>
      <c r="AN183" s="302"/>
      <c r="AO183" s="302"/>
      <c r="AP183" s="302"/>
      <c r="AQ183" s="302"/>
      <c r="AR183" s="302"/>
      <c r="AS183" s="302"/>
      <c r="AT183" s="334"/>
      <c r="AU183" s="302"/>
      <c r="AV183" s="302"/>
      <c r="AW183" s="302"/>
      <c r="AX183" s="302"/>
      <c r="AY183" s="302"/>
      <c r="AZ183" s="304"/>
      <c r="BA183" s="334"/>
      <c r="BB183" s="334"/>
      <c r="BC183" s="334"/>
      <c r="BD183" s="334"/>
      <c r="BE183" s="334"/>
      <c r="BF183" s="334"/>
      <c r="BG183" s="334"/>
      <c r="BH183" s="334"/>
      <c r="BI183" s="302"/>
      <c r="BJ183" s="302"/>
      <c r="BK183" s="302"/>
      <c r="BL183" s="302"/>
      <c r="BM183" s="302"/>
      <c r="BN183" s="304"/>
      <c r="BO183" s="217"/>
      <c r="BP183" s="217"/>
      <c r="BQ183" s="217"/>
      <c r="BR183" s="217"/>
      <c r="BS183" s="217"/>
      <c r="BT183" s="217"/>
      <c r="BU183" s="219"/>
      <c r="BV183" s="219"/>
      <c r="BW183" s="219"/>
      <c r="BX183" s="219"/>
      <c r="BY183" s="219"/>
      <c r="BZ183" s="219"/>
      <c r="CA183" s="219"/>
      <c r="CB183" s="219"/>
      <c r="CC183" s="219"/>
      <c r="CD183" s="219"/>
      <c r="CE183" s="219"/>
      <c r="CF183" s="219"/>
      <c r="CG183" s="219"/>
      <c r="CH183" s="219"/>
      <c r="CI183" s="219"/>
      <c r="CJ183" s="219"/>
      <c r="CK183" s="219"/>
      <c r="CL183" s="219"/>
      <c r="CM183" s="221"/>
      <c r="CN183" s="221"/>
      <c r="CO183" s="103"/>
      <c r="CP183" s="99"/>
      <c r="CQ183" s="99"/>
      <c r="CR183" s="100"/>
      <c r="CS183" s="394"/>
      <c r="CT183" s="394"/>
      <c r="CU183" s="394"/>
      <c r="CV183" s="102"/>
      <c r="CW183" s="102"/>
      <c r="CX183" s="102"/>
      <c r="CY183" s="409"/>
      <c r="CZ183" s="394"/>
      <c r="DA183" s="394"/>
      <c r="DB183" s="394"/>
      <c r="DC183" s="394"/>
      <c r="DD183" s="394"/>
      <c r="DE183" s="394"/>
      <c r="DF183" s="102"/>
      <c r="DG183" s="102"/>
      <c r="DH183" s="102"/>
      <c r="DI183" s="394"/>
      <c r="DJ183" s="394"/>
      <c r="DK183" s="394"/>
      <c r="DL183" s="394"/>
      <c r="DM183" s="394"/>
      <c r="DN183" s="394"/>
      <c r="DO183" s="394"/>
      <c r="DP183" s="102"/>
      <c r="DQ183" s="102"/>
      <c r="DR183" s="102"/>
      <c r="DS183" s="407"/>
      <c r="DT183" s="394"/>
      <c r="DU183" s="394"/>
      <c r="DV183" s="394"/>
      <c r="DW183" s="394"/>
      <c r="DX183" s="394"/>
      <c r="DY183" s="394"/>
      <c r="DZ183" s="102"/>
      <c r="EA183" s="102"/>
      <c r="EB183" s="102"/>
      <c r="EC183" s="102"/>
      <c r="ED183" s="102"/>
      <c r="EE183" s="102"/>
      <c r="EF183" s="102"/>
      <c r="EG183" s="102"/>
      <c r="EH183" s="102"/>
      <c r="EI183" s="102"/>
      <c r="EJ183" s="102"/>
      <c r="EK183" s="102"/>
      <c r="EL183" s="395"/>
      <c r="EM183" s="394"/>
      <c r="EN183" s="394"/>
      <c r="EO183" s="394"/>
      <c r="EP183" s="394"/>
      <c r="EQ183" s="394"/>
      <c r="ER183" s="394"/>
      <c r="ES183" s="394"/>
      <c r="ET183" s="394"/>
      <c r="EU183" s="394"/>
      <c r="EV183" s="394"/>
      <c r="EW183" s="394"/>
      <c r="EX183" s="394"/>
      <c r="EY183" s="394"/>
    </row>
    <row r="184" spans="1:155" s="398" customFormat="1" ht="14.1" customHeight="1">
      <c r="A184" s="173">
        <v>44</v>
      </c>
      <c r="B184" s="397" t="s">
        <v>302</v>
      </c>
      <c r="C184" s="189"/>
      <c r="D184" s="316" t="e">
        <f t="shared" si="425"/>
        <v>#DIV/0!</v>
      </c>
      <c r="E184" s="319" t="e">
        <f t="shared" si="426"/>
        <v>#DIV/0!</v>
      </c>
      <c r="F184" s="319" t="e">
        <f t="shared" si="427"/>
        <v>#DIV/0!</v>
      </c>
      <c r="G184" s="322" t="e">
        <f t="shared" si="428"/>
        <v>#DIV/0!</v>
      </c>
      <c r="H184" s="332"/>
      <c r="I184" s="301"/>
      <c r="J184" s="301"/>
      <c r="K184" s="301">
        <v>0</v>
      </c>
      <c r="L184" s="301">
        <v>0</v>
      </c>
      <c r="M184" s="301"/>
      <c r="N184" s="301"/>
      <c r="O184" s="301"/>
      <c r="P184" s="301"/>
      <c r="Q184" s="303"/>
      <c r="R184" s="305"/>
      <c r="S184" s="308"/>
      <c r="T184" s="308"/>
      <c r="U184" s="308">
        <v>0</v>
      </c>
      <c r="V184" s="308">
        <v>0</v>
      </c>
      <c r="W184" s="308"/>
      <c r="X184" s="335">
        <v>20.5</v>
      </c>
      <c r="Y184" s="305">
        <f t="shared" ref="Y184:AD184" si="538">H184*R184*10</f>
        <v>0</v>
      </c>
      <c r="Z184" s="308">
        <f t="shared" si="538"/>
        <v>0</v>
      </c>
      <c r="AA184" s="308">
        <f t="shared" si="538"/>
        <v>0</v>
      </c>
      <c r="AB184" s="308">
        <f t="shared" si="538"/>
        <v>0</v>
      </c>
      <c r="AC184" s="308">
        <f t="shared" si="538"/>
        <v>0</v>
      </c>
      <c r="AD184" s="308">
        <f t="shared" si="538"/>
        <v>0</v>
      </c>
      <c r="AE184" s="335">
        <f t="shared" ref="AE184" si="539">O184*X184*10</f>
        <v>0</v>
      </c>
      <c r="AF184" s="305"/>
      <c r="AG184" s="301"/>
      <c r="AH184" s="301"/>
      <c r="AI184" s="301">
        <v>0</v>
      </c>
      <c r="AJ184" s="301">
        <v>0</v>
      </c>
      <c r="AK184" s="301"/>
      <c r="AL184" s="303"/>
      <c r="AM184" s="332">
        <f t="shared" ref="AM184" si="540">AF184*10*H184</f>
        <v>0</v>
      </c>
      <c r="AN184" s="301">
        <f t="shared" ref="AN184:AS184" si="541">AG184*I184*10</f>
        <v>0</v>
      </c>
      <c r="AO184" s="301">
        <f t="shared" si="541"/>
        <v>0</v>
      </c>
      <c r="AP184" s="301">
        <f t="shared" si="541"/>
        <v>0</v>
      </c>
      <c r="AQ184" s="301">
        <f t="shared" si="541"/>
        <v>0</v>
      </c>
      <c r="AR184" s="301">
        <f t="shared" si="541"/>
        <v>0</v>
      </c>
      <c r="AS184" s="301">
        <f t="shared" si="541"/>
        <v>0</v>
      </c>
      <c r="AT184" s="332"/>
      <c r="AU184" s="301"/>
      <c r="AV184" s="301"/>
      <c r="AW184" s="301"/>
      <c r="AX184" s="301"/>
      <c r="AY184" s="301"/>
      <c r="AZ184" s="303"/>
      <c r="BA184" s="332">
        <f t="shared" ref="BA184:BG184" si="542">(H184*3*1000)/(1-AT184/100)</f>
        <v>0</v>
      </c>
      <c r="BB184" s="332">
        <f t="shared" si="542"/>
        <v>0</v>
      </c>
      <c r="BC184" s="332">
        <f t="shared" si="542"/>
        <v>0</v>
      </c>
      <c r="BD184" s="332">
        <f t="shared" si="542"/>
        <v>0</v>
      </c>
      <c r="BE184" s="332">
        <f t="shared" si="542"/>
        <v>0</v>
      </c>
      <c r="BF184" s="332">
        <f t="shared" si="542"/>
        <v>0</v>
      </c>
      <c r="BG184" s="332">
        <f t="shared" si="542"/>
        <v>0</v>
      </c>
      <c r="BH184" s="332">
        <f t="shared" ref="BH184" si="543">H184+I184+J184+K184+L184</f>
        <v>0</v>
      </c>
      <c r="BI184" s="301">
        <f t="shared" ref="BI184" si="544">M184+N184+O184</f>
        <v>0</v>
      </c>
      <c r="BJ184" s="301">
        <f t="shared" ref="BJ184" si="545">BH184+BI184</f>
        <v>0</v>
      </c>
      <c r="BK184" s="301">
        <f t="shared" ref="BK184" si="546">Y184+Z184+AA184+AB184+AC184+AD184+AE184</f>
        <v>0</v>
      </c>
      <c r="BL184" s="301">
        <f t="shared" ref="BL184" si="547">AM184+AN184+AO184+AP184+AQ184+AR184+AS184</f>
        <v>0</v>
      </c>
      <c r="BM184" s="301">
        <f t="shared" ref="BM184" si="548">BJ184*3*1000</f>
        <v>0</v>
      </c>
      <c r="BN184" s="303">
        <f t="shared" ref="BN184" si="549">BA184+BB184+BC184+BD184+BE184+BF184+BG184</f>
        <v>0</v>
      </c>
      <c r="BO184" s="216"/>
      <c r="BP184" s="216"/>
      <c r="BQ184" s="216"/>
      <c r="BR184" s="216"/>
      <c r="BS184" s="216"/>
      <c r="BT184" s="216"/>
      <c r="BU184" s="218"/>
      <c r="BV184" s="218"/>
      <c r="BW184" s="218"/>
      <c r="BX184" s="218"/>
      <c r="BY184" s="218"/>
      <c r="BZ184" s="218"/>
      <c r="CA184" s="218"/>
      <c r="CB184" s="218"/>
      <c r="CC184" s="218"/>
      <c r="CD184" s="218"/>
      <c r="CE184" s="218"/>
      <c r="CF184" s="218"/>
      <c r="CG184" s="218"/>
      <c r="CH184" s="218"/>
      <c r="CI184" s="218"/>
      <c r="CJ184" s="218"/>
      <c r="CK184" s="218"/>
      <c r="CL184" s="218"/>
      <c r="CM184" s="220"/>
      <c r="CN184" s="220"/>
      <c r="CO184" s="139"/>
      <c r="CP184" s="122"/>
      <c r="CQ184" s="122"/>
      <c r="CR184" s="123"/>
      <c r="CS184" s="169"/>
      <c r="CT184" s="169"/>
      <c r="CU184" s="169"/>
      <c r="CV184" s="79"/>
      <c r="CW184" s="79"/>
      <c r="CX184" s="79"/>
      <c r="CY184" s="410"/>
      <c r="CZ184" s="169"/>
      <c r="DA184" s="169"/>
      <c r="DB184" s="169"/>
      <c r="DC184" s="169"/>
      <c r="DD184" s="169"/>
      <c r="DE184" s="169"/>
      <c r="DF184" s="79"/>
      <c r="DG184" s="79"/>
      <c r="DH184" s="79"/>
      <c r="DI184" s="169"/>
      <c r="DJ184" s="169"/>
      <c r="DK184" s="169"/>
      <c r="DL184" s="169"/>
      <c r="DM184" s="169"/>
      <c r="DN184" s="169"/>
      <c r="DO184" s="169"/>
      <c r="DP184" s="79"/>
      <c r="DQ184" s="79"/>
      <c r="DR184" s="79"/>
      <c r="DS184" s="405"/>
      <c r="DT184" s="169"/>
      <c r="DU184" s="169"/>
      <c r="DV184" s="169"/>
      <c r="DW184" s="169"/>
      <c r="DX184" s="169"/>
      <c r="DY184" s="169"/>
      <c r="DZ184" s="79"/>
      <c r="EA184" s="79"/>
      <c r="EB184" s="79"/>
      <c r="EC184" s="79"/>
      <c r="ED184" s="79"/>
      <c r="EE184" s="79"/>
      <c r="EF184" s="79"/>
      <c r="EG184" s="79"/>
      <c r="EH184" s="79"/>
      <c r="EI184" s="79"/>
      <c r="EJ184" s="79"/>
      <c r="EK184" s="79"/>
      <c r="EL184" s="403"/>
      <c r="EM184" s="169"/>
      <c r="EN184" s="169"/>
      <c r="EO184" s="169"/>
      <c r="EP184" s="169"/>
      <c r="EQ184" s="169"/>
      <c r="ER184" s="169"/>
      <c r="ES184" s="169"/>
      <c r="ET184" s="169"/>
      <c r="EU184" s="169"/>
      <c r="EV184" s="169"/>
      <c r="EW184" s="169"/>
      <c r="EX184" s="169"/>
      <c r="EY184" s="169"/>
    </row>
    <row r="185" spans="1:155" ht="14.1" customHeight="1">
      <c r="A185" s="174"/>
      <c r="B185" s="397" t="s">
        <v>302</v>
      </c>
      <c r="C185" s="190"/>
      <c r="D185" s="317" t="e">
        <f t="shared" si="425"/>
        <v>#DIV/0!</v>
      </c>
      <c r="E185" s="320" t="e">
        <f t="shared" si="426"/>
        <v>#DIV/0!</v>
      </c>
      <c r="F185" s="320" t="e">
        <f t="shared" si="427"/>
        <v>#DIV/0!</v>
      </c>
      <c r="G185" s="323" t="e">
        <f t="shared" si="428"/>
        <v>#DIV/0!</v>
      </c>
      <c r="H185" s="333"/>
      <c r="I185" s="211"/>
      <c r="J185" s="211"/>
      <c r="K185" s="211"/>
      <c r="L185" s="211"/>
      <c r="M185" s="211"/>
      <c r="N185" s="211"/>
      <c r="O185" s="211"/>
      <c r="P185" s="211"/>
      <c r="Q185" s="214"/>
      <c r="R185" s="306"/>
      <c r="S185" s="309"/>
      <c r="T185" s="309"/>
      <c r="U185" s="309"/>
      <c r="V185" s="309"/>
      <c r="W185" s="309"/>
      <c r="X185" s="336"/>
      <c r="Y185" s="306"/>
      <c r="Z185" s="309"/>
      <c r="AA185" s="309"/>
      <c r="AB185" s="309"/>
      <c r="AC185" s="309"/>
      <c r="AD185" s="309"/>
      <c r="AE185" s="336"/>
      <c r="AF185" s="306"/>
      <c r="AG185" s="211"/>
      <c r="AH185" s="211"/>
      <c r="AI185" s="211"/>
      <c r="AJ185" s="211"/>
      <c r="AK185" s="211"/>
      <c r="AL185" s="214"/>
      <c r="AM185" s="333"/>
      <c r="AN185" s="211"/>
      <c r="AO185" s="211"/>
      <c r="AP185" s="211"/>
      <c r="AQ185" s="211"/>
      <c r="AR185" s="211"/>
      <c r="AS185" s="211"/>
      <c r="AT185" s="333"/>
      <c r="AU185" s="211"/>
      <c r="AV185" s="211"/>
      <c r="AW185" s="211"/>
      <c r="AX185" s="211"/>
      <c r="AY185" s="211"/>
      <c r="AZ185" s="214"/>
      <c r="BA185" s="333"/>
      <c r="BB185" s="333"/>
      <c r="BC185" s="333"/>
      <c r="BD185" s="333"/>
      <c r="BE185" s="333"/>
      <c r="BF185" s="333"/>
      <c r="BG185" s="333"/>
      <c r="BH185" s="333"/>
      <c r="BI185" s="211"/>
      <c r="BJ185" s="211"/>
      <c r="BK185" s="211"/>
      <c r="BL185" s="211"/>
      <c r="BM185" s="211"/>
      <c r="BN185" s="214"/>
      <c r="BO185" s="196"/>
      <c r="BP185" s="196"/>
      <c r="BQ185" s="196"/>
      <c r="BR185" s="196"/>
      <c r="BS185" s="196"/>
      <c r="BT185" s="196"/>
      <c r="BU185" s="193"/>
      <c r="BV185" s="193"/>
      <c r="BW185" s="193"/>
      <c r="BX185" s="193"/>
      <c r="BY185" s="193"/>
      <c r="BZ185" s="193"/>
      <c r="CA185" s="193"/>
      <c r="CB185" s="193"/>
      <c r="CC185" s="193"/>
      <c r="CD185" s="193"/>
      <c r="CE185" s="193"/>
      <c r="CF185" s="193"/>
      <c r="CG185" s="193"/>
      <c r="CH185" s="193"/>
      <c r="CI185" s="193"/>
      <c r="CJ185" s="193"/>
      <c r="CK185" s="193"/>
      <c r="CL185" s="193"/>
      <c r="CM185" s="205"/>
      <c r="CN185" s="205"/>
      <c r="CO185" s="24"/>
      <c r="CP185" s="21"/>
      <c r="CQ185" s="21"/>
      <c r="CR185" s="22"/>
      <c r="CS185" s="54"/>
      <c r="CT185" s="54"/>
      <c r="CU185" s="54"/>
      <c r="CV185" s="8"/>
      <c r="CW185" s="8"/>
      <c r="CX185" s="8"/>
      <c r="CY185" s="408"/>
      <c r="CZ185" s="54"/>
      <c r="DA185" s="54"/>
      <c r="DB185" s="54"/>
      <c r="DC185" s="54"/>
      <c r="DD185" s="54"/>
      <c r="DE185" s="54"/>
      <c r="DF185" s="8"/>
      <c r="DG185" s="8"/>
      <c r="DH185" s="8"/>
      <c r="DI185" s="54"/>
      <c r="DJ185" s="54"/>
      <c r="DK185" s="54"/>
      <c r="DL185" s="54"/>
      <c r="DM185" s="54"/>
      <c r="DN185" s="54"/>
      <c r="DO185" s="54"/>
      <c r="DP185" s="8"/>
      <c r="DQ185" s="8"/>
      <c r="DR185" s="8"/>
      <c r="DS185" s="406"/>
      <c r="DT185" s="54"/>
      <c r="DU185" s="54"/>
      <c r="DV185" s="54"/>
      <c r="DW185" s="54"/>
      <c r="DX185" s="54"/>
      <c r="DY185" s="54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404"/>
      <c r="EM185" s="54"/>
      <c r="EN185" s="54"/>
      <c r="EO185" s="54"/>
      <c r="EP185" s="54"/>
      <c r="EQ185" s="54"/>
      <c r="ER185" s="54"/>
      <c r="ES185" s="54"/>
      <c r="ET185" s="54"/>
      <c r="EU185" s="54"/>
      <c r="EV185" s="54"/>
      <c r="EW185" s="54"/>
      <c r="EX185" s="54"/>
      <c r="EY185" s="54"/>
    </row>
    <row r="186" spans="1:155" ht="14.1" customHeight="1">
      <c r="A186" s="174"/>
      <c r="B186" s="397" t="s">
        <v>302</v>
      </c>
      <c r="C186" s="190"/>
      <c r="D186" s="317" t="e">
        <f t="shared" si="425"/>
        <v>#DIV/0!</v>
      </c>
      <c r="E186" s="320" t="e">
        <f t="shared" si="426"/>
        <v>#DIV/0!</v>
      </c>
      <c r="F186" s="320" t="e">
        <f t="shared" si="427"/>
        <v>#DIV/0!</v>
      </c>
      <c r="G186" s="323" t="e">
        <f t="shared" si="428"/>
        <v>#DIV/0!</v>
      </c>
      <c r="H186" s="333"/>
      <c r="I186" s="211"/>
      <c r="J186" s="211"/>
      <c r="K186" s="211"/>
      <c r="L186" s="211"/>
      <c r="M186" s="211"/>
      <c r="N186" s="211"/>
      <c r="O186" s="211"/>
      <c r="P186" s="211"/>
      <c r="Q186" s="214"/>
      <c r="R186" s="306"/>
      <c r="S186" s="309"/>
      <c r="T186" s="309"/>
      <c r="U186" s="309"/>
      <c r="V186" s="309"/>
      <c r="W186" s="309"/>
      <c r="X186" s="336"/>
      <c r="Y186" s="306"/>
      <c r="Z186" s="309"/>
      <c r="AA186" s="309"/>
      <c r="AB186" s="309"/>
      <c r="AC186" s="309"/>
      <c r="AD186" s="309"/>
      <c r="AE186" s="336"/>
      <c r="AF186" s="306"/>
      <c r="AG186" s="211"/>
      <c r="AH186" s="211"/>
      <c r="AI186" s="211"/>
      <c r="AJ186" s="211"/>
      <c r="AK186" s="211"/>
      <c r="AL186" s="214"/>
      <c r="AM186" s="333"/>
      <c r="AN186" s="211"/>
      <c r="AO186" s="211"/>
      <c r="AP186" s="211"/>
      <c r="AQ186" s="211"/>
      <c r="AR186" s="211"/>
      <c r="AS186" s="211"/>
      <c r="AT186" s="333"/>
      <c r="AU186" s="211"/>
      <c r="AV186" s="211"/>
      <c r="AW186" s="211"/>
      <c r="AX186" s="211"/>
      <c r="AY186" s="211"/>
      <c r="AZ186" s="214"/>
      <c r="BA186" s="333"/>
      <c r="BB186" s="333"/>
      <c r="BC186" s="333"/>
      <c r="BD186" s="333"/>
      <c r="BE186" s="333"/>
      <c r="BF186" s="333"/>
      <c r="BG186" s="333"/>
      <c r="BH186" s="333"/>
      <c r="BI186" s="211"/>
      <c r="BJ186" s="211"/>
      <c r="BK186" s="211"/>
      <c r="BL186" s="211"/>
      <c r="BM186" s="211"/>
      <c r="BN186" s="214"/>
      <c r="BO186" s="196"/>
      <c r="BP186" s="196"/>
      <c r="BQ186" s="196"/>
      <c r="BR186" s="196"/>
      <c r="BS186" s="196"/>
      <c r="BT186" s="196"/>
      <c r="BU186" s="193"/>
      <c r="BV186" s="193"/>
      <c r="BW186" s="193"/>
      <c r="BX186" s="193"/>
      <c r="BY186" s="193"/>
      <c r="BZ186" s="193"/>
      <c r="CA186" s="193"/>
      <c r="CB186" s="193"/>
      <c r="CC186" s="193"/>
      <c r="CD186" s="193"/>
      <c r="CE186" s="193"/>
      <c r="CF186" s="193"/>
      <c r="CG186" s="193"/>
      <c r="CH186" s="193"/>
      <c r="CI186" s="193"/>
      <c r="CJ186" s="193"/>
      <c r="CK186" s="193"/>
      <c r="CL186" s="193"/>
      <c r="CM186" s="205"/>
      <c r="CN186" s="205"/>
      <c r="CO186" s="24"/>
      <c r="CP186" s="21"/>
      <c r="CQ186" s="21"/>
      <c r="CR186" s="22"/>
      <c r="CS186" s="54"/>
      <c r="CT186" s="54"/>
      <c r="CU186" s="54"/>
      <c r="CV186" s="8"/>
      <c r="CW186" s="8"/>
      <c r="CX186" s="8"/>
      <c r="CY186" s="408"/>
      <c r="CZ186" s="54"/>
      <c r="DA186" s="54"/>
      <c r="DB186" s="54"/>
      <c r="DC186" s="54"/>
      <c r="DD186" s="54"/>
      <c r="DE186" s="54"/>
      <c r="DF186" s="8"/>
      <c r="DG186" s="8"/>
      <c r="DH186" s="8"/>
      <c r="DI186" s="54"/>
      <c r="DJ186" s="54"/>
      <c r="DK186" s="54"/>
      <c r="DL186" s="54"/>
      <c r="DM186" s="54"/>
      <c r="DN186" s="54"/>
      <c r="DO186" s="54"/>
      <c r="DP186" s="8"/>
      <c r="DQ186" s="8"/>
      <c r="DR186" s="8"/>
      <c r="DS186" s="406"/>
      <c r="DT186" s="54"/>
      <c r="DU186" s="54"/>
      <c r="DV186" s="54"/>
      <c r="DW186" s="54"/>
      <c r="DX186" s="54"/>
      <c r="DY186" s="54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404"/>
      <c r="EM186" s="54"/>
      <c r="EN186" s="54"/>
      <c r="EO186" s="54"/>
      <c r="EP186" s="54"/>
      <c r="EQ186" s="54"/>
      <c r="ER186" s="54"/>
      <c r="ES186" s="54"/>
      <c r="ET186" s="54"/>
      <c r="EU186" s="54"/>
      <c r="EV186" s="54"/>
      <c r="EW186" s="54"/>
      <c r="EX186" s="54"/>
      <c r="EY186" s="54"/>
    </row>
    <row r="187" spans="1:155" s="401" customFormat="1" ht="14.1" customHeight="1" thickBot="1">
      <c r="A187" s="175"/>
      <c r="B187" s="400" t="s">
        <v>302</v>
      </c>
      <c r="C187" s="191"/>
      <c r="D187" s="318" t="e">
        <f t="shared" si="425"/>
        <v>#DIV/0!</v>
      </c>
      <c r="E187" s="321" t="e">
        <f t="shared" si="426"/>
        <v>#DIV/0!</v>
      </c>
      <c r="F187" s="321" t="e">
        <f t="shared" si="427"/>
        <v>#DIV/0!</v>
      </c>
      <c r="G187" s="324" t="e">
        <f t="shared" si="428"/>
        <v>#DIV/0!</v>
      </c>
      <c r="H187" s="334"/>
      <c r="I187" s="302"/>
      <c r="J187" s="302"/>
      <c r="K187" s="302"/>
      <c r="L187" s="302"/>
      <c r="M187" s="302"/>
      <c r="N187" s="302"/>
      <c r="O187" s="302"/>
      <c r="P187" s="302"/>
      <c r="Q187" s="304"/>
      <c r="R187" s="307"/>
      <c r="S187" s="310"/>
      <c r="T187" s="310"/>
      <c r="U187" s="310"/>
      <c r="V187" s="310"/>
      <c r="W187" s="310"/>
      <c r="X187" s="337"/>
      <c r="Y187" s="307"/>
      <c r="Z187" s="310"/>
      <c r="AA187" s="310"/>
      <c r="AB187" s="310"/>
      <c r="AC187" s="310"/>
      <c r="AD187" s="310"/>
      <c r="AE187" s="337"/>
      <c r="AF187" s="307"/>
      <c r="AG187" s="302"/>
      <c r="AH187" s="302"/>
      <c r="AI187" s="302"/>
      <c r="AJ187" s="302"/>
      <c r="AK187" s="302"/>
      <c r="AL187" s="304"/>
      <c r="AM187" s="334"/>
      <c r="AN187" s="302"/>
      <c r="AO187" s="302"/>
      <c r="AP187" s="302"/>
      <c r="AQ187" s="302"/>
      <c r="AR187" s="302"/>
      <c r="AS187" s="302"/>
      <c r="AT187" s="334"/>
      <c r="AU187" s="302"/>
      <c r="AV187" s="302"/>
      <c r="AW187" s="302"/>
      <c r="AX187" s="302"/>
      <c r="AY187" s="302"/>
      <c r="AZ187" s="304"/>
      <c r="BA187" s="334"/>
      <c r="BB187" s="334"/>
      <c r="BC187" s="334"/>
      <c r="BD187" s="334"/>
      <c r="BE187" s="334"/>
      <c r="BF187" s="334"/>
      <c r="BG187" s="334"/>
      <c r="BH187" s="334"/>
      <c r="BI187" s="302"/>
      <c r="BJ187" s="302"/>
      <c r="BK187" s="302"/>
      <c r="BL187" s="302"/>
      <c r="BM187" s="302"/>
      <c r="BN187" s="304"/>
      <c r="BO187" s="217"/>
      <c r="BP187" s="217"/>
      <c r="BQ187" s="217"/>
      <c r="BR187" s="217"/>
      <c r="BS187" s="217"/>
      <c r="BT187" s="217"/>
      <c r="BU187" s="219"/>
      <c r="BV187" s="219"/>
      <c r="BW187" s="219"/>
      <c r="BX187" s="219"/>
      <c r="BY187" s="219"/>
      <c r="BZ187" s="219"/>
      <c r="CA187" s="219"/>
      <c r="CB187" s="219"/>
      <c r="CC187" s="219"/>
      <c r="CD187" s="219"/>
      <c r="CE187" s="219"/>
      <c r="CF187" s="219"/>
      <c r="CG187" s="219"/>
      <c r="CH187" s="219"/>
      <c r="CI187" s="219"/>
      <c r="CJ187" s="219"/>
      <c r="CK187" s="219"/>
      <c r="CL187" s="219"/>
      <c r="CM187" s="221"/>
      <c r="CN187" s="221"/>
      <c r="CO187" s="103"/>
      <c r="CP187" s="99"/>
      <c r="CQ187" s="99"/>
      <c r="CR187" s="100"/>
      <c r="CS187" s="394"/>
      <c r="CT187" s="394"/>
      <c r="CU187" s="394"/>
      <c r="CV187" s="102"/>
      <c r="CW187" s="102"/>
      <c r="CX187" s="102"/>
      <c r="CY187" s="409"/>
      <c r="CZ187" s="394"/>
      <c r="DA187" s="394"/>
      <c r="DB187" s="394"/>
      <c r="DC187" s="394"/>
      <c r="DD187" s="394"/>
      <c r="DE187" s="394"/>
      <c r="DF187" s="102"/>
      <c r="DG187" s="102"/>
      <c r="DH187" s="102"/>
      <c r="DI187" s="394"/>
      <c r="DJ187" s="394"/>
      <c r="DK187" s="394"/>
      <c r="DL187" s="394"/>
      <c r="DM187" s="394"/>
      <c r="DN187" s="394"/>
      <c r="DO187" s="394"/>
      <c r="DP187" s="102"/>
      <c r="DQ187" s="102"/>
      <c r="DR187" s="102"/>
      <c r="DS187" s="407"/>
      <c r="DT187" s="394"/>
      <c r="DU187" s="394"/>
      <c r="DV187" s="394"/>
      <c r="DW187" s="394"/>
      <c r="DX187" s="394"/>
      <c r="DY187" s="394"/>
      <c r="DZ187" s="102"/>
      <c r="EA187" s="102"/>
      <c r="EB187" s="102"/>
      <c r="EC187" s="102"/>
      <c r="ED187" s="102"/>
      <c r="EE187" s="102"/>
      <c r="EF187" s="102"/>
      <c r="EG187" s="102"/>
      <c r="EH187" s="102"/>
      <c r="EI187" s="102"/>
      <c r="EJ187" s="102"/>
      <c r="EK187" s="102"/>
      <c r="EL187" s="395"/>
      <c r="EM187" s="394"/>
      <c r="EN187" s="394"/>
      <c r="EO187" s="394"/>
      <c r="EP187" s="394"/>
      <c r="EQ187" s="394"/>
      <c r="ER187" s="394"/>
      <c r="ES187" s="394"/>
      <c r="ET187" s="394"/>
      <c r="EU187" s="394"/>
      <c r="EV187" s="394"/>
      <c r="EW187" s="394"/>
      <c r="EX187" s="394"/>
      <c r="EY187" s="394"/>
    </row>
    <row r="188" spans="1:155" s="398" customFormat="1" ht="14.1" customHeight="1">
      <c r="A188" s="173">
        <v>45</v>
      </c>
      <c r="B188" s="397" t="s">
        <v>303</v>
      </c>
      <c r="C188" s="189"/>
      <c r="D188" s="316" t="e">
        <f t="shared" ref="D188:D211" si="550">(I188+H188)/(H188+I188+J188+K188+L188)*100</f>
        <v>#DIV/0!</v>
      </c>
      <c r="E188" s="319" t="e">
        <f t="shared" ref="E188:E211" si="551">J188/(H188+I188+J188+K188+L188)*100</f>
        <v>#DIV/0!</v>
      </c>
      <c r="F188" s="319" t="e">
        <f t="shared" ref="F188:F211" si="552">K188/(H188+I188+J188+K188+L188)*100</f>
        <v>#DIV/0!</v>
      </c>
      <c r="G188" s="322" t="e">
        <f t="shared" ref="G188:G211" si="553">L188/(H188+I188+J188+K188+L188)*100</f>
        <v>#DIV/0!</v>
      </c>
      <c r="H188" s="332"/>
      <c r="I188" s="301"/>
      <c r="J188" s="301"/>
      <c r="K188" s="301">
        <v>0</v>
      </c>
      <c r="L188" s="301">
        <v>0</v>
      </c>
      <c r="M188" s="301"/>
      <c r="N188" s="301"/>
      <c r="O188" s="301"/>
      <c r="P188" s="301"/>
      <c r="Q188" s="303"/>
      <c r="R188" s="305"/>
      <c r="S188" s="308"/>
      <c r="T188" s="308"/>
      <c r="U188" s="308">
        <v>0</v>
      </c>
      <c r="V188" s="308">
        <v>0</v>
      </c>
      <c r="W188" s="308"/>
      <c r="X188" s="335">
        <v>20.5</v>
      </c>
      <c r="Y188" s="305">
        <f t="shared" ref="Y188" si="554">H188*R188*10</f>
        <v>0</v>
      </c>
      <c r="Z188" s="308">
        <f t="shared" ref="Z188" si="555">I188*S188*10</f>
        <v>0</v>
      </c>
      <c r="AA188" s="308">
        <f t="shared" ref="AA188" si="556">J188*T188*10</f>
        <v>0</v>
      </c>
      <c r="AB188" s="308">
        <f t="shared" ref="AB188" si="557">K188*U188*10</f>
        <v>0</v>
      </c>
      <c r="AC188" s="308">
        <f t="shared" ref="AC188" si="558">L188*V188*10</f>
        <v>0</v>
      </c>
      <c r="AD188" s="308">
        <f t="shared" ref="AD188" si="559">M188*W188*10</f>
        <v>0</v>
      </c>
      <c r="AE188" s="335">
        <f t="shared" ref="AE188" si="560">O188*X188*10</f>
        <v>0</v>
      </c>
      <c r="AF188" s="305"/>
      <c r="AG188" s="301"/>
      <c r="AH188" s="301"/>
      <c r="AI188" s="301">
        <v>0</v>
      </c>
      <c r="AJ188" s="301">
        <v>0</v>
      </c>
      <c r="AK188" s="301"/>
      <c r="AL188" s="303"/>
      <c r="AM188" s="332">
        <f t="shared" ref="AM188" si="561">AF188*10*H188</f>
        <v>0</v>
      </c>
      <c r="AN188" s="301">
        <f t="shared" ref="AN188" si="562">AG188*I188*10</f>
        <v>0</v>
      </c>
      <c r="AO188" s="301">
        <f t="shared" ref="AO188" si="563">AH188*J188*10</f>
        <v>0</v>
      </c>
      <c r="AP188" s="301">
        <f t="shared" ref="AP188" si="564">AI188*K188*10</f>
        <v>0</v>
      </c>
      <c r="AQ188" s="301">
        <f t="shared" ref="AQ188" si="565">AJ188*L188*10</f>
        <v>0</v>
      </c>
      <c r="AR188" s="301">
        <f t="shared" ref="AR188" si="566">AK188*M188*10</f>
        <v>0</v>
      </c>
      <c r="AS188" s="301">
        <f t="shared" ref="AS188" si="567">AL188*N188*10</f>
        <v>0</v>
      </c>
      <c r="AT188" s="332"/>
      <c r="AU188" s="301"/>
      <c r="AV188" s="301"/>
      <c r="AW188" s="301"/>
      <c r="AX188" s="301"/>
      <c r="AY188" s="301"/>
      <c r="AZ188" s="303"/>
      <c r="BA188" s="332">
        <f t="shared" ref="BA188" si="568">(H188*3*1000)/(1-AT188/100)</f>
        <v>0</v>
      </c>
      <c r="BB188" s="332">
        <f t="shared" ref="BB188" si="569">(I188*3*1000)/(1-AU188/100)</f>
        <v>0</v>
      </c>
      <c r="BC188" s="332">
        <f t="shared" ref="BC188" si="570">(J188*3*1000)/(1-AV188/100)</f>
        <v>0</v>
      </c>
      <c r="BD188" s="332">
        <f t="shared" ref="BD188" si="571">(K188*3*1000)/(1-AW188/100)</f>
        <v>0</v>
      </c>
      <c r="BE188" s="332">
        <f t="shared" ref="BE188" si="572">(L188*3*1000)/(1-AX188/100)</f>
        <v>0</v>
      </c>
      <c r="BF188" s="332">
        <f t="shared" ref="BF188" si="573">(M188*3*1000)/(1-AY188/100)</f>
        <v>0</v>
      </c>
      <c r="BG188" s="332">
        <f t="shared" ref="BG188" si="574">(N188*3*1000)/(1-AZ188/100)</f>
        <v>0</v>
      </c>
      <c r="BH188" s="332">
        <f t="shared" ref="BH188" si="575">H188+I188+J188+K188+L188</f>
        <v>0</v>
      </c>
      <c r="BI188" s="301">
        <f t="shared" ref="BI188" si="576">M188+N188+O188</f>
        <v>0</v>
      </c>
      <c r="BJ188" s="301">
        <f t="shared" ref="BJ188" si="577">BH188+BI188</f>
        <v>0</v>
      </c>
      <c r="BK188" s="301">
        <f t="shared" ref="BK188" si="578">Y188+Z188+AA188+AB188+AC188+AD188+AE188</f>
        <v>0</v>
      </c>
      <c r="BL188" s="301">
        <f t="shared" ref="BL188" si="579">AM188+AN188+AO188+AP188+AQ188+AR188+AS188</f>
        <v>0</v>
      </c>
      <c r="BM188" s="301">
        <f t="shared" ref="BM188" si="580">BJ188*3*1000</f>
        <v>0</v>
      </c>
      <c r="BN188" s="303">
        <f t="shared" ref="BN188" si="581">BA188+BB188+BC188+BD188+BE188+BF188+BG188</f>
        <v>0</v>
      </c>
      <c r="BO188" s="216"/>
      <c r="BP188" s="216"/>
      <c r="BQ188" s="216"/>
      <c r="BR188" s="216"/>
      <c r="BS188" s="216"/>
      <c r="BT188" s="216"/>
      <c r="BU188" s="218"/>
      <c r="BV188" s="218"/>
      <c r="BW188" s="218"/>
      <c r="BX188" s="218"/>
      <c r="BY188" s="218"/>
      <c r="BZ188" s="218"/>
      <c r="CA188" s="218"/>
      <c r="CB188" s="218"/>
      <c r="CC188" s="218"/>
      <c r="CD188" s="218"/>
      <c r="CE188" s="218"/>
      <c r="CF188" s="218"/>
      <c r="CG188" s="218"/>
      <c r="CH188" s="218"/>
      <c r="CI188" s="218"/>
      <c r="CJ188" s="218"/>
      <c r="CK188" s="218"/>
      <c r="CL188" s="218"/>
      <c r="CM188" s="220"/>
      <c r="CN188" s="220"/>
      <c r="CO188" s="139"/>
      <c r="CP188" s="122"/>
      <c r="CQ188" s="122"/>
      <c r="CR188" s="123"/>
      <c r="CS188" s="169"/>
      <c r="CT188" s="169"/>
      <c r="CU188" s="169"/>
      <c r="CV188" s="79"/>
      <c r="CW188" s="79"/>
      <c r="CX188" s="79"/>
      <c r="CY188" s="410"/>
      <c r="CZ188" s="169"/>
      <c r="DA188" s="169"/>
      <c r="DB188" s="169"/>
      <c r="DC188" s="169"/>
      <c r="DD188" s="169"/>
      <c r="DE188" s="169"/>
      <c r="DF188" s="79"/>
      <c r="DG188" s="79"/>
      <c r="DH188" s="79"/>
      <c r="DI188" s="169"/>
      <c r="DJ188" s="169"/>
      <c r="DK188" s="169"/>
      <c r="DL188" s="169"/>
      <c r="DM188" s="169"/>
      <c r="DN188" s="169"/>
      <c r="DO188" s="169"/>
      <c r="DP188" s="79"/>
      <c r="DQ188" s="79"/>
      <c r="DR188" s="79"/>
      <c r="DS188" s="405"/>
      <c r="DT188" s="169"/>
      <c r="DU188" s="169"/>
      <c r="DV188" s="169"/>
      <c r="DW188" s="169"/>
      <c r="DX188" s="169"/>
      <c r="DY188" s="16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403"/>
      <c r="EM188" s="169"/>
      <c r="EN188" s="169"/>
      <c r="EO188" s="169"/>
      <c r="EP188" s="169"/>
      <c r="EQ188" s="169"/>
      <c r="ER188" s="169"/>
      <c r="ES188" s="169"/>
      <c r="ET188" s="169"/>
      <c r="EU188" s="169"/>
      <c r="EV188" s="169"/>
      <c r="EW188" s="169"/>
      <c r="EX188" s="169"/>
      <c r="EY188" s="169"/>
    </row>
    <row r="189" spans="1:155" ht="14.1" customHeight="1">
      <c r="A189" s="174"/>
      <c r="B189" s="397" t="s">
        <v>303</v>
      </c>
      <c r="C189" s="190"/>
      <c r="D189" s="317" t="e">
        <f t="shared" si="550"/>
        <v>#DIV/0!</v>
      </c>
      <c r="E189" s="320" t="e">
        <f t="shared" si="551"/>
        <v>#DIV/0!</v>
      </c>
      <c r="F189" s="320" t="e">
        <f t="shared" si="552"/>
        <v>#DIV/0!</v>
      </c>
      <c r="G189" s="323" t="e">
        <f t="shared" si="553"/>
        <v>#DIV/0!</v>
      </c>
      <c r="H189" s="333"/>
      <c r="I189" s="211"/>
      <c r="J189" s="211"/>
      <c r="K189" s="211"/>
      <c r="L189" s="211"/>
      <c r="M189" s="211"/>
      <c r="N189" s="211"/>
      <c r="O189" s="211"/>
      <c r="P189" s="211"/>
      <c r="Q189" s="214"/>
      <c r="R189" s="306"/>
      <c r="S189" s="309"/>
      <c r="T189" s="309"/>
      <c r="U189" s="309"/>
      <c r="V189" s="309"/>
      <c r="W189" s="309"/>
      <c r="X189" s="336"/>
      <c r="Y189" s="306"/>
      <c r="Z189" s="309"/>
      <c r="AA189" s="309"/>
      <c r="AB189" s="309"/>
      <c r="AC189" s="309"/>
      <c r="AD189" s="309"/>
      <c r="AE189" s="336"/>
      <c r="AF189" s="306"/>
      <c r="AG189" s="211"/>
      <c r="AH189" s="211"/>
      <c r="AI189" s="211"/>
      <c r="AJ189" s="211"/>
      <c r="AK189" s="211"/>
      <c r="AL189" s="214"/>
      <c r="AM189" s="333"/>
      <c r="AN189" s="211"/>
      <c r="AO189" s="211"/>
      <c r="AP189" s="211"/>
      <c r="AQ189" s="211"/>
      <c r="AR189" s="211"/>
      <c r="AS189" s="211"/>
      <c r="AT189" s="333"/>
      <c r="AU189" s="211"/>
      <c r="AV189" s="211"/>
      <c r="AW189" s="211"/>
      <c r="AX189" s="211"/>
      <c r="AY189" s="211"/>
      <c r="AZ189" s="214"/>
      <c r="BA189" s="333"/>
      <c r="BB189" s="333"/>
      <c r="BC189" s="333"/>
      <c r="BD189" s="333"/>
      <c r="BE189" s="333"/>
      <c r="BF189" s="333"/>
      <c r="BG189" s="333"/>
      <c r="BH189" s="333"/>
      <c r="BI189" s="211"/>
      <c r="BJ189" s="211"/>
      <c r="BK189" s="211"/>
      <c r="BL189" s="211"/>
      <c r="BM189" s="211"/>
      <c r="BN189" s="214"/>
      <c r="BO189" s="196"/>
      <c r="BP189" s="196"/>
      <c r="BQ189" s="196"/>
      <c r="BR189" s="196"/>
      <c r="BS189" s="196"/>
      <c r="BT189" s="196"/>
      <c r="BU189" s="193"/>
      <c r="BV189" s="193"/>
      <c r="BW189" s="193"/>
      <c r="BX189" s="193"/>
      <c r="BY189" s="193"/>
      <c r="BZ189" s="193"/>
      <c r="CA189" s="193"/>
      <c r="CB189" s="193"/>
      <c r="CC189" s="193"/>
      <c r="CD189" s="193"/>
      <c r="CE189" s="193"/>
      <c r="CF189" s="193"/>
      <c r="CG189" s="193"/>
      <c r="CH189" s="193"/>
      <c r="CI189" s="193"/>
      <c r="CJ189" s="193"/>
      <c r="CK189" s="193"/>
      <c r="CL189" s="193"/>
      <c r="CM189" s="205"/>
      <c r="CN189" s="205"/>
      <c r="CO189" s="24"/>
      <c r="CP189" s="21"/>
      <c r="CQ189" s="21"/>
      <c r="CR189" s="22"/>
      <c r="CS189" s="54"/>
      <c r="CT189" s="54"/>
      <c r="CU189" s="54"/>
      <c r="CV189" s="8"/>
      <c r="CW189" s="8"/>
      <c r="CX189" s="8"/>
      <c r="CY189" s="408"/>
      <c r="CZ189" s="54"/>
      <c r="DA189" s="54"/>
      <c r="DB189" s="54"/>
      <c r="DC189" s="54"/>
      <c r="DD189" s="54"/>
      <c r="DE189" s="54"/>
      <c r="DF189" s="8"/>
      <c r="DG189" s="8"/>
      <c r="DH189" s="8"/>
      <c r="DI189" s="54"/>
      <c r="DJ189" s="54"/>
      <c r="DK189" s="54"/>
      <c r="DL189" s="54"/>
      <c r="DM189" s="54"/>
      <c r="DN189" s="54"/>
      <c r="DO189" s="54"/>
      <c r="DP189" s="8"/>
      <c r="DQ189" s="8"/>
      <c r="DR189" s="8"/>
      <c r="DS189" s="406"/>
      <c r="DT189" s="54"/>
      <c r="DU189" s="54"/>
      <c r="DV189" s="54"/>
      <c r="DW189" s="54"/>
      <c r="DX189" s="54"/>
      <c r="DY189" s="54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404"/>
      <c r="EM189" s="54"/>
      <c r="EN189" s="54"/>
      <c r="EO189" s="54"/>
      <c r="EP189" s="54"/>
      <c r="EQ189" s="54"/>
      <c r="ER189" s="54"/>
      <c r="ES189" s="54"/>
      <c r="ET189" s="54"/>
      <c r="EU189" s="54"/>
      <c r="EV189" s="54"/>
      <c r="EW189" s="54"/>
      <c r="EX189" s="54"/>
      <c r="EY189" s="54"/>
    </row>
    <row r="190" spans="1:155" ht="14.1" customHeight="1">
      <c r="A190" s="174"/>
      <c r="B190" s="397" t="s">
        <v>303</v>
      </c>
      <c r="C190" s="190"/>
      <c r="D190" s="317" t="e">
        <f t="shared" si="550"/>
        <v>#DIV/0!</v>
      </c>
      <c r="E190" s="320" t="e">
        <f t="shared" si="551"/>
        <v>#DIV/0!</v>
      </c>
      <c r="F190" s="320" t="e">
        <f t="shared" si="552"/>
        <v>#DIV/0!</v>
      </c>
      <c r="G190" s="323" t="e">
        <f t="shared" si="553"/>
        <v>#DIV/0!</v>
      </c>
      <c r="H190" s="333"/>
      <c r="I190" s="211"/>
      <c r="J190" s="211"/>
      <c r="K190" s="211"/>
      <c r="L190" s="211"/>
      <c r="M190" s="211"/>
      <c r="N190" s="211"/>
      <c r="O190" s="211"/>
      <c r="P190" s="211"/>
      <c r="Q190" s="214"/>
      <c r="R190" s="306"/>
      <c r="S190" s="309"/>
      <c r="T190" s="309"/>
      <c r="U190" s="309"/>
      <c r="V190" s="309"/>
      <c r="W190" s="309"/>
      <c r="X190" s="336"/>
      <c r="Y190" s="306"/>
      <c r="Z190" s="309"/>
      <c r="AA190" s="309"/>
      <c r="AB190" s="309"/>
      <c r="AC190" s="309"/>
      <c r="AD190" s="309"/>
      <c r="AE190" s="336"/>
      <c r="AF190" s="306"/>
      <c r="AG190" s="211"/>
      <c r="AH190" s="211"/>
      <c r="AI190" s="211"/>
      <c r="AJ190" s="211"/>
      <c r="AK190" s="211"/>
      <c r="AL190" s="214"/>
      <c r="AM190" s="333"/>
      <c r="AN190" s="211"/>
      <c r="AO190" s="211"/>
      <c r="AP190" s="211"/>
      <c r="AQ190" s="211"/>
      <c r="AR190" s="211"/>
      <c r="AS190" s="211"/>
      <c r="AT190" s="333"/>
      <c r="AU190" s="211"/>
      <c r="AV190" s="211"/>
      <c r="AW190" s="211"/>
      <c r="AX190" s="211"/>
      <c r="AY190" s="211"/>
      <c r="AZ190" s="214"/>
      <c r="BA190" s="333"/>
      <c r="BB190" s="333"/>
      <c r="BC190" s="333"/>
      <c r="BD190" s="333"/>
      <c r="BE190" s="333"/>
      <c r="BF190" s="333"/>
      <c r="BG190" s="333"/>
      <c r="BH190" s="333"/>
      <c r="BI190" s="211"/>
      <c r="BJ190" s="211"/>
      <c r="BK190" s="211"/>
      <c r="BL190" s="211"/>
      <c r="BM190" s="211"/>
      <c r="BN190" s="214"/>
      <c r="BO190" s="196"/>
      <c r="BP190" s="196"/>
      <c r="BQ190" s="196"/>
      <c r="BR190" s="196"/>
      <c r="BS190" s="196"/>
      <c r="BT190" s="196"/>
      <c r="BU190" s="193"/>
      <c r="BV190" s="193"/>
      <c r="BW190" s="193"/>
      <c r="BX190" s="193"/>
      <c r="BY190" s="193"/>
      <c r="BZ190" s="193"/>
      <c r="CA190" s="193"/>
      <c r="CB190" s="193"/>
      <c r="CC190" s="193"/>
      <c r="CD190" s="193"/>
      <c r="CE190" s="193"/>
      <c r="CF190" s="193"/>
      <c r="CG190" s="193"/>
      <c r="CH190" s="193"/>
      <c r="CI190" s="193"/>
      <c r="CJ190" s="193"/>
      <c r="CK190" s="193"/>
      <c r="CL190" s="193"/>
      <c r="CM190" s="205"/>
      <c r="CN190" s="205"/>
      <c r="CO190" s="24"/>
      <c r="CP190" s="21"/>
      <c r="CQ190" s="21"/>
      <c r="CR190" s="22"/>
      <c r="CS190" s="54"/>
      <c r="CT190" s="54"/>
      <c r="CU190" s="54"/>
      <c r="CV190" s="8"/>
      <c r="CW190" s="8"/>
      <c r="CX190" s="8"/>
      <c r="CY190" s="408"/>
      <c r="CZ190" s="54"/>
      <c r="DA190" s="54"/>
      <c r="DB190" s="54"/>
      <c r="DC190" s="54"/>
      <c r="DD190" s="54"/>
      <c r="DE190" s="54"/>
      <c r="DF190" s="8"/>
      <c r="DG190" s="8"/>
      <c r="DH190" s="8"/>
      <c r="DI190" s="54"/>
      <c r="DJ190" s="54"/>
      <c r="DK190" s="54"/>
      <c r="DL190" s="54"/>
      <c r="DM190" s="54"/>
      <c r="DN190" s="54"/>
      <c r="DO190" s="54"/>
      <c r="DP190" s="8"/>
      <c r="DQ190" s="8"/>
      <c r="DR190" s="8"/>
      <c r="DS190" s="406"/>
      <c r="DT190" s="54"/>
      <c r="DU190" s="54"/>
      <c r="DV190" s="54"/>
      <c r="DW190" s="54"/>
      <c r="DX190" s="54"/>
      <c r="DY190" s="54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404"/>
      <c r="EM190" s="54"/>
      <c r="EN190" s="54"/>
      <c r="EO190" s="54"/>
      <c r="EP190" s="54"/>
      <c r="EQ190" s="54"/>
      <c r="ER190" s="54"/>
      <c r="ES190" s="54"/>
      <c r="ET190" s="54"/>
      <c r="EU190" s="54"/>
      <c r="EV190" s="54"/>
      <c r="EW190" s="54"/>
      <c r="EX190" s="54"/>
      <c r="EY190" s="54"/>
    </row>
    <row r="191" spans="1:155" s="401" customFormat="1" ht="14.1" customHeight="1" thickBot="1">
      <c r="A191" s="175"/>
      <c r="B191" s="400" t="s">
        <v>303</v>
      </c>
      <c r="C191" s="191"/>
      <c r="D191" s="318" t="e">
        <f t="shared" si="550"/>
        <v>#DIV/0!</v>
      </c>
      <c r="E191" s="321" t="e">
        <f t="shared" si="551"/>
        <v>#DIV/0!</v>
      </c>
      <c r="F191" s="321" t="e">
        <f t="shared" si="552"/>
        <v>#DIV/0!</v>
      </c>
      <c r="G191" s="324" t="e">
        <f t="shared" si="553"/>
        <v>#DIV/0!</v>
      </c>
      <c r="H191" s="334"/>
      <c r="I191" s="302"/>
      <c r="J191" s="302"/>
      <c r="K191" s="302"/>
      <c r="L191" s="302"/>
      <c r="M191" s="302"/>
      <c r="N191" s="302"/>
      <c r="O191" s="302"/>
      <c r="P191" s="302"/>
      <c r="Q191" s="304"/>
      <c r="R191" s="307"/>
      <c r="S191" s="310"/>
      <c r="T191" s="310"/>
      <c r="U191" s="310"/>
      <c r="V191" s="310"/>
      <c r="W191" s="310"/>
      <c r="X191" s="337"/>
      <c r="Y191" s="307"/>
      <c r="Z191" s="310"/>
      <c r="AA191" s="310"/>
      <c r="AB191" s="310"/>
      <c r="AC191" s="310"/>
      <c r="AD191" s="310"/>
      <c r="AE191" s="337"/>
      <c r="AF191" s="307"/>
      <c r="AG191" s="302"/>
      <c r="AH191" s="302"/>
      <c r="AI191" s="302"/>
      <c r="AJ191" s="302"/>
      <c r="AK191" s="302"/>
      <c r="AL191" s="304"/>
      <c r="AM191" s="334"/>
      <c r="AN191" s="302"/>
      <c r="AO191" s="302"/>
      <c r="AP191" s="302"/>
      <c r="AQ191" s="302"/>
      <c r="AR191" s="302"/>
      <c r="AS191" s="302"/>
      <c r="AT191" s="334"/>
      <c r="AU191" s="302"/>
      <c r="AV191" s="302"/>
      <c r="AW191" s="302"/>
      <c r="AX191" s="302"/>
      <c r="AY191" s="302"/>
      <c r="AZ191" s="304"/>
      <c r="BA191" s="334"/>
      <c r="BB191" s="334"/>
      <c r="BC191" s="334"/>
      <c r="BD191" s="334"/>
      <c r="BE191" s="334"/>
      <c r="BF191" s="334"/>
      <c r="BG191" s="334"/>
      <c r="BH191" s="334"/>
      <c r="BI191" s="302"/>
      <c r="BJ191" s="302"/>
      <c r="BK191" s="302"/>
      <c r="BL191" s="302"/>
      <c r="BM191" s="302"/>
      <c r="BN191" s="304"/>
      <c r="BO191" s="217"/>
      <c r="BP191" s="217"/>
      <c r="BQ191" s="217"/>
      <c r="BR191" s="217"/>
      <c r="BS191" s="217"/>
      <c r="BT191" s="217"/>
      <c r="BU191" s="219"/>
      <c r="BV191" s="219"/>
      <c r="BW191" s="219"/>
      <c r="BX191" s="219"/>
      <c r="BY191" s="219"/>
      <c r="BZ191" s="219"/>
      <c r="CA191" s="219"/>
      <c r="CB191" s="219"/>
      <c r="CC191" s="219"/>
      <c r="CD191" s="219"/>
      <c r="CE191" s="219"/>
      <c r="CF191" s="219"/>
      <c r="CG191" s="219"/>
      <c r="CH191" s="219"/>
      <c r="CI191" s="219"/>
      <c r="CJ191" s="219"/>
      <c r="CK191" s="219"/>
      <c r="CL191" s="219"/>
      <c r="CM191" s="221"/>
      <c r="CN191" s="221"/>
      <c r="CO191" s="103"/>
      <c r="CP191" s="99"/>
      <c r="CQ191" s="99"/>
      <c r="CR191" s="100"/>
      <c r="CS191" s="394"/>
      <c r="CT191" s="394"/>
      <c r="CU191" s="394"/>
      <c r="CV191" s="102"/>
      <c r="CW191" s="102"/>
      <c r="CX191" s="102"/>
      <c r="CY191" s="409"/>
      <c r="CZ191" s="394"/>
      <c r="DA191" s="394"/>
      <c r="DB191" s="394"/>
      <c r="DC191" s="394"/>
      <c r="DD191" s="394"/>
      <c r="DE191" s="394"/>
      <c r="DF191" s="102"/>
      <c r="DG191" s="102"/>
      <c r="DH191" s="102"/>
      <c r="DI191" s="394"/>
      <c r="DJ191" s="394"/>
      <c r="DK191" s="394"/>
      <c r="DL191" s="394"/>
      <c r="DM191" s="394"/>
      <c r="DN191" s="394"/>
      <c r="DO191" s="394"/>
      <c r="DP191" s="102"/>
      <c r="DQ191" s="102"/>
      <c r="DR191" s="102"/>
      <c r="DS191" s="407"/>
      <c r="DT191" s="394"/>
      <c r="DU191" s="394"/>
      <c r="DV191" s="394"/>
      <c r="DW191" s="394"/>
      <c r="DX191" s="394"/>
      <c r="DY191" s="394"/>
      <c r="DZ191" s="102"/>
      <c r="EA191" s="102"/>
      <c r="EB191" s="102"/>
      <c r="EC191" s="102"/>
      <c r="ED191" s="102"/>
      <c r="EE191" s="102"/>
      <c r="EF191" s="102"/>
      <c r="EG191" s="102"/>
      <c r="EH191" s="102"/>
      <c r="EI191" s="102"/>
      <c r="EJ191" s="102"/>
      <c r="EK191" s="102"/>
      <c r="EL191" s="395"/>
      <c r="EM191" s="394"/>
      <c r="EN191" s="394"/>
      <c r="EO191" s="394"/>
      <c r="EP191" s="394"/>
      <c r="EQ191" s="394"/>
      <c r="ER191" s="394"/>
      <c r="ES191" s="394"/>
      <c r="ET191" s="394"/>
      <c r="EU191" s="394"/>
      <c r="EV191" s="394"/>
      <c r="EW191" s="394"/>
      <c r="EX191" s="394"/>
      <c r="EY191" s="394"/>
    </row>
    <row r="192" spans="1:155" s="398" customFormat="1" ht="14.1" customHeight="1">
      <c r="A192" s="173">
        <v>46</v>
      </c>
      <c r="B192" s="397" t="s">
        <v>304</v>
      </c>
      <c r="C192" s="189"/>
      <c r="D192" s="316" t="e">
        <f t="shared" si="550"/>
        <v>#DIV/0!</v>
      </c>
      <c r="E192" s="319" t="e">
        <f t="shared" si="551"/>
        <v>#DIV/0!</v>
      </c>
      <c r="F192" s="319" t="e">
        <f t="shared" si="552"/>
        <v>#DIV/0!</v>
      </c>
      <c r="G192" s="322" t="e">
        <f t="shared" si="553"/>
        <v>#DIV/0!</v>
      </c>
      <c r="H192" s="332"/>
      <c r="I192" s="301"/>
      <c r="J192" s="301"/>
      <c r="K192" s="301">
        <v>0</v>
      </c>
      <c r="L192" s="301">
        <v>0</v>
      </c>
      <c r="M192" s="301"/>
      <c r="N192" s="301"/>
      <c r="O192" s="301"/>
      <c r="P192" s="301"/>
      <c r="Q192" s="303"/>
      <c r="R192" s="305"/>
      <c r="S192" s="308"/>
      <c r="T192" s="308"/>
      <c r="U192" s="308">
        <v>0</v>
      </c>
      <c r="V192" s="308">
        <v>0</v>
      </c>
      <c r="W192" s="308"/>
      <c r="X192" s="335">
        <v>20.5</v>
      </c>
      <c r="Y192" s="305">
        <f t="shared" ref="Y192" si="582">H192*R192*10</f>
        <v>0</v>
      </c>
      <c r="Z192" s="308">
        <f t="shared" ref="Z192" si="583">I192*S192*10</f>
        <v>0</v>
      </c>
      <c r="AA192" s="308">
        <f t="shared" ref="AA192" si="584">J192*T192*10</f>
        <v>0</v>
      </c>
      <c r="AB192" s="308">
        <f t="shared" ref="AB192" si="585">K192*U192*10</f>
        <v>0</v>
      </c>
      <c r="AC192" s="308">
        <f t="shared" ref="AC192" si="586">L192*V192*10</f>
        <v>0</v>
      </c>
      <c r="AD192" s="308">
        <f t="shared" ref="AD192" si="587">M192*W192*10</f>
        <v>0</v>
      </c>
      <c r="AE192" s="335">
        <f t="shared" ref="AE192" si="588">O192*X192*10</f>
        <v>0</v>
      </c>
      <c r="AF192" s="305"/>
      <c r="AG192" s="301"/>
      <c r="AH192" s="301"/>
      <c r="AI192" s="301">
        <v>0</v>
      </c>
      <c r="AJ192" s="301">
        <v>0</v>
      </c>
      <c r="AK192" s="301"/>
      <c r="AL192" s="303"/>
      <c r="AM192" s="332">
        <f t="shared" ref="AM192" si="589">AF192*10*H192</f>
        <v>0</v>
      </c>
      <c r="AN192" s="301">
        <f t="shared" ref="AN192" si="590">AG192*I192*10</f>
        <v>0</v>
      </c>
      <c r="AO192" s="301">
        <f t="shared" ref="AO192" si="591">AH192*J192*10</f>
        <v>0</v>
      </c>
      <c r="AP192" s="301">
        <f t="shared" ref="AP192" si="592">AI192*K192*10</f>
        <v>0</v>
      </c>
      <c r="AQ192" s="301">
        <f t="shared" ref="AQ192" si="593">AJ192*L192*10</f>
        <v>0</v>
      </c>
      <c r="AR192" s="301">
        <f t="shared" ref="AR192" si="594">AK192*M192*10</f>
        <v>0</v>
      </c>
      <c r="AS192" s="301">
        <f t="shared" ref="AS192" si="595">AL192*N192*10</f>
        <v>0</v>
      </c>
      <c r="AT192" s="332"/>
      <c r="AU192" s="301"/>
      <c r="AV192" s="301"/>
      <c r="AW192" s="301"/>
      <c r="AX192" s="301"/>
      <c r="AY192" s="301"/>
      <c r="AZ192" s="303"/>
      <c r="BA192" s="332">
        <f t="shared" ref="BA192" si="596">(H192*3*1000)/(1-AT192/100)</f>
        <v>0</v>
      </c>
      <c r="BB192" s="332">
        <f t="shared" ref="BB192" si="597">(I192*3*1000)/(1-AU192/100)</f>
        <v>0</v>
      </c>
      <c r="BC192" s="332">
        <f t="shared" ref="BC192" si="598">(J192*3*1000)/(1-AV192/100)</f>
        <v>0</v>
      </c>
      <c r="BD192" s="332">
        <f t="shared" ref="BD192" si="599">(K192*3*1000)/(1-AW192/100)</f>
        <v>0</v>
      </c>
      <c r="BE192" s="332">
        <f t="shared" ref="BE192" si="600">(L192*3*1000)/(1-AX192/100)</f>
        <v>0</v>
      </c>
      <c r="BF192" s="332">
        <f t="shared" ref="BF192" si="601">(M192*3*1000)/(1-AY192/100)</f>
        <v>0</v>
      </c>
      <c r="BG192" s="332">
        <f t="shared" ref="BG192" si="602">(N192*3*1000)/(1-AZ192/100)</f>
        <v>0</v>
      </c>
      <c r="BH192" s="332">
        <f t="shared" ref="BH192" si="603">H192+I192+J192+K192+L192</f>
        <v>0</v>
      </c>
      <c r="BI192" s="301">
        <f t="shared" ref="BI192" si="604">M192+N192+O192</f>
        <v>0</v>
      </c>
      <c r="BJ192" s="301">
        <f t="shared" ref="BJ192" si="605">BH192+BI192</f>
        <v>0</v>
      </c>
      <c r="BK192" s="301">
        <f t="shared" ref="BK192" si="606">Y192+Z192+AA192+AB192+AC192+AD192+AE192</f>
        <v>0</v>
      </c>
      <c r="BL192" s="301">
        <f t="shared" ref="BL192" si="607">AM192+AN192+AO192+AP192+AQ192+AR192+AS192</f>
        <v>0</v>
      </c>
      <c r="BM192" s="301">
        <f t="shared" ref="BM192" si="608">BJ192*3*1000</f>
        <v>0</v>
      </c>
      <c r="BN192" s="303">
        <f t="shared" ref="BN192" si="609">BA192+BB192+BC192+BD192+BE192+BF192+BG192</f>
        <v>0</v>
      </c>
      <c r="BO192" s="216"/>
      <c r="BP192" s="216"/>
      <c r="BQ192" s="216"/>
      <c r="BR192" s="216"/>
      <c r="BS192" s="216"/>
      <c r="BT192" s="216"/>
      <c r="BU192" s="218"/>
      <c r="BV192" s="218"/>
      <c r="BW192" s="218"/>
      <c r="BX192" s="218"/>
      <c r="BY192" s="218"/>
      <c r="BZ192" s="218"/>
      <c r="CA192" s="218"/>
      <c r="CB192" s="218"/>
      <c r="CC192" s="218"/>
      <c r="CD192" s="218"/>
      <c r="CE192" s="218"/>
      <c r="CF192" s="218"/>
      <c r="CG192" s="218"/>
      <c r="CH192" s="218"/>
      <c r="CI192" s="218"/>
      <c r="CJ192" s="218"/>
      <c r="CK192" s="218"/>
      <c r="CL192" s="218"/>
      <c r="CM192" s="220"/>
      <c r="CN192" s="220"/>
      <c r="CO192" s="139"/>
      <c r="CP192" s="122"/>
      <c r="CQ192" s="122"/>
      <c r="CR192" s="123"/>
      <c r="CS192" s="169"/>
      <c r="CT192" s="169"/>
      <c r="CU192" s="169"/>
      <c r="CV192" s="79"/>
      <c r="CW192" s="79"/>
      <c r="CX192" s="79"/>
      <c r="CY192" s="410"/>
      <c r="CZ192" s="169"/>
      <c r="DA192" s="169"/>
      <c r="DB192" s="169"/>
      <c r="DC192" s="169"/>
      <c r="DD192" s="169"/>
      <c r="DE192" s="169"/>
      <c r="DF192" s="79"/>
      <c r="DG192" s="79"/>
      <c r="DH192" s="79"/>
      <c r="DI192" s="169"/>
      <c r="DJ192" s="169"/>
      <c r="DK192" s="169"/>
      <c r="DL192" s="169"/>
      <c r="DM192" s="169"/>
      <c r="DN192" s="169"/>
      <c r="DO192" s="169"/>
      <c r="DP192" s="79"/>
      <c r="DQ192" s="79"/>
      <c r="DR192" s="79"/>
      <c r="DS192" s="405"/>
      <c r="DT192" s="169"/>
      <c r="DU192" s="169"/>
      <c r="DV192" s="169"/>
      <c r="DW192" s="169"/>
      <c r="DX192" s="169"/>
      <c r="DY192" s="169"/>
      <c r="DZ192" s="79"/>
      <c r="EA192" s="79"/>
      <c r="EB192" s="79"/>
      <c r="EC192" s="79"/>
      <c r="ED192" s="79"/>
      <c r="EE192" s="79"/>
      <c r="EF192" s="79"/>
      <c r="EG192" s="79"/>
      <c r="EH192" s="79"/>
      <c r="EI192" s="79"/>
      <c r="EJ192" s="79"/>
      <c r="EK192" s="79"/>
      <c r="EL192" s="403"/>
      <c r="EM192" s="169"/>
      <c r="EN192" s="169"/>
      <c r="EO192" s="169"/>
      <c r="EP192" s="169"/>
      <c r="EQ192" s="169"/>
      <c r="ER192" s="169"/>
      <c r="ES192" s="169"/>
      <c r="ET192" s="169"/>
      <c r="EU192" s="169"/>
      <c r="EV192" s="169"/>
      <c r="EW192" s="169"/>
      <c r="EX192" s="169"/>
      <c r="EY192" s="169"/>
    </row>
    <row r="193" spans="1:155" ht="14.1" customHeight="1">
      <c r="A193" s="174"/>
      <c r="B193" s="397" t="s">
        <v>304</v>
      </c>
      <c r="C193" s="190"/>
      <c r="D193" s="317" t="e">
        <f t="shared" si="550"/>
        <v>#DIV/0!</v>
      </c>
      <c r="E193" s="320" t="e">
        <f t="shared" si="551"/>
        <v>#DIV/0!</v>
      </c>
      <c r="F193" s="320" t="e">
        <f t="shared" si="552"/>
        <v>#DIV/0!</v>
      </c>
      <c r="G193" s="323" t="e">
        <f t="shared" si="553"/>
        <v>#DIV/0!</v>
      </c>
      <c r="H193" s="333"/>
      <c r="I193" s="211"/>
      <c r="J193" s="211"/>
      <c r="K193" s="211"/>
      <c r="L193" s="211"/>
      <c r="M193" s="211"/>
      <c r="N193" s="211"/>
      <c r="O193" s="211"/>
      <c r="P193" s="211"/>
      <c r="Q193" s="214"/>
      <c r="R193" s="306"/>
      <c r="S193" s="309"/>
      <c r="T193" s="309"/>
      <c r="U193" s="309"/>
      <c r="V193" s="309"/>
      <c r="W193" s="309"/>
      <c r="X193" s="336"/>
      <c r="Y193" s="306"/>
      <c r="Z193" s="309"/>
      <c r="AA193" s="309"/>
      <c r="AB193" s="309"/>
      <c r="AC193" s="309"/>
      <c r="AD193" s="309"/>
      <c r="AE193" s="336"/>
      <c r="AF193" s="306"/>
      <c r="AG193" s="211"/>
      <c r="AH193" s="211"/>
      <c r="AI193" s="211"/>
      <c r="AJ193" s="211"/>
      <c r="AK193" s="211"/>
      <c r="AL193" s="214"/>
      <c r="AM193" s="333"/>
      <c r="AN193" s="211"/>
      <c r="AO193" s="211"/>
      <c r="AP193" s="211"/>
      <c r="AQ193" s="211"/>
      <c r="AR193" s="211"/>
      <c r="AS193" s="211"/>
      <c r="AT193" s="333"/>
      <c r="AU193" s="211"/>
      <c r="AV193" s="211"/>
      <c r="AW193" s="211"/>
      <c r="AX193" s="211"/>
      <c r="AY193" s="211"/>
      <c r="AZ193" s="214"/>
      <c r="BA193" s="333"/>
      <c r="BB193" s="333"/>
      <c r="BC193" s="333"/>
      <c r="BD193" s="333"/>
      <c r="BE193" s="333"/>
      <c r="BF193" s="333"/>
      <c r="BG193" s="333"/>
      <c r="BH193" s="333"/>
      <c r="BI193" s="211"/>
      <c r="BJ193" s="211"/>
      <c r="BK193" s="211"/>
      <c r="BL193" s="211"/>
      <c r="BM193" s="211"/>
      <c r="BN193" s="214"/>
      <c r="BO193" s="196"/>
      <c r="BP193" s="196"/>
      <c r="BQ193" s="196"/>
      <c r="BR193" s="196"/>
      <c r="BS193" s="196"/>
      <c r="BT193" s="196"/>
      <c r="BU193" s="193"/>
      <c r="BV193" s="193"/>
      <c r="BW193" s="193"/>
      <c r="BX193" s="193"/>
      <c r="BY193" s="193"/>
      <c r="BZ193" s="193"/>
      <c r="CA193" s="193"/>
      <c r="CB193" s="193"/>
      <c r="CC193" s="193"/>
      <c r="CD193" s="193"/>
      <c r="CE193" s="193"/>
      <c r="CF193" s="193"/>
      <c r="CG193" s="193"/>
      <c r="CH193" s="193"/>
      <c r="CI193" s="193"/>
      <c r="CJ193" s="193"/>
      <c r="CK193" s="193"/>
      <c r="CL193" s="193"/>
      <c r="CM193" s="205"/>
      <c r="CN193" s="205"/>
      <c r="CO193" s="24"/>
      <c r="CP193" s="21"/>
      <c r="CQ193" s="21"/>
      <c r="CR193" s="22"/>
      <c r="CS193" s="54"/>
      <c r="CT193" s="54"/>
      <c r="CU193" s="54"/>
      <c r="CV193" s="8"/>
      <c r="CW193" s="8"/>
      <c r="CX193" s="8"/>
      <c r="CY193" s="408"/>
      <c r="CZ193" s="54"/>
      <c r="DA193" s="54"/>
      <c r="DB193" s="54"/>
      <c r="DC193" s="54"/>
      <c r="DD193" s="54"/>
      <c r="DE193" s="54"/>
      <c r="DF193" s="8"/>
      <c r="DG193" s="8"/>
      <c r="DH193" s="8"/>
      <c r="DI193" s="54"/>
      <c r="DJ193" s="54"/>
      <c r="DK193" s="54"/>
      <c r="DL193" s="54"/>
      <c r="DM193" s="54"/>
      <c r="DN193" s="54"/>
      <c r="DO193" s="54"/>
      <c r="DP193" s="8"/>
      <c r="DQ193" s="8"/>
      <c r="DR193" s="8"/>
      <c r="DS193" s="406"/>
      <c r="DT193" s="54"/>
      <c r="DU193" s="54"/>
      <c r="DV193" s="54"/>
      <c r="DW193" s="54"/>
      <c r="DX193" s="54"/>
      <c r="DY193" s="54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404"/>
      <c r="EM193" s="54"/>
      <c r="EN193" s="54"/>
      <c r="EO193" s="54"/>
      <c r="EP193" s="54"/>
      <c r="EQ193" s="54"/>
      <c r="ER193" s="54"/>
      <c r="ES193" s="54"/>
      <c r="ET193" s="54"/>
      <c r="EU193" s="54"/>
      <c r="EV193" s="54"/>
      <c r="EW193" s="54"/>
      <c r="EX193" s="54"/>
      <c r="EY193" s="54"/>
    </row>
    <row r="194" spans="1:155" ht="14.1" customHeight="1">
      <c r="A194" s="174"/>
      <c r="B194" s="397" t="s">
        <v>304</v>
      </c>
      <c r="C194" s="190"/>
      <c r="D194" s="317" t="e">
        <f t="shared" si="550"/>
        <v>#DIV/0!</v>
      </c>
      <c r="E194" s="320" t="e">
        <f t="shared" si="551"/>
        <v>#DIV/0!</v>
      </c>
      <c r="F194" s="320" t="e">
        <f t="shared" si="552"/>
        <v>#DIV/0!</v>
      </c>
      <c r="G194" s="323" t="e">
        <f t="shared" si="553"/>
        <v>#DIV/0!</v>
      </c>
      <c r="H194" s="333"/>
      <c r="I194" s="211"/>
      <c r="J194" s="211"/>
      <c r="K194" s="211"/>
      <c r="L194" s="211"/>
      <c r="M194" s="211"/>
      <c r="N194" s="211"/>
      <c r="O194" s="211"/>
      <c r="P194" s="211"/>
      <c r="Q194" s="214"/>
      <c r="R194" s="306"/>
      <c r="S194" s="309"/>
      <c r="T194" s="309"/>
      <c r="U194" s="309"/>
      <c r="V194" s="309"/>
      <c r="W194" s="309"/>
      <c r="X194" s="336"/>
      <c r="Y194" s="306"/>
      <c r="Z194" s="309"/>
      <c r="AA194" s="309"/>
      <c r="AB194" s="309"/>
      <c r="AC194" s="309"/>
      <c r="AD194" s="309"/>
      <c r="AE194" s="336"/>
      <c r="AF194" s="306"/>
      <c r="AG194" s="211"/>
      <c r="AH194" s="211"/>
      <c r="AI194" s="211"/>
      <c r="AJ194" s="211"/>
      <c r="AK194" s="211"/>
      <c r="AL194" s="214"/>
      <c r="AM194" s="333"/>
      <c r="AN194" s="211"/>
      <c r="AO194" s="211"/>
      <c r="AP194" s="211"/>
      <c r="AQ194" s="211"/>
      <c r="AR194" s="211"/>
      <c r="AS194" s="211"/>
      <c r="AT194" s="333"/>
      <c r="AU194" s="211"/>
      <c r="AV194" s="211"/>
      <c r="AW194" s="211"/>
      <c r="AX194" s="211"/>
      <c r="AY194" s="211"/>
      <c r="AZ194" s="214"/>
      <c r="BA194" s="333"/>
      <c r="BB194" s="333"/>
      <c r="BC194" s="333"/>
      <c r="BD194" s="333"/>
      <c r="BE194" s="333"/>
      <c r="BF194" s="333"/>
      <c r="BG194" s="333"/>
      <c r="BH194" s="333"/>
      <c r="BI194" s="211"/>
      <c r="BJ194" s="211"/>
      <c r="BK194" s="211"/>
      <c r="BL194" s="211"/>
      <c r="BM194" s="211"/>
      <c r="BN194" s="214"/>
      <c r="BO194" s="196"/>
      <c r="BP194" s="196"/>
      <c r="BQ194" s="196"/>
      <c r="BR194" s="196"/>
      <c r="BS194" s="196"/>
      <c r="BT194" s="196"/>
      <c r="BU194" s="193"/>
      <c r="BV194" s="193"/>
      <c r="BW194" s="193"/>
      <c r="BX194" s="193"/>
      <c r="BY194" s="193"/>
      <c r="BZ194" s="193"/>
      <c r="CA194" s="193"/>
      <c r="CB194" s="193"/>
      <c r="CC194" s="193"/>
      <c r="CD194" s="193"/>
      <c r="CE194" s="193"/>
      <c r="CF194" s="193"/>
      <c r="CG194" s="193"/>
      <c r="CH194" s="193"/>
      <c r="CI194" s="193"/>
      <c r="CJ194" s="193"/>
      <c r="CK194" s="193"/>
      <c r="CL194" s="193"/>
      <c r="CM194" s="205"/>
      <c r="CN194" s="205"/>
      <c r="CO194" s="24"/>
      <c r="CP194" s="21"/>
      <c r="CQ194" s="21"/>
      <c r="CR194" s="22"/>
      <c r="CS194" s="54"/>
      <c r="CT194" s="54"/>
      <c r="CU194" s="54"/>
      <c r="CV194" s="8"/>
      <c r="CW194" s="8"/>
      <c r="CX194" s="8"/>
      <c r="CY194" s="54"/>
      <c r="CZ194" s="54"/>
      <c r="DA194" s="54"/>
      <c r="DB194" s="54"/>
      <c r="DC194" s="54"/>
      <c r="DD194" s="54"/>
      <c r="DE194" s="54"/>
      <c r="DF194" s="8"/>
      <c r="DG194" s="8"/>
      <c r="DH194" s="8"/>
      <c r="DI194" s="54"/>
      <c r="DJ194" s="54"/>
      <c r="DK194" s="54"/>
      <c r="DL194" s="54"/>
      <c r="DM194" s="54"/>
      <c r="DN194" s="54"/>
      <c r="DO194" s="54"/>
      <c r="DP194" s="8"/>
      <c r="DQ194" s="8"/>
      <c r="DR194" s="8"/>
      <c r="DS194" s="406"/>
      <c r="DT194" s="54"/>
      <c r="DU194" s="54"/>
      <c r="DV194" s="54"/>
      <c r="DW194" s="54"/>
      <c r="DX194" s="54"/>
      <c r="DY194" s="54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404"/>
      <c r="EM194" s="54"/>
      <c r="EN194" s="54"/>
      <c r="EO194" s="54"/>
      <c r="EP194" s="54"/>
      <c r="EQ194" s="54"/>
      <c r="ER194" s="54"/>
      <c r="ES194" s="54"/>
      <c r="ET194" s="54"/>
      <c r="EU194" s="54"/>
      <c r="EV194" s="54"/>
      <c r="EW194" s="54"/>
      <c r="EX194" s="54"/>
      <c r="EY194" s="54"/>
    </row>
    <row r="195" spans="1:155" s="401" customFormat="1" ht="14.1" customHeight="1" thickBot="1">
      <c r="A195" s="175"/>
      <c r="B195" s="400" t="s">
        <v>304</v>
      </c>
      <c r="C195" s="191"/>
      <c r="D195" s="318" t="e">
        <f t="shared" si="550"/>
        <v>#DIV/0!</v>
      </c>
      <c r="E195" s="321" t="e">
        <f t="shared" si="551"/>
        <v>#DIV/0!</v>
      </c>
      <c r="F195" s="321" t="e">
        <f t="shared" si="552"/>
        <v>#DIV/0!</v>
      </c>
      <c r="G195" s="324" t="e">
        <f t="shared" si="553"/>
        <v>#DIV/0!</v>
      </c>
      <c r="H195" s="334"/>
      <c r="I195" s="302"/>
      <c r="J195" s="302"/>
      <c r="K195" s="302"/>
      <c r="L195" s="302"/>
      <c r="M195" s="302"/>
      <c r="N195" s="302"/>
      <c r="O195" s="302"/>
      <c r="P195" s="302"/>
      <c r="Q195" s="304"/>
      <c r="R195" s="307"/>
      <c r="S195" s="310"/>
      <c r="T195" s="310"/>
      <c r="U195" s="310"/>
      <c r="V195" s="310"/>
      <c r="W195" s="310"/>
      <c r="X195" s="337"/>
      <c r="Y195" s="307"/>
      <c r="Z195" s="310"/>
      <c r="AA195" s="310"/>
      <c r="AB195" s="310"/>
      <c r="AC195" s="310"/>
      <c r="AD195" s="310"/>
      <c r="AE195" s="337"/>
      <c r="AF195" s="307"/>
      <c r="AG195" s="302"/>
      <c r="AH195" s="302"/>
      <c r="AI195" s="302"/>
      <c r="AJ195" s="302"/>
      <c r="AK195" s="302"/>
      <c r="AL195" s="304"/>
      <c r="AM195" s="334"/>
      <c r="AN195" s="302"/>
      <c r="AO195" s="302"/>
      <c r="AP195" s="302"/>
      <c r="AQ195" s="302"/>
      <c r="AR195" s="302"/>
      <c r="AS195" s="302"/>
      <c r="AT195" s="334"/>
      <c r="AU195" s="302"/>
      <c r="AV195" s="302"/>
      <c r="AW195" s="302"/>
      <c r="AX195" s="302"/>
      <c r="AY195" s="302"/>
      <c r="AZ195" s="304"/>
      <c r="BA195" s="334"/>
      <c r="BB195" s="334"/>
      <c r="BC195" s="334"/>
      <c r="BD195" s="334"/>
      <c r="BE195" s="334"/>
      <c r="BF195" s="334"/>
      <c r="BG195" s="334"/>
      <c r="BH195" s="334"/>
      <c r="BI195" s="302"/>
      <c r="BJ195" s="302"/>
      <c r="BK195" s="302"/>
      <c r="BL195" s="302"/>
      <c r="BM195" s="302"/>
      <c r="BN195" s="304"/>
      <c r="BO195" s="217"/>
      <c r="BP195" s="217"/>
      <c r="BQ195" s="217"/>
      <c r="BR195" s="217"/>
      <c r="BS195" s="217"/>
      <c r="BT195" s="217"/>
      <c r="BU195" s="219"/>
      <c r="BV195" s="219"/>
      <c r="BW195" s="219"/>
      <c r="BX195" s="219"/>
      <c r="BY195" s="219"/>
      <c r="BZ195" s="219"/>
      <c r="CA195" s="219"/>
      <c r="CB195" s="219"/>
      <c r="CC195" s="219"/>
      <c r="CD195" s="219"/>
      <c r="CE195" s="219"/>
      <c r="CF195" s="219"/>
      <c r="CG195" s="219"/>
      <c r="CH195" s="219"/>
      <c r="CI195" s="219"/>
      <c r="CJ195" s="219"/>
      <c r="CK195" s="219"/>
      <c r="CL195" s="219"/>
      <c r="CM195" s="221"/>
      <c r="CN195" s="221"/>
      <c r="CO195" s="103"/>
      <c r="CP195" s="99"/>
      <c r="CQ195" s="99"/>
      <c r="CR195" s="100"/>
      <c r="CS195" s="394"/>
      <c r="CT195" s="394"/>
      <c r="CU195" s="394"/>
      <c r="CV195" s="102"/>
      <c r="CW195" s="102"/>
      <c r="CX195" s="102"/>
      <c r="CY195" s="394"/>
      <c r="CZ195" s="394"/>
      <c r="DA195" s="394"/>
      <c r="DB195" s="394"/>
      <c r="DC195" s="394"/>
      <c r="DD195" s="394"/>
      <c r="DE195" s="394"/>
      <c r="DF195" s="102"/>
      <c r="DG195" s="102"/>
      <c r="DH195" s="102"/>
      <c r="DI195" s="394"/>
      <c r="DJ195" s="394"/>
      <c r="DK195" s="394"/>
      <c r="DL195" s="394"/>
      <c r="DM195" s="394"/>
      <c r="DN195" s="394"/>
      <c r="DO195" s="394"/>
      <c r="DP195" s="102"/>
      <c r="DQ195" s="102"/>
      <c r="DR195" s="102"/>
      <c r="DS195" s="407"/>
      <c r="DT195" s="394"/>
      <c r="DU195" s="394"/>
      <c r="DV195" s="394"/>
      <c r="DW195" s="394"/>
      <c r="DX195" s="394"/>
      <c r="DY195" s="394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395"/>
      <c r="EM195" s="394"/>
      <c r="EN195" s="394"/>
      <c r="EO195" s="394"/>
      <c r="EP195" s="394"/>
      <c r="EQ195" s="394"/>
      <c r="ER195" s="394"/>
      <c r="ES195" s="394"/>
      <c r="ET195" s="394"/>
      <c r="EU195" s="394"/>
      <c r="EV195" s="394"/>
      <c r="EW195" s="394"/>
      <c r="EX195" s="394"/>
      <c r="EY195" s="394"/>
    </row>
    <row r="196" spans="1:155" s="398" customFormat="1" ht="14.1" customHeight="1">
      <c r="A196" s="173">
        <v>47</v>
      </c>
      <c r="B196" s="397" t="s">
        <v>305</v>
      </c>
      <c r="C196" s="189"/>
      <c r="D196" s="316" t="e">
        <f t="shared" si="550"/>
        <v>#DIV/0!</v>
      </c>
      <c r="E196" s="319" t="e">
        <f t="shared" si="551"/>
        <v>#DIV/0!</v>
      </c>
      <c r="F196" s="319" t="e">
        <f t="shared" si="552"/>
        <v>#DIV/0!</v>
      </c>
      <c r="G196" s="322" t="e">
        <f t="shared" si="553"/>
        <v>#DIV/0!</v>
      </c>
      <c r="H196" s="332"/>
      <c r="I196" s="301"/>
      <c r="J196" s="301"/>
      <c r="K196" s="301">
        <v>0</v>
      </c>
      <c r="L196" s="301">
        <v>0</v>
      </c>
      <c r="M196" s="301"/>
      <c r="N196" s="301"/>
      <c r="O196" s="301"/>
      <c r="P196" s="301"/>
      <c r="Q196" s="303"/>
      <c r="R196" s="305"/>
      <c r="S196" s="308"/>
      <c r="T196" s="308"/>
      <c r="U196" s="308">
        <v>0</v>
      </c>
      <c r="V196" s="308">
        <v>0</v>
      </c>
      <c r="W196" s="308"/>
      <c r="X196" s="335">
        <v>20.5</v>
      </c>
      <c r="Y196" s="305">
        <f t="shared" ref="Y196" si="610">H196*R196*10</f>
        <v>0</v>
      </c>
      <c r="Z196" s="308">
        <f t="shared" ref="Z196" si="611">I196*S196*10</f>
        <v>0</v>
      </c>
      <c r="AA196" s="308">
        <f t="shared" ref="AA196" si="612">J196*T196*10</f>
        <v>0</v>
      </c>
      <c r="AB196" s="308">
        <f t="shared" ref="AB196" si="613">K196*U196*10</f>
        <v>0</v>
      </c>
      <c r="AC196" s="308">
        <f t="shared" ref="AC196" si="614">L196*V196*10</f>
        <v>0</v>
      </c>
      <c r="AD196" s="308">
        <f t="shared" ref="AD196" si="615">M196*W196*10</f>
        <v>0</v>
      </c>
      <c r="AE196" s="335">
        <f t="shared" ref="AE196" si="616">O196*X196*10</f>
        <v>0</v>
      </c>
      <c r="AF196" s="305"/>
      <c r="AG196" s="301"/>
      <c r="AH196" s="301"/>
      <c r="AI196" s="301">
        <v>0</v>
      </c>
      <c r="AJ196" s="301">
        <v>0</v>
      </c>
      <c r="AK196" s="301"/>
      <c r="AL196" s="303"/>
      <c r="AM196" s="332">
        <f t="shared" ref="AM196" si="617">AF196*10*H196</f>
        <v>0</v>
      </c>
      <c r="AN196" s="301">
        <f t="shared" ref="AN196" si="618">AG196*I196*10</f>
        <v>0</v>
      </c>
      <c r="AO196" s="301">
        <f t="shared" ref="AO196" si="619">AH196*J196*10</f>
        <v>0</v>
      </c>
      <c r="AP196" s="301">
        <f t="shared" ref="AP196" si="620">AI196*K196*10</f>
        <v>0</v>
      </c>
      <c r="AQ196" s="301">
        <f t="shared" ref="AQ196" si="621">AJ196*L196*10</f>
        <v>0</v>
      </c>
      <c r="AR196" s="301">
        <f t="shared" ref="AR196" si="622">AK196*M196*10</f>
        <v>0</v>
      </c>
      <c r="AS196" s="301">
        <f t="shared" ref="AS196" si="623">AL196*N196*10</f>
        <v>0</v>
      </c>
      <c r="AT196" s="332"/>
      <c r="AU196" s="301"/>
      <c r="AV196" s="301"/>
      <c r="AW196" s="301"/>
      <c r="AX196" s="301"/>
      <c r="AY196" s="301"/>
      <c r="AZ196" s="303"/>
      <c r="BA196" s="332">
        <f t="shared" ref="BA196" si="624">(H196*3*1000)/(1-AT196/100)</f>
        <v>0</v>
      </c>
      <c r="BB196" s="332">
        <f t="shared" ref="BB196" si="625">(I196*3*1000)/(1-AU196/100)</f>
        <v>0</v>
      </c>
      <c r="BC196" s="332">
        <f t="shared" ref="BC196" si="626">(J196*3*1000)/(1-AV196/100)</f>
        <v>0</v>
      </c>
      <c r="BD196" s="332">
        <f t="shared" ref="BD196" si="627">(K196*3*1000)/(1-AW196/100)</f>
        <v>0</v>
      </c>
      <c r="BE196" s="332">
        <f t="shared" ref="BE196" si="628">(L196*3*1000)/(1-AX196/100)</f>
        <v>0</v>
      </c>
      <c r="BF196" s="332">
        <f t="shared" ref="BF196" si="629">(M196*3*1000)/(1-AY196/100)</f>
        <v>0</v>
      </c>
      <c r="BG196" s="332">
        <f t="shared" ref="BG196" si="630">(N196*3*1000)/(1-AZ196/100)</f>
        <v>0</v>
      </c>
      <c r="BH196" s="332">
        <f t="shared" ref="BH196" si="631">H196+I196+J196+K196+L196</f>
        <v>0</v>
      </c>
      <c r="BI196" s="301">
        <f t="shared" ref="BI196" si="632">M196+N196+O196</f>
        <v>0</v>
      </c>
      <c r="BJ196" s="301">
        <f t="shared" ref="BJ196" si="633">BH196+BI196</f>
        <v>0</v>
      </c>
      <c r="BK196" s="301">
        <f t="shared" ref="BK196" si="634">Y196+Z196+AA196+AB196+AC196+AD196+AE196</f>
        <v>0</v>
      </c>
      <c r="BL196" s="301">
        <f t="shared" ref="BL196" si="635">AM196+AN196+AO196+AP196+AQ196+AR196+AS196</f>
        <v>0</v>
      </c>
      <c r="BM196" s="301">
        <f t="shared" ref="BM196" si="636">BJ196*3*1000</f>
        <v>0</v>
      </c>
      <c r="BN196" s="303">
        <f t="shared" ref="BN196" si="637">BA196+BB196+BC196+BD196+BE196+BF196+BG196</f>
        <v>0</v>
      </c>
      <c r="BO196" s="216"/>
      <c r="BP196" s="216"/>
      <c r="BQ196" s="216"/>
      <c r="BR196" s="216"/>
      <c r="BS196" s="216"/>
      <c r="BT196" s="216"/>
      <c r="BU196" s="218"/>
      <c r="BV196" s="218"/>
      <c r="BW196" s="218"/>
      <c r="BX196" s="218"/>
      <c r="BY196" s="218"/>
      <c r="BZ196" s="218"/>
      <c r="CA196" s="218"/>
      <c r="CB196" s="218"/>
      <c r="CC196" s="218"/>
      <c r="CD196" s="218"/>
      <c r="CE196" s="218"/>
      <c r="CF196" s="218"/>
      <c r="CG196" s="218"/>
      <c r="CH196" s="218"/>
      <c r="CI196" s="218"/>
      <c r="CJ196" s="218"/>
      <c r="CK196" s="218"/>
      <c r="CL196" s="218"/>
      <c r="CM196" s="220"/>
      <c r="CN196" s="220"/>
      <c r="CO196" s="139"/>
      <c r="CP196" s="122"/>
      <c r="CQ196" s="122"/>
      <c r="CR196" s="123"/>
      <c r="CS196" s="169"/>
      <c r="CT196" s="169"/>
      <c r="CU196" s="169"/>
      <c r="CV196" s="79"/>
      <c r="CW196" s="79"/>
      <c r="CX196" s="79"/>
      <c r="CY196" s="169"/>
      <c r="CZ196" s="169"/>
      <c r="DA196" s="169"/>
      <c r="DB196" s="169"/>
      <c r="DC196" s="169"/>
      <c r="DD196" s="169"/>
      <c r="DE196" s="169"/>
      <c r="DF196" s="79"/>
      <c r="DG196" s="79"/>
      <c r="DH196" s="79"/>
      <c r="DI196" s="169"/>
      <c r="DJ196" s="169"/>
      <c r="DK196" s="169"/>
      <c r="DL196" s="169"/>
      <c r="DM196" s="169"/>
      <c r="DN196" s="169"/>
      <c r="DO196" s="169"/>
      <c r="DP196" s="79"/>
      <c r="DQ196" s="79"/>
      <c r="DR196" s="79"/>
      <c r="DS196" s="405"/>
      <c r="DT196" s="169"/>
      <c r="DU196" s="169"/>
      <c r="DV196" s="169"/>
      <c r="DW196" s="169"/>
      <c r="DX196" s="169"/>
      <c r="DY196" s="169"/>
      <c r="DZ196" s="79"/>
      <c r="EA196" s="79"/>
      <c r="EB196" s="79"/>
      <c r="EC196" s="79"/>
      <c r="ED196" s="79"/>
      <c r="EE196" s="79"/>
      <c r="EF196" s="79"/>
      <c r="EG196" s="79"/>
      <c r="EH196" s="79"/>
      <c r="EI196" s="79"/>
      <c r="EJ196" s="79"/>
      <c r="EK196" s="79"/>
      <c r="EL196" s="403"/>
      <c r="EM196" s="169"/>
      <c r="EN196" s="169"/>
      <c r="EO196" s="169"/>
      <c r="EP196" s="169"/>
      <c r="EQ196" s="169"/>
      <c r="ER196" s="169"/>
      <c r="ES196" s="169"/>
      <c r="ET196" s="169"/>
      <c r="EU196" s="169"/>
      <c r="EV196" s="169"/>
      <c r="EW196" s="169"/>
      <c r="EX196" s="169"/>
      <c r="EY196" s="169"/>
    </row>
    <row r="197" spans="1:155" ht="14.1" customHeight="1">
      <c r="A197" s="174"/>
      <c r="B197" s="397" t="s">
        <v>305</v>
      </c>
      <c r="C197" s="190"/>
      <c r="D197" s="317" t="e">
        <f t="shared" si="550"/>
        <v>#DIV/0!</v>
      </c>
      <c r="E197" s="320" t="e">
        <f t="shared" si="551"/>
        <v>#DIV/0!</v>
      </c>
      <c r="F197" s="320" t="e">
        <f t="shared" si="552"/>
        <v>#DIV/0!</v>
      </c>
      <c r="G197" s="323" t="e">
        <f t="shared" si="553"/>
        <v>#DIV/0!</v>
      </c>
      <c r="H197" s="333"/>
      <c r="I197" s="211"/>
      <c r="J197" s="211"/>
      <c r="K197" s="211"/>
      <c r="L197" s="211"/>
      <c r="M197" s="211"/>
      <c r="N197" s="211"/>
      <c r="O197" s="211"/>
      <c r="P197" s="211"/>
      <c r="Q197" s="214"/>
      <c r="R197" s="306"/>
      <c r="S197" s="309"/>
      <c r="T197" s="309"/>
      <c r="U197" s="309"/>
      <c r="V197" s="309"/>
      <c r="W197" s="309"/>
      <c r="X197" s="336"/>
      <c r="Y197" s="306"/>
      <c r="Z197" s="309"/>
      <c r="AA197" s="309"/>
      <c r="AB197" s="309"/>
      <c r="AC197" s="309"/>
      <c r="AD197" s="309"/>
      <c r="AE197" s="336"/>
      <c r="AF197" s="306"/>
      <c r="AG197" s="211"/>
      <c r="AH197" s="211"/>
      <c r="AI197" s="211"/>
      <c r="AJ197" s="211"/>
      <c r="AK197" s="211"/>
      <c r="AL197" s="214"/>
      <c r="AM197" s="333"/>
      <c r="AN197" s="211"/>
      <c r="AO197" s="211"/>
      <c r="AP197" s="211"/>
      <c r="AQ197" s="211"/>
      <c r="AR197" s="211"/>
      <c r="AS197" s="211"/>
      <c r="AT197" s="333"/>
      <c r="AU197" s="211"/>
      <c r="AV197" s="211"/>
      <c r="AW197" s="211"/>
      <c r="AX197" s="211"/>
      <c r="AY197" s="211"/>
      <c r="AZ197" s="214"/>
      <c r="BA197" s="333"/>
      <c r="BB197" s="333"/>
      <c r="BC197" s="333"/>
      <c r="BD197" s="333"/>
      <c r="BE197" s="333"/>
      <c r="BF197" s="333"/>
      <c r="BG197" s="333"/>
      <c r="BH197" s="333"/>
      <c r="BI197" s="211"/>
      <c r="BJ197" s="211"/>
      <c r="BK197" s="211"/>
      <c r="BL197" s="211"/>
      <c r="BM197" s="211"/>
      <c r="BN197" s="214"/>
      <c r="BO197" s="196"/>
      <c r="BP197" s="196"/>
      <c r="BQ197" s="196"/>
      <c r="BR197" s="196"/>
      <c r="BS197" s="196"/>
      <c r="BT197" s="196"/>
      <c r="BU197" s="193"/>
      <c r="BV197" s="193"/>
      <c r="BW197" s="193"/>
      <c r="BX197" s="193"/>
      <c r="BY197" s="193"/>
      <c r="BZ197" s="193"/>
      <c r="CA197" s="193"/>
      <c r="CB197" s="193"/>
      <c r="CC197" s="193"/>
      <c r="CD197" s="193"/>
      <c r="CE197" s="193"/>
      <c r="CF197" s="193"/>
      <c r="CG197" s="193"/>
      <c r="CH197" s="193"/>
      <c r="CI197" s="193"/>
      <c r="CJ197" s="193"/>
      <c r="CK197" s="193"/>
      <c r="CL197" s="193"/>
      <c r="CM197" s="205"/>
      <c r="CN197" s="205"/>
      <c r="CO197" s="24"/>
      <c r="CP197" s="21"/>
      <c r="CQ197" s="21"/>
      <c r="CR197" s="22"/>
      <c r="CS197" s="54"/>
      <c r="CT197" s="54"/>
      <c r="CU197" s="54"/>
      <c r="CV197" s="8"/>
      <c r="CW197" s="8"/>
      <c r="CX197" s="8"/>
      <c r="CY197" s="54"/>
      <c r="CZ197" s="54"/>
      <c r="DA197" s="54"/>
      <c r="DB197" s="54"/>
      <c r="DC197" s="54"/>
      <c r="DD197" s="54"/>
      <c r="DE197" s="54"/>
      <c r="DF197" s="8"/>
      <c r="DG197" s="8"/>
      <c r="DH197" s="8"/>
      <c r="DI197" s="54"/>
      <c r="DJ197" s="54"/>
      <c r="DK197" s="54"/>
      <c r="DL197" s="54"/>
      <c r="DM197" s="54"/>
      <c r="DN197" s="54"/>
      <c r="DO197" s="54"/>
      <c r="DP197" s="8"/>
      <c r="DQ197" s="8"/>
      <c r="DR197" s="8"/>
      <c r="DS197" s="406"/>
      <c r="DT197" s="54"/>
      <c r="DU197" s="54"/>
      <c r="DV197" s="54"/>
      <c r="DW197" s="54"/>
      <c r="DX197" s="54"/>
      <c r="DY197" s="54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404"/>
      <c r="EM197" s="54"/>
      <c r="EN197" s="54"/>
      <c r="EO197" s="54"/>
      <c r="EP197" s="54"/>
      <c r="EQ197" s="54"/>
      <c r="ER197" s="54"/>
      <c r="ES197" s="54"/>
      <c r="ET197" s="54"/>
      <c r="EU197" s="54"/>
      <c r="EV197" s="54"/>
      <c r="EW197" s="54"/>
      <c r="EX197" s="54"/>
      <c r="EY197" s="54"/>
    </row>
    <row r="198" spans="1:155" ht="14.1" customHeight="1">
      <c r="A198" s="174"/>
      <c r="B198" s="397" t="s">
        <v>305</v>
      </c>
      <c r="C198" s="190"/>
      <c r="D198" s="317" t="e">
        <f t="shared" si="550"/>
        <v>#DIV/0!</v>
      </c>
      <c r="E198" s="320" t="e">
        <f t="shared" si="551"/>
        <v>#DIV/0!</v>
      </c>
      <c r="F198" s="320" t="e">
        <f t="shared" si="552"/>
        <v>#DIV/0!</v>
      </c>
      <c r="G198" s="323" t="e">
        <f t="shared" si="553"/>
        <v>#DIV/0!</v>
      </c>
      <c r="H198" s="333"/>
      <c r="I198" s="211"/>
      <c r="J198" s="211"/>
      <c r="K198" s="211"/>
      <c r="L198" s="211"/>
      <c r="M198" s="211"/>
      <c r="N198" s="211"/>
      <c r="O198" s="211"/>
      <c r="P198" s="211"/>
      <c r="Q198" s="214"/>
      <c r="R198" s="306"/>
      <c r="S198" s="309"/>
      <c r="T198" s="309"/>
      <c r="U198" s="309"/>
      <c r="V198" s="309"/>
      <c r="W198" s="309"/>
      <c r="X198" s="336"/>
      <c r="Y198" s="306"/>
      <c r="Z198" s="309"/>
      <c r="AA198" s="309"/>
      <c r="AB198" s="309"/>
      <c r="AC198" s="309"/>
      <c r="AD198" s="309"/>
      <c r="AE198" s="336"/>
      <c r="AF198" s="306"/>
      <c r="AG198" s="211"/>
      <c r="AH198" s="211"/>
      <c r="AI198" s="211"/>
      <c r="AJ198" s="211"/>
      <c r="AK198" s="211"/>
      <c r="AL198" s="214"/>
      <c r="AM198" s="333"/>
      <c r="AN198" s="211"/>
      <c r="AO198" s="211"/>
      <c r="AP198" s="211"/>
      <c r="AQ198" s="211"/>
      <c r="AR198" s="211"/>
      <c r="AS198" s="211"/>
      <c r="AT198" s="333"/>
      <c r="AU198" s="211"/>
      <c r="AV198" s="211"/>
      <c r="AW198" s="211"/>
      <c r="AX198" s="211"/>
      <c r="AY198" s="211"/>
      <c r="AZ198" s="214"/>
      <c r="BA198" s="333"/>
      <c r="BB198" s="333"/>
      <c r="BC198" s="333"/>
      <c r="BD198" s="333"/>
      <c r="BE198" s="333"/>
      <c r="BF198" s="333"/>
      <c r="BG198" s="333"/>
      <c r="BH198" s="333"/>
      <c r="BI198" s="211"/>
      <c r="BJ198" s="211"/>
      <c r="BK198" s="211"/>
      <c r="BL198" s="211"/>
      <c r="BM198" s="211"/>
      <c r="BN198" s="214"/>
      <c r="BO198" s="196"/>
      <c r="BP198" s="196"/>
      <c r="BQ198" s="196"/>
      <c r="BR198" s="196"/>
      <c r="BS198" s="196"/>
      <c r="BT198" s="196"/>
      <c r="BU198" s="193"/>
      <c r="BV198" s="193"/>
      <c r="BW198" s="193"/>
      <c r="BX198" s="193"/>
      <c r="BY198" s="193"/>
      <c r="BZ198" s="193"/>
      <c r="CA198" s="193"/>
      <c r="CB198" s="193"/>
      <c r="CC198" s="193"/>
      <c r="CD198" s="193"/>
      <c r="CE198" s="193"/>
      <c r="CF198" s="193"/>
      <c r="CG198" s="193"/>
      <c r="CH198" s="193"/>
      <c r="CI198" s="193"/>
      <c r="CJ198" s="193"/>
      <c r="CK198" s="193"/>
      <c r="CL198" s="193"/>
      <c r="CM198" s="205"/>
      <c r="CN198" s="205"/>
      <c r="CO198" s="24"/>
      <c r="CP198" s="21"/>
      <c r="CQ198" s="21"/>
      <c r="CR198" s="22"/>
      <c r="CS198" s="54"/>
      <c r="CT198" s="54"/>
      <c r="CU198" s="54"/>
      <c r="CV198" s="8"/>
      <c r="CW198" s="8"/>
      <c r="CX198" s="8"/>
      <c r="CY198" s="54"/>
      <c r="CZ198" s="54"/>
      <c r="DA198" s="54"/>
      <c r="DB198" s="54"/>
      <c r="DC198" s="54"/>
      <c r="DD198" s="54"/>
      <c r="DE198" s="54"/>
      <c r="DF198" s="8"/>
      <c r="DG198" s="8"/>
      <c r="DH198" s="8"/>
      <c r="DI198" s="54"/>
      <c r="DJ198" s="54"/>
      <c r="DK198" s="54"/>
      <c r="DL198" s="54"/>
      <c r="DM198" s="54"/>
      <c r="DN198" s="54"/>
      <c r="DO198" s="54"/>
      <c r="DP198" s="8"/>
      <c r="DQ198" s="8"/>
      <c r="DR198" s="8"/>
      <c r="DS198" s="406"/>
      <c r="DT198" s="54"/>
      <c r="DU198" s="54"/>
      <c r="DV198" s="54"/>
      <c r="DW198" s="54"/>
      <c r="DX198" s="54"/>
      <c r="DY198" s="54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404"/>
      <c r="EM198" s="54"/>
      <c r="EN198" s="54"/>
      <c r="EO198" s="54"/>
      <c r="EP198" s="54"/>
      <c r="EQ198" s="54"/>
      <c r="ER198" s="54"/>
      <c r="ES198" s="54"/>
      <c r="ET198" s="54"/>
      <c r="EU198" s="54"/>
      <c r="EV198" s="54"/>
      <c r="EW198" s="54"/>
      <c r="EX198" s="54"/>
      <c r="EY198" s="54"/>
    </row>
    <row r="199" spans="1:155" s="401" customFormat="1" ht="14.1" customHeight="1" thickBot="1">
      <c r="A199" s="175"/>
      <c r="B199" s="400" t="s">
        <v>305</v>
      </c>
      <c r="C199" s="191"/>
      <c r="D199" s="318" t="e">
        <f t="shared" si="550"/>
        <v>#DIV/0!</v>
      </c>
      <c r="E199" s="321" t="e">
        <f t="shared" si="551"/>
        <v>#DIV/0!</v>
      </c>
      <c r="F199" s="321" t="e">
        <f t="shared" si="552"/>
        <v>#DIV/0!</v>
      </c>
      <c r="G199" s="324" t="e">
        <f t="shared" si="553"/>
        <v>#DIV/0!</v>
      </c>
      <c r="H199" s="334"/>
      <c r="I199" s="302"/>
      <c r="J199" s="302"/>
      <c r="K199" s="302"/>
      <c r="L199" s="302"/>
      <c r="M199" s="302"/>
      <c r="N199" s="302"/>
      <c r="O199" s="302"/>
      <c r="P199" s="302"/>
      <c r="Q199" s="304"/>
      <c r="R199" s="307"/>
      <c r="S199" s="310"/>
      <c r="T199" s="310"/>
      <c r="U199" s="310"/>
      <c r="V199" s="310"/>
      <c r="W199" s="310"/>
      <c r="X199" s="337"/>
      <c r="Y199" s="307"/>
      <c r="Z199" s="310"/>
      <c r="AA199" s="310"/>
      <c r="AB199" s="310"/>
      <c r="AC199" s="310"/>
      <c r="AD199" s="310"/>
      <c r="AE199" s="337"/>
      <c r="AF199" s="307"/>
      <c r="AG199" s="302"/>
      <c r="AH199" s="302"/>
      <c r="AI199" s="302"/>
      <c r="AJ199" s="302"/>
      <c r="AK199" s="302"/>
      <c r="AL199" s="304"/>
      <c r="AM199" s="334"/>
      <c r="AN199" s="302"/>
      <c r="AO199" s="302"/>
      <c r="AP199" s="302"/>
      <c r="AQ199" s="302"/>
      <c r="AR199" s="302"/>
      <c r="AS199" s="302"/>
      <c r="AT199" s="334"/>
      <c r="AU199" s="302"/>
      <c r="AV199" s="302"/>
      <c r="AW199" s="302"/>
      <c r="AX199" s="302"/>
      <c r="AY199" s="302"/>
      <c r="AZ199" s="304"/>
      <c r="BA199" s="334"/>
      <c r="BB199" s="334"/>
      <c r="BC199" s="334"/>
      <c r="BD199" s="334"/>
      <c r="BE199" s="334"/>
      <c r="BF199" s="334"/>
      <c r="BG199" s="334"/>
      <c r="BH199" s="334"/>
      <c r="BI199" s="302"/>
      <c r="BJ199" s="302"/>
      <c r="BK199" s="302"/>
      <c r="BL199" s="302"/>
      <c r="BM199" s="302"/>
      <c r="BN199" s="304"/>
      <c r="BO199" s="217"/>
      <c r="BP199" s="217"/>
      <c r="BQ199" s="217"/>
      <c r="BR199" s="217"/>
      <c r="BS199" s="217"/>
      <c r="BT199" s="217"/>
      <c r="BU199" s="219"/>
      <c r="BV199" s="219"/>
      <c r="BW199" s="219"/>
      <c r="BX199" s="219"/>
      <c r="BY199" s="219"/>
      <c r="BZ199" s="219"/>
      <c r="CA199" s="219"/>
      <c r="CB199" s="219"/>
      <c r="CC199" s="219"/>
      <c r="CD199" s="219"/>
      <c r="CE199" s="219"/>
      <c r="CF199" s="219"/>
      <c r="CG199" s="219"/>
      <c r="CH199" s="219"/>
      <c r="CI199" s="219"/>
      <c r="CJ199" s="219"/>
      <c r="CK199" s="219"/>
      <c r="CL199" s="219"/>
      <c r="CM199" s="221"/>
      <c r="CN199" s="221"/>
      <c r="CO199" s="103"/>
      <c r="CP199" s="99"/>
      <c r="CQ199" s="99"/>
      <c r="CR199" s="100"/>
      <c r="CS199" s="394"/>
      <c r="CT199" s="394"/>
      <c r="CU199" s="394"/>
      <c r="CV199" s="102"/>
      <c r="CW199" s="102"/>
      <c r="CX199" s="102"/>
      <c r="CY199" s="394"/>
      <c r="CZ199" s="394"/>
      <c r="DA199" s="394"/>
      <c r="DB199" s="394"/>
      <c r="DC199" s="394"/>
      <c r="DD199" s="394"/>
      <c r="DE199" s="394"/>
      <c r="DF199" s="102"/>
      <c r="DG199" s="102"/>
      <c r="DH199" s="102"/>
      <c r="DI199" s="394"/>
      <c r="DJ199" s="394"/>
      <c r="DK199" s="394"/>
      <c r="DL199" s="394"/>
      <c r="DM199" s="394"/>
      <c r="DN199" s="394"/>
      <c r="DO199" s="394"/>
      <c r="DP199" s="102"/>
      <c r="DQ199" s="102"/>
      <c r="DR199" s="102"/>
      <c r="DS199" s="407"/>
      <c r="DT199" s="394"/>
      <c r="DU199" s="394"/>
      <c r="DV199" s="394"/>
      <c r="DW199" s="394"/>
      <c r="DX199" s="394"/>
      <c r="DY199" s="394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395"/>
      <c r="EM199" s="394"/>
      <c r="EN199" s="394"/>
      <c r="EO199" s="394"/>
      <c r="EP199" s="394"/>
      <c r="EQ199" s="394"/>
      <c r="ER199" s="394"/>
      <c r="ES199" s="394"/>
      <c r="ET199" s="394"/>
      <c r="EU199" s="394"/>
      <c r="EV199" s="394"/>
      <c r="EW199" s="394"/>
      <c r="EX199" s="394"/>
      <c r="EY199" s="394"/>
    </row>
    <row r="200" spans="1:155" s="398" customFormat="1" ht="14.1" customHeight="1">
      <c r="A200" s="173">
        <v>48</v>
      </c>
      <c r="B200" s="397" t="s">
        <v>306</v>
      </c>
      <c r="C200" s="189"/>
      <c r="D200" s="316" t="e">
        <f t="shared" si="550"/>
        <v>#DIV/0!</v>
      </c>
      <c r="E200" s="319" t="e">
        <f t="shared" si="551"/>
        <v>#DIV/0!</v>
      </c>
      <c r="F200" s="319" t="e">
        <f t="shared" si="552"/>
        <v>#DIV/0!</v>
      </c>
      <c r="G200" s="322" t="e">
        <f t="shared" si="553"/>
        <v>#DIV/0!</v>
      </c>
      <c r="H200" s="332"/>
      <c r="I200" s="301"/>
      <c r="J200" s="301"/>
      <c r="K200" s="301">
        <v>0</v>
      </c>
      <c r="L200" s="301">
        <v>0</v>
      </c>
      <c r="M200" s="301"/>
      <c r="N200" s="301"/>
      <c r="O200" s="301"/>
      <c r="P200" s="301"/>
      <c r="Q200" s="303"/>
      <c r="R200" s="305"/>
      <c r="S200" s="308"/>
      <c r="T200" s="308"/>
      <c r="U200" s="308">
        <v>0</v>
      </c>
      <c r="V200" s="308">
        <v>0</v>
      </c>
      <c r="W200" s="308"/>
      <c r="X200" s="335">
        <v>20.5</v>
      </c>
      <c r="Y200" s="305">
        <f t="shared" ref="Y200" si="638">H200*R200*10</f>
        <v>0</v>
      </c>
      <c r="Z200" s="308">
        <f t="shared" ref="Z200" si="639">I200*S200*10</f>
        <v>0</v>
      </c>
      <c r="AA200" s="308">
        <f t="shared" ref="AA200" si="640">J200*T200*10</f>
        <v>0</v>
      </c>
      <c r="AB200" s="308">
        <f t="shared" ref="AB200" si="641">K200*U200*10</f>
        <v>0</v>
      </c>
      <c r="AC200" s="308">
        <f t="shared" ref="AC200" si="642">L200*V200*10</f>
        <v>0</v>
      </c>
      <c r="AD200" s="308">
        <f t="shared" ref="AD200" si="643">M200*W200*10</f>
        <v>0</v>
      </c>
      <c r="AE200" s="335">
        <f t="shared" ref="AE200" si="644">O200*X200*10</f>
        <v>0</v>
      </c>
      <c r="AF200" s="305"/>
      <c r="AG200" s="301"/>
      <c r="AH200" s="301"/>
      <c r="AI200" s="301">
        <v>0</v>
      </c>
      <c r="AJ200" s="301">
        <v>0</v>
      </c>
      <c r="AK200" s="301"/>
      <c r="AL200" s="303"/>
      <c r="AM200" s="332">
        <f t="shared" ref="AM200" si="645">AF200*10*H200</f>
        <v>0</v>
      </c>
      <c r="AN200" s="301">
        <f t="shared" ref="AN200" si="646">AG200*I200*10</f>
        <v>0</v>
      </c>
      <c r="AO200" s="301">
        <f t="shared" ref="AO200" si="647">AH200*J200*10</f>
        <v>0</v>
      </c>
      <c r="AP200" s="301">
        <f t="shared" ref="AP200" si="648">AI200*K200*10</f>
        <v>0</v>
      </c>
      <c r="AQ200" s="301">
        <f t="shared" ref="AQ200" si="649">AJ200*L200*10</f>
        <v>0</v>
      </c>
      <c r="AR200" s="301">
        <f t="shared" ref="AR200" si="650">AK200*M200*10</f>
        <v>0</v>
      </c>
      <c r="AS200" s="301">
        <f t="shared" ref="AS200" si="651">AL200*N200*10</f>
        <v>0</v>
      </c>
      <c r="AT200" s="332"/>
      <c r="AU200" s="301"/>
      <c r="AV200" s="301"/>
      <c r="AW200" s="301"/>
      <c r="AX200" s="301"/>
      <c r="AY200" s="301"/>
      <c r="AZ200" s="303"/>
      <c r="BA200" s="332">
        <f t="shared" ref="BA200" si="652">(H200*3*1000)/(1-AT200/100)</f>
        <v>0</v>
      </c>
      <c r="BB200" s="332">
        <f t="shared" ref="BB200" si="653">(I200*3*1000)/(1-AU200/100)</f>
        <v>0</v>
      </c>
      <c r="BC200" s="332">
        <f t="shared" ref="BC200" si="654">(J200*3*1000)/(1-AV200/100)</f>
        <v>0</v>
      </c>
      <c r="BD200" s="332">
        <f t="shared" ref="BD200" si="655">(K200*3*1000)/(1-AW200/100)</f>
        <v>0</v>
      </c>
      <c r="BE200" s="332">
        <f t="shared" ref="BE200" si="656">(L200*3*1000)/(1-AX200/100)</f>
        <v>0</v>
      </c>
      <c r="BF200" s="332">
        <f t="shared" ref="BF200" si="657">(M200*3*1000)/(1-AY200/100)</f>
        <v>0</v>
      </c>
      <c r="BG200" s="332">
        <f t="shared" ref="BG200" si="658">(N200*3*1000)/(1-AZ200/100)</f>
        <v>0</v>
      </c>
      <c r="BH200" s="332">
        <f t="shared" ref="BH200" si="659">H200+I200+J200+K200+L200</f>
        <v>0</v>
      </c>
      <c r="BI200" s="301">
        <f t="shared" ref="BI200" si="660">M200+N200+O200</f>
        <v>0</v>
      </c>
      <c r="BJ200" s="301">
        <f t="shared" ref="BJ200" si="661">BH200+BI200</f>
        <v>0</v>
      </c>
      <c r="BK200" s="301">
        <f t="shared" ref="BK200" si="662">Y200+Z200+AA200+AB200+AC200+AD200+AE200</f>
        <v>0</v>
      </c>
      <c r="BL200" s="301">
        <f t="shared" ref="BL200" si="663">AM200+AN200+AO200+AP200+AQ200+AR200+AS200</f>
        <v>0</v>
      </c>
      <c r="BM200" s="301">
        <f t="shared" ref="BM200" si="664">BJ200*3*1000</f>
        <v>0</v>
      </c>
      <c r="BN200" s="303">
        <f t="shared" ref="BN200" si="665">BA200+BB200+BC200+BD200+BE200+BF200+BG200</f>
        <v>0</v>
      </c>
      <c r="BO200" s="216"/>
      <c r="BP200" s="216"/>
      <c r="BQ200" s="216"/>
      <c r="BR200" s="216"/>
      <c r="BS200" s="216"/>
      <c r="BT200" s="216"/>
      <c r="BU200" s="218"/>
      <c r="BV200" s="218"/>
      <c r="BW200" s="218"/>
      <c r="BX200" s="218"/>
      <c r="BY200" s="218"/>
      <c r="BZ200" s="218"/>
      <c r="CA200" s="218"/>
      <c r="CB200" s="218"/>
      <c r="CC200" s="218"/>
      <c r="CD200" s="218"/>
      <c r="CE200" s="218"/>
      <c r="CF200" s="218"/>
      <c r="CG200" s="218"/>
      <c r="CH200" s="218"/>
      <c r="CI200" s="218"/>
      <c r="CJ200" s="218"/>
      <c r="CK200" s="218"/>
      <c r="CL200" s="218"/>
      <c r="CM200" s="220"/>
      <c r="CN200" s="220"/>
      <c r="CO200" s="139"/>
      <c r="CP200" s="122"/>
      <c r="CQ200" s="122"/>
      <c r="CR200" s="123"/>
      <c r="CS200" s="169"/>
      <c r="CT200" s="169"/>
      <c r="CU200" s="169"/>
      <c r="CV200" s="79"/>
      <c r="CW200" s="79"/>
      <c r="CX200" s="79"/>
      <c r="CY200" s="169"/>
      <c r="CZ200" s="169"/>
      <c r="DA200" s="169"/>
      <c r="DB200" s="169"/>
      <c r="DC200" s="169"/>
      <c r="DD200" s="169"/>
      <c r="DE200" s="169"/>
      <c r="DF200" s="79"/>
      <c r="DG200" s="79"/>
      <c r="DH200" s="79"/>
      <c r="DI200" s="169"/>
      <c r="DJ200" s="169"/>
      <c r="DK200" s="169"/>
      <c r="DL200" s="169"/>
      <c r="DM200" s="169"/>
      <c r="DN200" s="169"/>
      <c r="DO200" s="169"/>
      <c r="DP200" s="79"/>
      <c r="DQ200" s="79"/>
      <c r="DR200" s="79"/>
      <c r="DS200" s="405"/>
      <c r="DT200" s="169"/>
      <c r="DU200" s="169"/>
      <c r="DV200" s="169"/>
      <c r="DW200" s="169"/>
      <c r="DX200" s="169"/>
      <c r="DY200" s="169"/>
      <c r="DZ200" s="79"/>
      <c r="EA200" s="79"/>
      <c r="EB200" s="79"/>
      <c r="EC200" s="79"/>
      <c r="ED200" s="79"/>
      <c r="EE200" s="79"/>
      <c r="EF200" s="79"/>
      <c r="EG200" s="79"/>
      <c r="EH200" s="79"/>
      <c r="EI200" s="79"/>
      <c r="EJ200" s="79"/>
      <c r="EK200" s="79"/>
      <c r="EL200" s="403"/>
      <c r="EM200" s="169"/>
      <c r="EN200" s="169"/>
      <c r="EO200" s="169"/>
      <c r="EP200" s="169"/>
      <c r="EQ200" s="169"/>
      <c r="ER200" s="169"/>
      <c r="ES200" s="169"/>
      <c r="ET200" s="169"/>
      <c r="EU200" s="169"/>
      <c r="EV200" s="169"/>
      <c r="EW200" s="169"/>
      <c r="EX200" s="169"/>
      <c r="EY200" s="169"/>
    </row>
    <row r="201" spans="1:155" ht="14.1" customHeight="1">
      <c r="A201" s="174"/>
      <c r="B201" s="397" t="s">
        <v>306</v>
      </c>
      <c r="C201" s="190"/>
      <c r="D201" s="317" t="e">
        <f t="shared" si="550"/>
        <v>#DIV/0!</v>
      </c>
      <c r="E201" s="320" t="e">
        <f t="shared" si="551"/>
        <v>#DIV/0!</v>
      </c>
      <c r="F201" s="320" t="e">
        <f t="shared" si="552"/>
        <v>#DIV/0!</v>
      </c>
      <c r="G201" s="323" t="e">
        <f t="shared" si="553"/>
        <v>#DIV/0!</v>
      </c>
      <c r="H201" s="333"/>
      <c r="I201" s="211"/>
      <c r="J201" s="211"/>
      <c r="K201" s="211"/>
      <c r="L201" s="211"/>
      <c r="M201" s="211"/>
      <c r="N201" s="211"/>
      <c r="O201" s="211"/>
      <c r="P201" s="211"/>
      <c r="Q201" s="214"/>
      <c r="R201" s="306"/>
      <c r="S201" s="309"/>
      <c r="T201" s="309"/>
      <c r="U201" s="309"/>
      <c r="V201" s="309"/>
      <c r="W201" s="309"/>
      <c r="X201" s="336"/>
      <c r="Y201" s="306"/>
      <c r="Z201" s="309"/>
      <c r="AA201" s="309"/>
      <c r="AB201" s="309"/>
      <c r="AC201" s="309"/>
      <c r="AD201" s="309"/>
      <c r="AE201" s="336"/>
      <c r="AF201" s="306"/>
      <c r="AG201" s="211"/>
      <c r="AH201" s="211"/>
      <c r="AI201" s="211"/>
      <c r="AJ201" s="211"/>
      <c r="AK201" s="211"/>
      <c r="AL201" s="214"/>
      <c r="AM201" s="333"/>
      <c r="AN201" s="211"/>
      <c r="AO201" s="211"/>
      <c r="AP201" s="211"/>
      <c r="AQ201" s="211"/>
      <c r="AR201" s="211"/>
      <c r="AS201" s="211"/>
      <c r="AT201" s="333"/>
      <c r="AU201" s="211"/>
      <c r="AV201" s="211"/>
      <c r="AW201" s="211"/>
      <c r="AX201" s="211"/>
      <c r="AY201" s="211"/>
      <c r="AZ201" s="214"/>
      <c r="BA201" s="333"/>
      <c r="BB201" s="333"/>
      <c r="BC201" s="333"/>
      <c r="BD201" s="333"/>
      <c r="BE201" s="333"/>
      <c r="BF201" s="333"/>
      <c r="BG201" s="333"/>
      <c r="BH201" s="333"/>
      <c r="BI201" s="211"/>
      <c r="BJ201" s="211"/>
      <c r="BK201" s="211"/>
      <c r="BL201" s="211"/>
      <c r="BM201" s="211"/>
      <c r="BN201" s="214"/>
      <c r="BO201" s="196"/>
      <c r="BP201" s="196"/>
      <c r="BQ201" s="196"/>
      <c r="BR201" s="196"/>
      <c r="BS201" s="196"/>
      <c r="BT201" s="196"/>
      <c r="BU201" s="193"/>
      <c r="BV201" s="193"/>
      <c r="BW201" s="193"/>
      <c r="BX201" s="193"/>
      <c r="BY201" s="193"/>
      <c r="BZ201" s="193"/>
      <c r="CA201" s="193"/>
      <c r="CB201" s="193"/>
      <c r="CC201" s="193"/>
      <c r="CD201" s="193"/>
      <c r="CE201" s="193"/>
      <c r="CF201" s="193"/>
      <c r="CG201" s="193"/>
      <c r="CH201" s="193"/>
      <c r="CI201" s="193"/>
      <c r="CJ201" s="193"/>
      <c r="CK201" s="193"/>
      <c r="CL201" s="193"/>
      <c r="CM201" s="205"/>
      <c r="CN201" s="205"/>
      <c r="CO201" s="24"/>
      <c r="CP201" s="21"/>
      <c r="CQ201" s="21"/>
      <c r="CR201" s="22"/>
      <c r="CS201" s="54"/>
      <c r="CT201" s="54"/>
      <c r="CU201" s="54"/>
      <c r="CV201" s="8"/>
      <c r="CW201" s="8"/>
      <c r="CX201" s="8"/>
      <c r="CY201" s="54"/>
      <c r="CZ201" s="54"/>
      <c r="DA201" s="54"/>
      <c r="DB201" s="54"/>
      <c r="DC201" s="54"/>
      <c r="DD201" s="54"/>
      <c r="DE201" s="54"/>
      <c r="DF201" s="8"/>
      <c r="DG201" s="8"/>
      <c r="DH201" s="8"/>
      <c r="DI201" s="54"/>
      <c r="DJ201" s="54"/>
      <c r="DK201" s="54"/>
      <c r="DL201" s="54"/>
      <c r="DM201" s="54"/>
      <c r="DN201" s="54"/>
      <c r="DO201" s="54"/>
      <c r="DP201" s="8"/>
      <c r="DQ201" s="8"/>
      <c r="DR201" s="8"/>
      <c r="DS201" s="406"/>
      <c r="DT201" s="54"/>
      <c r="DU201" s="54"/>
      <c r="DV201" s="54"/>
      <c r="DW201" s="54"/>
      <c r="DX201" s="54"/>
      <c r="DY201" s="54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404"/>
      <c r="EM201" s="54"/>
      <c r="EN201" s="54"/>
      <c r="EO201" s="54"/>
      <c r="EP201" s="54"/>
      <c r="EQ201" s="54"/>
      <c r="ER201" s="54"/>
      <c r="ES201" s="54"/>
      <c r="ET201" s="54"/>
      <c r="EU201" s="54"/>
      <c r="EV201" s="54"/>
      <c r="EW201" s="54"/>
      <c r="EX201" s="54"/>
      <c r="EY201" s="54"/>
    </row>
    <row r="202" spans="1:155" ht="14.1" customHeight="1">
      <c r="A202" s="174"/>
      <c r="B202" s="397" t="s">
        <v>306</v>
      </c>
      <c r="C202" s="190"/>
      <c r="D202" s="317" t="e">
        <f t="shared" si="550"/>
        <v>#DIV/0!</v>
      </c>
      <c r="E202" s="320" t="e">
        <f t="shared" si="551"/>
        <v>#DIV/0!</v>
      </c>
      <c r="F202" s="320" t="e">
        <f t="shared" si="552"/>
        <v>#DIV/0!</v>
      </c>
      <c r="G202" s="323" t="e">
        <f t="shared" si="553"/>
        <v>#DIV/0!</v>
      </c>
      <c r="H202" s="333"/>
      <c r="I202" s="211"/>
      <c r="J202" s="211"/>
      <c r="K202" s="211"/>
      <c r="L202" s="211"/>
      <c r="M202" s="211"/>
      <c r="N202" s="211"/>
      <c r="O202" s="211"/>
      <c r="P202" s="211"/>
      <c r="Q202" s="214"/>
      <c r="R202" s="306"/>
      <c r="S202" s="309"/>
      <c r="T202" s="309"/>
      <c r="U202" s="309"/>
      <c r="V202" s="309"/>
      <c r="W202" s="309"/>
      <c r="X202" s="336"/>
      <c r="Y202" s="306"/>
      <c r="Z202" s="309"/>
      <c r="AA202" s="309"/>
      <c r="AB202" s="309"/>
      <c r="AC202" s="309"/>
      <c r="AD202" s="309"/>
      <c r="AE202" s="336"/>
      <c r="AF202" s="306"/>
      <c r="AG202" s="211"/>
      <c r="AH202" s="211"/>
      <c r="AI202" s="211"/>
      <c r="AJ202" s="211"/>
      <c r="AK202" s="211"/>
      <c r="AL202" s="214"/>
      <c r="AM202" s="333"/>
      <c r="AN202" s="211"/>
      <c r="AO202" s="211"/>
      <c r="AP202" s="211"/>
      <c r="AQ202" s="211"/>
      <c r="AR202" s="211"/>
      <c r="AS202" s="211"/>
      <c r="AT202" s="333"/>
      <c r="AU202" s="211"/>
      <c r="AV202" s="211"/>
      <c r="AW202" s="211"/>
      <c r="AX202" s="211"/>
      <c r="AY202" s="211"/>
      <c r="AZ202" s="214"/>
      <c r="BA202" s="333"/>
      <c r="BB202" s="333"/>
      <c r="BC202" s="333"/>
      <c r="BD202" s="333"/>
      <c r="BE202" s="333"/>
      <c r="BF202" s="333"/>
      <c r="BG202" s="333"/>
      <c r="BH202" s="333"/>
      <c r="BI202" s="211"/>
      <c r="BJ202" s="211"/>
      <c r="BK202" s="211"/>
      <c r="BL202" s="211"/>
      <c r="BM202" s="211"/>
      <c r="BN202" s="214"/>
      <c r="BO202" s="196"/>
      <c r="BP202" s="196"/>
      <c r="BQ202" s="196"/>
      <c r="BR202" s="196"/>
      <c r="BS202" s="196"/>
      <c r="BT202" s="196"/>
      <c r="BU202" s="193"/>
      <c r="BV202" s="193"/>
      <c r="BW202" s="193"/>
      <c r="BX202" s="193"/>
      <c r="BY202" s="193"/>
      <c r="BZ202" s="193"/>
      <c r="CA202" s="193"/>
      <c r="CB202" s="193"/>
      <c r="CC202" s="193"/>
      <c r="CD202" s="193"/>
      <c r="CE202" s="193"/>
      <c r="CF202" s="193"/>
      <c r="CG202" s="193"/>
      <c r="CH202" s="193"/>
      <c r="CI202" s="193"/>
      <c r="CJ202" s="193"/>
      <c r="CK202" s="193"/>
      <c r="CL202" s="193"/>
      <c r="CM202" s="205"/>
      <c r="CN202" s="205"/>
      <c r="CO202" s="24"/>
      <c r="CP202" s="21"/>
      <c r="CQ202" s="21"/>
      <c r="CR202" s="22"/>
      <c r="CS202" s="54"/>
      <c r="CT202" s="54"/>
      <c r="CU202" s="54"/>
      <c r="CV202" s="8"/>
      <c r="CW202" s="8"/>
      <c r="CX202" s="8"/>
      <c r="CY202" s="54"/>
      <c r="CZ202" s="54"/>
      <c r="DA202" s="54"/>
      <c r="DB202" s="54"/>
      <c r="DC202" s="54"/>
      <c r="DD202" s="54"/>
      <c r="DE202" s="54"/>
      <c r="DF202" s="8"/>
      <c r="DG202" s="8"/>
      <c r="DH202" s="8"/>
      <c r="DI202" s="54"/>
      <c r="DJ202" s="54"/>
      <c r="DK202" s="54"/>
      <c r="DL202" s="54"/>
      <c r="DM202" s="54"/>
      <c r="DN202" s="54"/>
      <c r="DO202" s="54"/>
      <c r="DP202" s="8"/>
      <c r="DQ202" s="8"/>
      <c r="DR202" s="8"/>
      <c r="DS202" s="406"/>
      <c r="DT202" s="54"/>
      <c r="DU202" s="54"/>
      <c r="DV202" s="54"/>
      <c r="DW202" s="54"/>
      <c r="DX202" s="54"/>
      <c r="DY202" s="54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404"/>
      <c r="EM202" s="54"/>
      <c r="EN202" s="54"/>
      <c r="EO202" s="54"/>
      <c r="EP202" s="54"/>
      <c r="EQ202" s="54"/>
      <c r="ER202" s="54"/>
      <c r="ES202" s="54"/>
      <c r="ET202" s="54"/>
      <c r="EU202" s="54"/>
      <c r="EV202" s="54"/>
      <c r="EW202" s="54"/>
      <c r="EX202" s="54"/>
      <c r="EY202" s="54"/>
    </row>
    <row r="203" spans="1:155" s="401" customFormat="1" ht="14.1" customHeight="1" thickBot="1">
      <c r="A203" s="175"/>
      <c r="B203" s="400" t="s">
        <v>306</v>
      </c>
      <c r="C203" s="191"/>
      <c r="D203" s="318" t="e">
        <f t="shared" si="550"/>
        <v>#DIV/0!</v>
      </c>
      <c r="E203" s="321" t="e">
        <f t="shared" si="551"/>
        <v>#DIV/0!</v>
      </c>
      <c r="F203" s="321" t="e">
        <f t="shared" si="552"/>
        <v>#DIV/0!</v>
      </c>
      <c r="G203" s="324" t="e">
        <f t="shared" si="553"/>
        <v>#DIV/0!</v>
      </c>
      <c r="H203" s="334"/>
      <c r="I203" s="302"/>
      <c r="J203" s="302"/>
      <c r="K203" s="302"/>
      <c r="L203" s="302"/>
      <c r="M203" s="302"/>
      <c r="N203" s="302"/>
      <c r="O203" s="302"/>
      <c r="P203" s="302"/>
      <c r="Q203" s="304"/>
      <c r="R203" s="307"/>
      <c r="S203" s="310"/>
      <c r="T203" s="310"/>
      <c r="U203" s="310"/>
      <c r="V203" s="310"/>
      <c r="W203" s="310"/>
      <c r="X203" s="337"/>
      <c r="Y203" s="307"/>
      <c r="Z203" s="310"/>
      <c r="AA203" s="310"/>
      <c r="AB203" s="310"/>
      <c r="AC203" s="310"/>
      <c r="AD203" s="310"/>
      <c r="AE203" s="337"/>
      <c r="AF203" s="307"/>
      <c r="AG203" s="302"/>
      <c r="AH203" s="302"/>
      <c r="AI203" s="302"/>
      <c r="AJ203" s="302"/>
      <c r="AK203" s="302"/>
      <c r="AL203" s="304"/>
      <c r="AM203" s="334"/>
      <c r="AN203" s="302"/>
      <c r="AO203" s="302"/>
      <c r="AP203" s="302"/>
      <c r="AQ203" s="302"/>
      <c r="AR203" s="302"/>
      <c r="AS203" s="302"/>
      <c r="AT203" s="334"/>
      <c r="AU203" s="302"/>
      <c r="AV203" s="302"/>
      <c r="AW203" s="302"/>
      <c r="AX203" s="302"/>
      <c r="AY203" s="302"/>
      <c r="AZ203" s="304"/>
      <c r="BA203" s="334"/>
      <c r="BB203" s="334"/>
      <c r="BC203" s="334"/>
      <c r="BD203" s="334"/>
      <c r="BE203" s="334"/>
      <c r="BF203" s="334"/>
      <c r="BG203" s="334"/>
      <c r="BH203" s="334"/>
      <c r="BI203" s="302"/>
      <c r="BJ203" s="302"/>
      <c r="BK203" s="302"/>
      <c r="BL203" s="302"/>
      <c r="BM203" s="302"/>
      <c r="BN203" s="304"/>
      <c r="BO203" s="217"/>
      <c r="BP203" s="217"/>
      <c r="BQ203" s="217"/>
      <c r="BR203" s="217"/>
      <c r="BS203" s="217"/>
      <c r="BT203" s="217"/>
      <c r="BU203" s="219"/>
      <c r="BV203" s="219"/>
      <c r="BW203" s="219"/>
      <c r="BX203" s="219"/>
      <c r="BY203" s="219"/>
      <c r="BZ203" s="219"/>
      <c r="CA203" s="219"/>
      <c r="CB203" s="219"/>
      <c r="CC203" s="219"/>
      <c r="CD203" s="219"/>
      <c r="CE203" s="219"/>
      <c r="CF203" s="219"/>
      <c r="CG203" s="219"/>
      <c r="CH203" s="219"/>
      <c r="CI203" s="219"/>
      <c r="CJ203" s="219"/>
      <c r="CK203" s="219"/>
      <c r="CL203" s="219"/>
      <c r="CM203" s="221"/>
      <c r="CN203" s="221"/>
      <c r="CO203" s="103"/>
      <c r="CP203" s="99"/>
      <c r="CQ203" s="99"/>
      <c r="CR203" s="100"/>
      <c r="CS203" s="394"/>
      <c r="CT203" s="394"/>
      <c r="CU203" s="394"/>
      <c r="CV203" s="102"/>
      <c r="CW203" s="102"/>
      <c r="CX203" s="102"/>
      <c r="CY203" s="394"/>
      <c r="CZ203" s="394"/>
      <c r="DA203" s="394"/>
      <c r="DB203" s="394"/>
      <c r="DC203" s="394"/>
      <c r="DD203" s="394"/>
      <c r="DE203" s="394"/>
      <c r="DF203" s="102"/>
      <c r="DG203" s="102"/>
      <c r="DH203" s="102"/>
      <c r="DI203" s="394"/>
      <c r="DJ203" s="394"/>
      <c r="DK203" s="394"/>
      <c r="DL203" s="394"/>
      <c r="DM203" s="394"/>
      <c r="DN203" s="394"/>
      <c r="DO203" s="394"/>
      <c r="DP203" s="102"/>
      <c r="DQ203" s="102"/>
      <c r="DR203" s="102"/>
      <c r="DS203" s="409"/>
      <c r="DT203" s="394"/>
      <c r="DU203" s="394"/>
      <c r="DV203" s="394"/>
      <c r="DW203" s="394"/>
      <c r="DX203" s="394"/>
      <c r="DY203" s="394"/>
      <c r="DZ203" s="102"/>
      <c r="EA203" s="102"/>
      <c r="EB203" s="102"/>
      <c r="EC203" s="102"/>
      <c r="ED203" s="102"/>
      <c r="EE203" s="102"/>
      <c r="EF203" s="102"/>
      <c r="EG203" s="102"/>
      <c r="EH203" s="102"/>
      <c r="EI203" s="102"/>
      <c r="EJ203" s="102"/>
      <c r="EK203" s="102"/>
      <c r="EL203" s="395"/>
      <c r="EM203" s="394"/>
      <c r="EN203" s="394"/>
      <c r="EO203" s="394"/>
      <c r="EP203" s="394"/>
      <c r="EQ203" s="394"/>
      <c r="ER203" s="394"/>
      <c r="ES203" s="394"/>
      <c r="ET203" s="394"/>
      <c r="EU203" s="394"/>
      <c r="EV203" s="394"/>
      <c r="EW203" s="394"/>
      <c r="EX203" s="394"/>
      <c r="EY203" s="394"/>
    </row>
    <row r="204" spans="1:155" ht="14.1" customHeight="1">
      <c r="A204" s="173">
        <v>49</v>
      </c>
      <c r="B204" s="397" t="s">
        <v>307</v>
      </c>
      <c r="D204" s="373" t="e">
        <f t="shared" si="550"/>
        <v>#DIV/0!</v>
      </c>
      <c r="E204" s="375" t="e">
        <f t="shared" si="551"/>
        <v>#DIV/0!</v>
      </c>
      <c r="F204" s="375" t="e">
        <f t="shared" si="552"/>
        <v>#DIV/0!</v>
      </c>
      <c r="G204" s="376" t="e">
        <f t="shared" si="553"/>
        <v>#DIV/0!</v>
      </c>
      <c r="H204" s="379"/>
      <c r="I204" s="210"/>
      <c r="J204" s="210"/>
      <c r="K204" s="210">
        <v>0</v>
      </c>
      <c r="L204" s="210">
        <v>0</v>
      </c>
      <c r="M204" s="210"/>
      <c r="N204" s="210"/>
      <c r="O204" s="210"/>
      <c r="P204" s="210"/>
      <c r="Q204" s="213"/>
      <c r="R204" s="377"/>
      <c r="S204" s="370"/>
      <c r="T204" s="370"/>
      <c r="U204" s="370">
        <v>0</v>
      </c>
      <c r="V204" s="370">
        <v>0</v>
      </c>
      <c r="W204" s="370"/>
      <c r="X204" s="384">
        <v>20.5</v>
      </c>
      <c r="Y204" s="377">
        <f t="shared" ref="Y204" si="666">H204*R204*10</f>
        <v>0</v>
      </c>
      <c r="Z204" s="370">
        <f t="shared" ref="Z204" si="667">I204*S204*10</f>
        <v>0</v>
      </c>
      <c r="AA204" s="370">
        <f t="shared" ref="AA204" si="668">J204*T204*10</f>
        <v>0</v>
      </c>
      <c r="AB204" s="370">
        <f t="shared" ref="AB204" si="669">K204*U204*10</f>
        <v>0</v>
      </c>
      <c r="AC204" s="370">
        <f t="shared" ref="AC204" si="670">L204*V204*10</f>
        <v>0</v>
      </c>
      <c r="AD204" s="370">
        <f t="shared" ref="AD204" si="671">M204*W204*10</f>
        <v>0</v>
      </c>
      <c r="AE204" s="384">
        <f t="shared" ref="AE204" si="672">O204*X204*10</f>
        <v>0</v>
      </c>
      <c r="AF204" s="377"/>
      <c r="AG204" s="210"/>
      <c r="AH204" s="210"/>
      <c r="AI204" s="210">
        <v>0</v>
      </c>
      <c r="AJ204" s="210">
        <v>0</v>
      </c>
      <c r="AK204" s="210"/>
      <c r="AL204" s="213"/>
      <c r="AM204" s="379">
        <f t="shared" ref="AM204" si="673">AF204*10*H204</f>
        <v>0</v>
      </c>
      <c r="AN204" s="210">
        <f t="shared" ref="AN204" si="674">AG204*I204*10</f>
        <v>0</v>
      </c>
      <c r="AO204" s="210">
        <f t="shared" ref="AO204" si="675">AH204*J204*10</f>
        <v>0</v>
      </c>
      <c r="AP204" s="210">
        <f t="shared" ref="AP204" si="676">AI204*K204*10</f>
        <v>0</v>
      </c>
      <c r="AQ204" s="210">
        <f t="shared" ref="AQ204" si="677">AJ204*L204*10</f>
        <v>0</v>
      </c>
      <c r="AR204" s="210">
        <f t="shared" ref="AR204" si="678">AK204*M204*10</f>
        <v>0</v>
      </c>
      <c r="AS204" s="210">
        <f t="shared" ref="AS204" si="679">AL204*N204*10</f>
        <v>0</v>
      </c>
      <c r="AT204" s="379"/>
      <c r="AU204" s="210"/>
      <c r="AV204" s="210"/>
      <c r="AW204" s="210"/>
      <c r="AX204" s="210"/>
      <c r="AY204" s="210"/>
      <c r="AZ204" s="213"/>
      <c r="BA204" s="379">
        <f t="shared" ref="BA204" si="680">(H204*3*1000)/(1-AT204/100)</f>
        <v>0</v>
      </c>
      <c r="BB204" s="379">
        <f t="shared" ref="BB204" si="681">(I204*3*1000)/(1-AU204/100)</f>
        <v>0</v>
      </c>
      <c r="BC204" s="379">
        <f t="shared" ref="BC204" si="682">(J204*3*1000)/(1-AV204/100)</f>
        <v>0</v>
      </c>
      <c r="BD204" s="379">
        <f t="shared" ref="BD204" si="683">(K204*3*1000)/(1-AW204/100)</f>
        <v>0</v>
      </c>
      <c r="BE204" s="379">
        <f t="shared" ref="BE204" si="684">(L204*3*1000)/(1-AX204/100)</f>
        <v>0</v>
      </c>
      <c r="BF204" s="379">
        <f t="shared" ref="BF204" si="685">(M204*3*1000)/(1-AY204/100)</f>
        <v>0</v>
      </c>
      <c r="BG204" s="379">
        <f t="shared" ref="BG204" si="686">(N204*3*1000)/(1-AZ204/100)</f>
        <v>0</v>
      </c>
      <c r="BH204" s="379">
        <f t="shared" ref="BH204" si="687">H204+I204+J204+K204+L204</f>
        <v>0</v>
      </c>
      <c r="BI204" s="210">
        <f t="shared" ref="BI204" si="688">M204+N204+O204</f>
        <v>0</v>
      </c>
      <c r="BJ204" s="210">
        <f t="shared" ref="BJ204" si="689">BH204+BI204</f>
        <v>0</v>
      </c>
      <c r="BK204" s="210">
        <f t="shared" ref="BK204" si="690">Y204+Z204+AA204+AB204+AC204+AD204+AE204</f>
        <v>0</v>
      </c>
      <c r="BL204" s="210">
        <f t="shared" ref="BL204" si="691">AM204+AN204+AO204+AP204+AQ204+AR204+AS204</f>
        <v>0</v>
      </c>
      <c r="BM204" s="210">
        <f t="shared" ref="BM204" si="692">BJ204*3*1000</f>
        <v>0</v>
      </c>
      <c r="BN204" s="213">
        <f t="shared" ref="BN204" si="693">BA204+BB204+BC204+BD204+BE204+BF204+BG204</f>
        <v>0</v>
      </c>
      <c r="BO204" s="195"/>
      <c r="BP204" s="195"/>
      <c r="BQ204" s="195"/>
      <c r="BR204" s="195"/>
      <c r="BS204" s="195"/>
      <c r="BT204" s="195"/>
      <c r="BU204" s="192"/>
      <c r="BV204" s="192"/>
      <c r="BW204" s="192"/>
      <c r="BX204" s="192"/>
      <c r="BY204" s="192"/>
      <c r="BZ204" s="192"/>
      <c r="CA204" s="192"/>
      <c r="CB204" s="192"/>
      <c r="CC204" s="192"/>
      <c r="CD204" s="192"/>
      <c r="CE204" s="192"/>
      <c r="CF204" s="192"/>
      <c r="CG204" s="192"/>
      <c r="CH204" s="192"/>
      <c r="CI204" s="192"/>
      <c r="CJ204" s="192"/>
      <c r="CK204" s="192"/>
      <c r="CL204" s="192"/>
      <c r="CM204" s="204"/>
      <c r="CN204" s="204"/>
      <c r="CO204" s="170"/>
      <c r="CP204" s="171"/>
      <c r="CQ204" s="171"/>
      <c r="CR204" s="172"/>
      <c r="CS204" s="411"/>
      <c r="CT204" s="411"/>
      <c r="CU204" s="411"/>
      <c r="CV204" s="68"/>
      <c r="CW204" s="68"/>
      <c r="CX204" s="68"/>
      <c r="CY204" s="412"/>
      <c r="CZ204" s="412"/>
      <c r="DA204" s="412"/>
      <c r="DB204" s="412"/>
      <c r="DC204" s="412"/>
      <c r="DD204" s="412"/>
      <c r="DE204" s="412"/>
      <c r="DF204" s="7"/>
      <c r="DG204" s="7"/>
      <c r="DH204" s="7"/>
      <c r="DI204" s="412"/>
      <c r="DJ204" s="412"/>
      <c r="DK204" s="412"/>
      <c r="DL204" s="412"/>
      <c r="DM204" s="412"/>
      <c r="DN204" s="412"/>
      <c r="DO204" s="412"/>
      <c r="DP204" s="7"/>
      <c r="DQ204" s="7"/>
      <c r="DR204" s="7"/>
      <c r="DS204" s="413"/>
      <c r="DT204" s="411"/>
      <c r="DU204" s="411"/>
      <c r="DV204" s="411"/>
      <c r="DW204" s="411"/>
      <c r="DX204" s="411"/>
      <c r="DY204" s="411"/>
      <c r="DZ204" s="68"/>
      <c r="EA204" s="68"/>
      <c r="EB204" s="68"/>
      <c r="EC204" s="68"/>
      <c r="ED204" s="68"/>
      <c r="EE204" s="68"/>
      <c r="EF204" s="68"/>
      <c r="EG204" s="68"/>
      <c r="EH204" s="68"/>
      <c r="EI204" s="68"/>
      <c r="EJ204" s="68"/>
      <c r="EK204" s="68"/>
      <c r="EL204" s="414"/>
      <c r="EM204" s="411"/>
      <c r="EN204" s="411"/>
      <c r="EO204" s="411"/>
      <c r="EP204" s="411"/>
      <c r="EQ204" s="411"/>
      <c r="ER204" s="411"/>
      <c r="ES204" s="411"/>
      <c r="ET204" s="411"/>
      <c r="EU204" s="411"/>
      <c r="EV204" s="411"/>
      <c r="EW204" s="411"/>
      <c r="EX204" s="411"/>
      <c r="EY204" s="411"/>
    </row>
    <row r="205" spans="1:155" ht="14.1" customHeight="1">
      <c r="A205" s="174"/>
      <c r="B205" s="397" t="s">
        <v>307</v>
      </c>
      <c r="D205" s="317" t="e">
        <f t="shared" si="550"/>
        <v>#DIV/0!</v>
      </c>
      <c r="E205" s="320" t="e">
        <f t="shared" si="551"/>
        <v>#DIV/0!</v>
      </c>
      <c r="F205" s="320" t="e">
        <f t="shared" si="552"/>
        <v>#DIV/0!</v>
      </c>
      <c r="G205" s="323" t="e">
        <f t="shared" si="553"/>
        <v>#DIV/0!</v>
      </c>
      <c r="H205" s="333"/>
      <c r="I205" s="211"/>
      <c r="J205" s="211"/>
      <c r="K205" s="211"/>
      <c r="L205" s="211"/>
      <c r="M205" s="211"/>
      <c r="N205" s="211"/>
      <c r="O205" s="211"/>
      <c r="P205" s="211"/>
      <c r="Q205" s="214"/>
      <c r="R205" s="306"/>
      <c r="S205" s="309"/>
      <c r="T205" s="309"/>
      <c r="U205" s="309"/>
      <c r="V205" s="309"/>
      <c r="W205" s="309"/>
      <c r="X205" s="336"/>
      <c r="Y205" s="306"/>
      <c r="Z205" s="309"/>
      <c r="AA205" s="309"/>
      <c r="AB205" s="309"/>
      <c r="AC205" s="309"/>
      <c r="AD205" s="309"/>
      <c r="AE205" s="336"/>
      <c r="AF205" s="306"/>
      <c r="AG205" s="211"/>
      <c r="AH205" s="211"/>
      <c r="AI205" s="211"/>
      <c r="AJ205" s="211"/>
      <c r="AK205" s="211"/>
      <c r="AL205" s="214"/>
      <c r="AM205" s="333"/>
      <c r="AN205" s="211"/>
      <c r="AO205" s="211"/>
      <c r="AP205" s="211"/>
      <c r="AQ205" s="211"/>
      <c r="AR205" s="211"/>
      <c r="AS205" s="211"/>
      <c r="AT205" s="333"/>
      <c r="AU205" s="211"/>
      <c r="AV205" s="211"/>
      <c r="AW205" s="211"/>
      <c r="AX205" s="211"/>
      <c r="AY205" s="211"/>
      <c r="AZ205" s="214"/>
      <c r="BA205" s="333"/>
      <c r="BB205" s="333"/>
      <c r="BC205" s="333"/>
      <c r="BD205" s="333"/>
      <c r="BE205" s="333"/>
      <c r="BF205" s="333"/>
      <c r="BG205" s="333"/>
      <c r="BH205" s="333"/>
      <c r="BI205" s="211"/>
      <c r="BJ205" s="211"/>
      <c r="BK205" s="211"/>
      <c r="BL205" s="211"/>
      <c r="BM205" s="211"/>
      <c r="BN205" s="214"/>
      <c r="BO205" s="196"/>
      <c r="BP205" s="196"/>
      <c r="BQ205" s="196"/>
      <c r="BR205" s="196"/>
      <c r="BS205" s="196"/>
      <c r="BT205" s="196"/>
      <c r="BU205" s="193"/>
      <c r="BV205" s="193"/>
      <c r="BW205" s="193"/>
      <c r="BX205" s="193"/>
      <c r="BY205" s="193"/>
      <c r="BZ205" s="193"/>
      <c r="CA205" s="193"/>
      <c r="CB205" s="193"/>
      <c r="CC205" s="193"/>
      <c r="CD205" s="193"/>
      <c r="CE205" s="193"/>
      <c r="CF205" s="193"/>
      <c r="CG205" s="193"/>
      <c r="CH205" s="193"/>
      <c r="CI205" s="193"/>
      <c r="CJ205" s="193"/>
      <c r="CK205" s="193"/>
      <c r="CL205" s="193"/>
      <c r="CM205" s="205"/>
      <c r="CN205" s="208"/>
      <c r="CO205" s="24"/>
      <c r="CP205" s="21"/>
      <c r="CQ205" s="21"/>
      <c r="CR205" s="22"/>
      <c r="CS205" s="54"/>
      <c r="CT205" s="54"/>
      <c r="CU205" s="54"/>
      <c r="CV205" s="8"/>
      <c r="CW205" s="8"/>
      <c r="CX205" s="8"/>
      <c r="CY205" s="54"/>
      <c r="CZ205" s="54"/>
      <c r="DA205" s="54"/>
      <c r="DB205" s="54"/>
      <c r="DC205" s="54"/>
      <c r="DD205" s="54"/>
      <c r="DE205" s="54"/>
      <c r="DF205" s="8"/>
      <c r="DG205" s="8"/>
      <c r="DH205" s="8"/>
      <c r="DI205" s="54"/>
      <c r="DJ205" s="54"/>
      <c r="DK205" s="54"/>
      <c r="DL205" s="54"/>
      <c r="DM205" s="54"/>
      <c r="DN205" s="54"/>
      <c r="DO205" s="54"/>
      <c r="DP205" s="8"/>
      <c r="DQ205" s="8"/>
      <c r="DR205" s="8"/>
      <c r="DS205" s="408"/>
      <c r="DT205" s="54"/>
      <c r="DU205" s="54"/>
      <c r="DV205" s="54"/>
      <c r="DW205" s="54"/>
      <c r="DX205" s="54"/>
      <c r="DY205" s="54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404"/>
      <c r="EM205" s="54"/>
      <c r="EN205" s="54"/>
      <c r="EO205" s="54"/>
      <c r="EP205" s="54"/>
      <c r="EQ205" s="54"/>
      <c r="ER205" s="54"/>
      <c r="ES205" s="54"/>
      <c r="ET205" s="54"/>
      <c r="EU205" s="54"/>
      <c r="EV205" s="54"/>
      <c r="EW205" s="54"/>
      <c r="EX205" s="54"/>
      <c r="EY205" s="54"/>
    </row>
    <row r="206" spans="1:155" ht="14.1" customHeight="1">
      <c r="A206" s="174"/>
      <c r="B206" s="397" t="s">
        <v>307</v>
      </c>
      <c r="D206" s="317" t="e">
        <f t="shared" si="550"/>
        <v>#DIV/0!</v>
      </c>
      <c r="E206" s="320" t="e">
        <f t="shared" si="551"/>
        <v>#DIV/0!</v>
      </c>
      <c r="F206" s="320" t="e">
        <f t="shared" si="552"/>
        <v>#DIV/0!</v>
      </c>
      <c r="G206" s="323" t="e">
        <f t="shared" si="553"/>
        <v>#DIV/0!</v>
      </c>
      <c r="H206" s="333"/>
      <c r="I206" s="211"/>
      <c r="J206" s="211"/>
      <c r="K206" s="211"/>
      <c r="L206" s="211"/>
      <c r="M206" s="211"/>
      <c r="N206" s="211"/>
      <c r="O206" s="211"/>
      <c r="P206" s="211"/>
      <c r="Q206" s="214"/>
      <c r="R206" s="306"/>
      <c r="S206" s="309"/>
      <c r="T206" s="309"/>
      <c r="U206" s="309"/>
      <c r="V206" s="309"/>
      <c r="W206" s="309"/>
      <c r="X206" s="336"/>
      <c r="Y206" s="306"/>
      <c r="Z206" s="309"/>
      <c r="AA206" s="309"/>
      <c r="AB206" s="309"/>
      <c r="AC206" s="309"/>
      <c r="AD206" s="309"/>
      <c r="AE206" s="336"/>
      <c r="AF206" s="306"/>
      <c r="AG206" s="211"/>
      <c r="AH206" s="211"/>
      <c r="AI206" s="211"/>
      <c r="AJ206" s="211"/>
      <c r="AK206" s="211"/>
      <c r="AL206" s="214"/>
      <c r="AM206" s="333"/>
      <c r="AN206" s="211"/>
      <c r="AO206" s="211"/>
      <c r="AP206" s="211"/>
      <c r="AQ206" s="211"/>
      <c r="AR206" s="211"/>
      <c r="AS206" s="211"/>
      <c r="AT206" s="333"/>
      <c r="AU206" s="211"/>
      <c r="AV206" s="211"/>
      <c r="AW206" s="211"/>
      <c r="AX206" s="211"/>
      <c r="AY206" s="211"/>
      <c r="AZ206" s="214"/>
      <c r="BA206" s="333"/>
      <c r="BB206" s="333"/>
      <c r="BC206" s="333"/>
      <c r="BD206" s="333"/>
      <c r="BE206" s="333"/>
      <c r="BF206" s="333"/>
      <c r="BG206" s="333"/>
      <c r="BH206" s="333"/>
      <c r="BI206" s="211"/>
      <c r="BJ206" s="211"/>
      <c r="BK206" s="211"/>
      <c r="BL206" s="211"/>
      <c r="BM206" s="211"/>
      <c r="BN206" s="214"/>
      <c r="BO206" s="196"/>
      <c r="BP206" s="196"/>
      <c r="BQ206" s="196"/>
      <c r="BR206" s="196"/>
      <c r="BS206" s="196"/>
      <c r="BT206" s="196"/>
      <c r="BU206" s="193"/>
      <c r="BV206" s="193"/>
      <c r="BW206" s="193"/>
      <c r="BX206" s="193"/>
      <c r="BY206" s="193"/>
      <c r="BZ206" s="193"/>
      <c r="CA206" s="193"/>
      <c r="CB206" s="193"/>
      <c r="CC206" s="193"/>
      <c r="CD206" s="193"/>
      <c r="CE206" s="193"/>
      <c r="CF206" s="193"/>
      <c r="CG206" s="193"/>
      <c r="CH206" s="193"/>
      <c r="CI206" s="193"/>
      <c r="CJ206" s="193"/>
      <c r="CK206" s="193"/>
      <c r="CL206" s="193"/>
      <c r="CM206" s="205"/>
      <c r="CN206" s="208"/>
      <c r="CO206" s="54"/>
      <c r="CP206" s="54"/>
      <c r="CQ206" s="54"/>
      <c r="CR206" s="54"/>
      <c r="CS206" s="54"/>
      <c r="CT206" s="54"/>
      <c r="CU206" s="54"/>
      <c r="CV206" s="8"/>
      <c r="CW206" s="8"/>
      <c r="CX206" s="8"/>
      <c r="CY206" s="54"/>
      <c r="CZ206" s="54"/>
      <c r="DA206" s="54"/>
      <c r="DB206" s="54"/>
      <c r="DC206" s="54"/>
      <c r="DD206" s="54"/>
      <c r="DE206" s="54"/>
      <c r="DF206" s="8"/>
      <c r="DG206" s="8"/>
      <c r="DH206" s="8"/>
      <c r="DI206" s="54"/>
      <c r="DJ206" s="54"/>
      <c r="DK206" s="54"/>
      <c r="DL206" s="54"/>
      <c r="DM206" s="54"/>
      <c r="DN206" s="54"/>
      <c r="DO206" s="54"/>
      <c r="DP206" s="8"/>
      <c r="DQ206" s="8"/>
      <c r="DR206" s="8"/>
      <c r="DS206" s="408"/>
      <c r="DT206" s="54"/>
      <c r="DU206" s="54"/>
      <c r="DV206" s="54"/>
      <c r="DW206" s="54"/>
      <c r="DX206" s="54"/>
      <c r="DY206" s="54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404"/>
      <c r="EM206" s="54"/>
      <c r="EN206" s="54"/>
      <c r="EO206" s="54"/>
      <c r="EP206" s="54"/>
      <c r="EQ206" s="54"/>
      <c r="ER206" s="54"/>
      <c r="ES206" s="54"/>
      <c r="ET206" s="54"/>
      <c r="EU206" s="54"/>
      <c r="EV206" s="54"/>
      <c r="EW206" s="54"/>
      <c r="EX206" s="54"/>
      <c r="EY206" s="54"/>
    </row>
    <row r="207" spans="1:155" ht="14.1" customHeight="1" thickBot="1">
      <c r="A207" s="175"/>
      <c r="B207" s="400" t="s">
        <v>307</v>
      </c>
      <c r="C207" s="415"/>
      <c r="D207" s="374" t="e">
        <f t="shared" si="550"/>
        <v>#DIV/0!</v>
      </c>
      <c r="E207" s="356" t="e">
        <f t="shared" si="551"/>
        <v>#DIV/0!</v>
      </c>
      <c r="F207" s="356" t="e">
        <f t="shared" si="552"/>
        <v>#DIV/0!</v>
      </c>
      <c r="G207" s="357" t="e">
        <f t="shared" si="553"/>
        <v>#DIV/0!</v>
      </c>
      <c r="H207" s="359"/>
      <c r="I207" s="212"/>
      <c r="J207" s="212"/>
      <c r="K207" s="212"/>
      <c r="L207" s="212"/>
      <c r="M207" s="212"/>
      <c r="N207" s="212"/>
      <c r="O207" s="212"/>
      <c r="P207" s="212"/>
      <c r="Q207" s="215"/>
      <c r="R207" s="378"/>
      <c r="S207" s="358"/>
      <c r="T207" s="358"/>
      <c r="U207" s="358"/>
      <c r="V207" s="358"/>
      <c r="W207" s="358"/>
      <c r="X207" s="385"/>
      <c r="Y207" s="378"/>
      <c r="Z207" s="358"/>
      <c r="AA207" s="358"/>
      <c r="AB207" s="358"/>
      <c r="AC207" s="358"/>
      <c r="AD207" s="358"/>
      <c r="AE207" s="385"/>
      <c r="AF207" s="378"/>
      <c r="AG207" s="212"/>
      <c r="AH207" s="212"/>
      <c r="AI207" s="212"/>
      <c r="AJ207" s="212"/>
      <c r="AK207" s="212"/>
      <c r="AL207" s="215"/>
      <c r="AM207" s="359"/>
      <c r="AN207" s="212"/>
      <c r="AO207" s="212"/>
      <c r="AP207" s="212"/>
      <c r="AQ207" s="212"/>
      <c r="AR207" s="212"/>
      <c r="AS207" s="212"/>
      <c r="AT207" s="359"/>
      <c r="AU207" s="212"/>
      <c r="AV207" s="212"/>
      <c r="AW207" s="212"/>
      <c r="AX207" s="212"/>
      <c r="AY207" s="212"/>
      <c r="AZ207" s="215"/>
      <c r="BA207" s="359"/>
      <c r="BB207" s="359"/>
      <c r="BC207" s="359"/>
      <c r="BD207" s="359"/>
      <c r="BE207" s="359"/>
      <c r="BF207" s="359"/>
      <c r="BG207" s="359"/>
      <c r="BH207" s="359"/>
      <c r="BI207" s="212"/>
      <c r="BJ207" s="212"/>
      <c r="BK207" s="212"/>
      <c r="BL207" s="212"/>
      <c r="BM207" s="212"/>
      <c r="BN207" s="215"/>
      <c r="BO207" s="197"/>
      <c r="BP207" s="197"/>
      <c r="BQ207" s="197"/>
      <c r="BR207" s="197"/>
      <c r="BS207" s="197"/>
      <c r="BT207" s="197"/>
      <c r="BU207" s="194"/>
      <c r="BV207" s="194"/>
      <c r="BW207" s="194"/>
      <c r="BX207" s="194"/>
      <c r="BY207" s="194"/>
      <c r="BZ207" s="194"/>
      <c r="CA207" s="194"/>
      <c r="CB207" s="194"/>
      <c r="CC207" s="194"/>
      <c r="CD207" s="194"/>
      <c r="CE207" s="194"/>
      <c r="CF207" s="194"/>
      <c r="CG207" s="194"/>
      <c r="CH207" s="194"/>
      <c r="CI207" s="194"/>
      <c r="CJ207" s="194"/>
      <c r="CK207" s="194"/>
      <c r="CL207" s="194"/>
      <c r="CM207" s="206"/>
      <c r="CN207" s="209"/>
      <c r="CO207" s="54"/>
      <c r="CP207" s="54"/>
      <c r="CQ207" s="54"/>
      <c r="CR207" s="54"/>
      <c r="CS207" s="54"/>
      <c r="CT207" s="54"/>
      <c r="CU207" s="54"/>
      <c r="CV207" s="8"/>
      <c r="CW207" s="8"/>
      <c r="CX207" s="8"/>
      <c r="CY207" s="54"/>
      <c r="CZ207" s="54"/>
      <c r="DA207" s="54"/>
      <c r="DB207" s="54"/>
      <c r="DC207" s="54"/>
      <c r="DD207" s="54"/>
      <c r="DE207" s="54"/>
      <c r="DF207" s="8"/>
      <c r="DG207" s="8"/>
      <c r="DH207" s="8"/>
      <c r="DI207" s="54"/>
      <c r="DJ207" s="54"/>
      <c r="DK207" s="54"/>
      <c r="DL207" s="54"/>
      <c r="DM207" s="54"/>
      <c r="DN207" s="54"/>
      <c r="DO207" s="54"/>
      <c r="DP207" s="8"/>
      <c r="DQ207" s="8"/>
      <c r="DR207" s="8"/>
      <c r="DS207" s="408"/>
      <c r="DT207" s="54"/>
      <c r="DU207" s="54"/>
      <c r="DV207" s="54"/>
      <c r="DW207" s="54"/>
      <c r="DX207" s="54"/>
      <c r="DY207" s="54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404"/>
      <c r="EM207" s="54"/>
      <c r="EN207" s="54"/>
      <c r="EO207" s="54"/>
      <c r="EP207" s="54"/>
      <c r="EQ207" s="54"/>
      <c r="ER207" s="54"/>
      <c r="ES207" s="54"/>
      <c r="ET207" s="54"/>
      <c r="EU207" s="54"/>
      <c r="EV207" s="54"/>
      <c r="EW207" s="54"/>
      <c r="EX207" s="54"/>
      <c r="EY207" s="54"/>
    </row>
    <row r="208" spans="1:155" ht="14.1" customHeight="1">
      <c r="A208" s="173">
        <v>50</v>
      </c>
      <c r="B208" s="397" t="s">
        <v>308</v>
      </c>
      <c r="D208" s="373" t="e">
        <f t="shared" si="550"/>
        <v>#DIV/0!</v>
      </c>
      <c r="E208" s="375" t="e">
        <f t="shared" si="551"/>
        <v>#DIV/0!</v>
      </c>
      <c r="F208" s="375" t="e">
        <f t="shared" si="552"/>
        <v>#DIV/0!</v>
      </c>
      <c r="G208" s="376" t="e">
        <f t="shared" si="553"/>
        <v>#DIV/0!</v>
      </c>
      <c r="H208" s="379"/>
      <c r="I208" s="210"/>
      <c r="J208" s="210"/>
      <c r="K208" s="210">
        <v>0</v>
      </c>
      <c r="L208" s="210">
        <v>0</v>
      </c>
      <c r="M208" s="210"/>
      <c r="N208" s="210"/>
      <c r="O208" s="210"/>
      <c r="P208" s="210"/>
      <c r="Q208" s="213"/>
      <c r="R208" s="377"/>
      <c r="S208" s="370"/>
      <c r="T208" s="370"/>
      <c r="U208" s="370">
        <v>0</v>
      </c>
      <c r="V208" s="370">
        <v>0</v>
      </c>
      <c r="W208" s="370"/>
      <c r="X208" s="384">
        <v>20.5</v>
      </c>
      <c r="Y208" s="377">
        <f t="shared" ref="Y208" si="694">H208*R208*10</f>
        <v>0</v>
      </c>
      <c r="Z208" s="370">
        <f t="shared" ref="Z208" si="695">I208*S208*10</f>
        <v>0</v>
      </c>
      <c r="AA208" s="370">
        <f t="shared" ref="AA208" si="696">J208*T208*10</f>
        <v>0</v>
      </c>
      <c r="AB208" s="370">
        <f t="shared" ref="AB208" si="697">K208*U208*10</f>
        <v>0</v>
      </c>
      <c r="AC208" s="370">
        <f t="shared" ref="AC208" si="698">L208*V208*10</f>
        <v>0</v>
      </c>
      <c r="AD208" s="370">
        <f t="shared" ref="AD208" si="699">M208*W208*10</f>
        <v>0</v>
      </c>
      <c r="AE208" s="384">
        <f t="shared" ref="AE208" si="700">O208*X208*10</f>
        <v>0</v>
      </c>
      <c r="AF208" s="377"/>
      <c r="AG208" s="210"/>
      <c r="AH208" s="210"/>
      <c r="AI208" s="210">
        <v>0</v>
      </c>
      <c r="AJ208" s="210">
        <v>0</v>
      </c>
      <c r="AK208" s="210"/>
      <c r="AL208" s="213"/>
      <c r="AM208" s="379">
        <f t="shared" ref="AM208" si="701">AF208*10*H208</f>
        <v>0</v>
      </c>
      <c r="AN208" s="210">
        <f t="shared" ref="AN208" si="702">AG208*I208*10</f>
        <v>0</v>
      </c>
      <c r="AO208" s="210">
        <f t="shared" ref="AO208" si="703">AH208*J208*10</f>
        <v>0</v>
      </c>
      <c r="AP208" s="210">
        <f t="shared" ref="AP208" si="704">AI208*K208*10</f>
        <v>0</v>
      </c>
      <c r="AQ208" s="210">
        <f t="shared" ref="AQ208" si="705">AJ208*L208*10</f>
        <v>0</v>
      </c>
      <c r="AR208" s="210">
        <f t="shared" ref="AR208" si="706">AK208*M208*10</f>
        <v>0</v>
      </c>
      <c r="AS208" s="210">
        <f t="shared" ref="AS208" si="707">AL208*N208*10</f>
        <v>0</v>
      </c>
      <c r="AT208" s="379"/>
      <c r="AU208" s="210"/>
      <c r="AV208" s="210"/>
      <c r="AW208" s="210"/>
      <c r="AX208" s="210"/>
      <c r="AY208" s="210"/>
      <c r="AZ208" s="213"/>
      <c r="BA208" s="379">
        <f t="shared" ref="BA208" si="708">(H208*3*1000)/(1-AT208/100)</f>
        <v>0</v>
      </c>
      <c r="BB208" s="379">
        <f t="shared" ref="BB208" si="709">(I208*3*1000)/(1-AU208/100)</f>
        <v>0</v>
      </c>
      <c r="BC208" s="379">
        <f t="shared" ref="BC208" si="710">(J208*3*1000)/(1-AV208/100)</f>
        <v>0</v>
      </c>
      <c r="BD208" s="379">
        <f t="shared" ref="BD208" si="711">(K208*3*1000)/(1-AW208/100)</f>
        <v>0</v>
      </c>
      <c r="BE208" s="379">
        <f t="shared" ref="BE208" si="712">(L208*3*1000)/(1-AX208/100)</f>
        <v>0</v>
      </c>
      <c r="BF208" s="379">
        <f t="shared" ref="BF208" si="713">(M208*3*1000)/(1-AY208/100)</f>
        <v>0</v>
      </c>
      <c r="BG208" s="379">
        <f t="shared" ref="BG208" si="714">(N208*3*1000)/(1-AZ208/100)</f>
        <v>0</v>
      </c>
      <c r="BH208" s="379">
        <f t="shared" ref="BH208" si="715">H208+I208+J208+K208+L208</f>
        <v>0</v>
      </c>
      <c r="BI208" s="210">
        <f t="shared" ref="BI208" si="716">M208+N208+O208</f>
        <v>0</v>
      </c>
      <c r="BJ208" s="210">
        <f t="shared" ref="BJ208" si="717">BH208+BI208</f>
        <v>0</v>
      </c>
      <c r="BK208" s="210">
        <f t="shared" ref="BK208" si="718">Y208+Z208+AA208+AB208+AC208+AD208+AE208</f>
        <v>0</v>
      </c>
      <c r="BL208" s="210">
        <f t="shared" ref="BL208" si="719">AM208+AN208+AO208+AP208+AQ208+AR208+AS208</f>
        <v>0</v>
      </c>
      <c r="BM208" s="210">
        <f t="shared" ref="BM208" si="720">BJ208*3*1000</f>
        <v>0</v>
      </c>
      <c r="BN208" s="213">
        <f t="shared" ref="BN208" si="721">BA208+BB208+BC208+BD208+BE208+BF208+BG208</f>
        <v>0</v>
      </c>
      <c r="BO208" s="195"/>
      <c r="BP208" s="195"/>
      <c r="BQ208" s="195"/>
      <c r="BR208" s="195"/>
      <c r="BS208" s="195"/>
      <c r="BT208" s="195"/>
      <c r="BU208" s="192"/>
      <c r="BV208" s="192"/>
      <c r="BW208" s="192"/>
      <c r="BX208" s="192"/>
      <c r="BY208" s="192"/>
      <c r="BZ208" s="192"/>
      <c r="CA208" s="192"/>
      <c r="CB208" s="192"/>
      <c r="CC208" s="192"/>
      <c r="CD208" s="192"/>
      <c r="CE208" s="192"/>
      <c r="CF208" s="192"/>
      <c r="CG208" s="192"/>
      <c r="CH208" s="192"/>
      <c r="CI208" s="192"/>
      <c r="CJ208" s="192"/>
      <c r="CK208" s="192"/>
      <c r="CL208" s="192"/>
      <c r="CM208" s="204"/>
      <c r="CN208" s="207"/>
      <c r="CO208" s="54"/>
      <c r="CP208" s="54"/>
      <c r="CQ208" s="54"/>
      <c r="CR208" s="54"/>
      <c r="CS208" s="54"/>
      <c r="CT208" s="54"/>
      <c r="CU208" s="54"/>
      <c r="CV208" s="8"/>
      <c r="CW208" s="8"/>
      <c r="CX208" s="8"/>
      <c r="CY208" s="54"/>
      <c r="CZ208" s="54"/>
      <c r="DA208" s="54"/>
      <c r="DB208" s="54"/>
      <c r="DC208" s="54"/>
      <c r="DD208" s="54"/>
      <c r="DE208" s="54"/>
      <c r="DF208" s="8"/>
      <c r="DG208" s="8"/>
      <c r="DH208" s="8"/>
      <c r="DI208" s="54"/>
      <c r="DJ208" s="54"/>
      <c r="DK208" s="54"/>
      <c r="DL208" s="54"/>
      <c r="DM208" s="54"/>
      <c r="DN208" s="54"/>
      <c r="DO208" s="54"/>
      <c r="DP208" s="8"/>
      <c r="DQ208" s="8"/>
      <c r="DR208" s="8"/>
      <c r="DS208" s="408"/>
      <c r="DT208" s="54"/>
      <c r="DU208" s="54"/>
      <c r="DV208" s="54"/>
      <c r="DW208" s="54"/>
      <c r="DX208" s="54"/>
      <c r="DY208" s="54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404"/>
      <c r="EM208" s="54"/>
      <c r="EN208" s="54"/>
      <c r="EO208" s="54"/>
      <c r="EP208" s="54"/>
      <c r="EQ208" s="54"/>
      <c r="ER208" s="54"/>
      <c r="ES208" s="54"/>
      <c r="ET208" s="54"/>
      <c r="EU208" s="54"/>
      <c r="EV208" s="54"/>
      <c r="EW208" s="54"/>
      <c r="EX208" s="54"/>
      <c r="EY208" s="54"/>
    </row>
    <row r="209" spans="1:155" ht="14.1" customHeight="1">
      <c r="A209" s="174"/>
      <c r="B209" s="397" t="s">
        <v>308</v>
      </c>
      <c r="D209" s="317" t="e">
        <f t="shared" si="550"/>
        <v>#DIV/0!</v>
      </c>
      <c r="E209" s="320" t="e">
        <f t="shared" si="551"/>
        <v>#DIV/0!</v>
      </c>
      <c r="F209" s="320" t="e">
        <f t="shared" si="552"/>
        <v>#DIV/0!</v>
      </c>
      <c r="G209" s="323" t="e">
        <f t="shared" si="553"/>
        <v>#DIV/0!</v>
      </c>
      <c r="H209" s="333"/>
      <c r="I209" s="211"/>
      <c r="J209" s="211"/>
      <c r="K209" s="211"/>
      <c r="L209" s="211"/>
      <c r="M209" s="211"/>
      <c r="N209" s="211"/>
      <c r="O209" s="211"/>
      <c r="P209" s="211"/>
      <c r="Q209" s="214"/>
      <c r="R209" s="306"/>
      <c r="S209" s="309"/>
      <c r="T209" s="309"/>
      <c r="U209" s="309"/>
      <c r="V209" s="309"/>
      <c r="W209" s="309"/>
      <c r="X209" s="336"/>
      <c r="Y209" s="306"/>
      <c r="Z209" s="309"/>
      <c r="AA209" s="309"/>
      <c r="AB209" s="309"/>
      <c r="AC209" s="309"/>
      <c r="AD209" s="309"/>
      <c r="AE209" s="336"/>
      <c r="AF209" s="306"/>
      <c r="AG209" s="211"/>
      <c r="AH209" s="211"/>
      <c r="AI209" s="211"/>
      <c r="AJ209" s="211"/>
      <c r="AK209" s="211"/>
      <c r="AL209" s="214"/>
      <c r="AM209" s="333"/>
      <c r="AN209" s="211"/>
      <c r="AO209" s="211"/>
      <c r="AP209" s="211"/>
      <c r="AQ209" s="211"/>
      <c r="AR209" s="211"/>
      <c r="AS209" s="211"/>
      <c r="AT209" s="333"/>
      <c r="AU209" s="211"/>
      <c r="AV209" s="211"/>
      <c r="AW209" s="211"/>
      <c r="AX209" s="211"/>
      <c r="AY209" s="211"/>
      <c r="AZ209" s="214"/>
      <c r="BA209" s="333"/>
      <c r="BB209" s="333"/>
      <c r="BC209" s="333"/>
      <c r="BD209" s="333"/>
      <c r="BE209" s="333"/>
      <c r="BF209" s="333"/>
      <c r="BG209" s="333"/>
      <c r="BH209" s="333"/>
      <c r="BI209" s="211"/>
      <c r="BJ209" s="211"/>
      <c r="BK209" s="211"/>
      <c r="BL209" s="211"/>
      <c r="BM209" s="211"/>
      <c r="BN209" s="214"/>
      <c r="BO209" s="196"/>
      <c r="BP209" s="196"/>
      <c r="BQ209" s="196"/>
      <c r="BR209" s="196"/>
      <c r="BS209" s="196"/>
      <c r="BT209" s="196"/>
      <c r="BU209" s="193"/>
      <c r="BV209" s="193"/>
      <c r="BW209" s="193"/>
      <c r="BX209" s="193"/>
      <c r="BY209" s="193"/>
      <c r="BZ209" s="193"/>
      <c r="CA209" s="193"/>
      <c r="CB209" s="193"/>
      <c r="CC209" s="193"/>
      <c r="CD209" s="193"/>
      <c r="CE209" s="193"/>
      <c r="CF209" s="193"/>
      <c r="CG209" s="193"/>
      <c r="CH209" s="193"/>
      <c r="CI209" s="193"/>
      <c r="CJ209" s="193"/>
      <c r="CK209" s="193"/>
      <c r="CL209" s="193"/>
      <c r="CM209" s="205"/>
      <c r="CN209" s="208"/>
      <c r="CO209" s="54"/>
      <c r="CP209" s="54"/>
      <c r="CQ209" s="54"/>
      <c r="CR209" s="54"/>
      <c r="CS209" s="54"/>
      <c r="CT209" s="54"/>
      <c r="CU209" s="54"/>
      <c r="CV209" s="8"/>
      <c r="CW209" s="8"/>
      <c r="CX209" s="8"/>
      <c r="CY209" s="54"/>
      <c r="CZ209" s="54"/>
      <c r="DA209" s="54"/>
      <c r="DB209" s="54"/>
      <c r="DC209" s="54"/>
      <c r="DD209" s="54"/>
      <c r="DE209" s="54"/>
      <c r="DF209" s="8"/>
      <c r="DG209" s="8"/>
      <c r="DH209" s="8"/>
      <c r="DI209" s="54"/>
      <c r="DJ209" s="54"/>
      <c r="DK209" s="54"/>
      <c r="DL209" s="54"/>
      <c r="DM209" s="54"/>
      <c r="DN209" s="54"/>
      <c r="DO209" s="54"/>
      <c r="DP209" s="8"/>
      <c r="DQ209" s="8"/>
      <c r="DR209" s="8"/>
      <c r="DS209" s="408"/>
      <c r="DT209" s="54"/>
      <c r="DU209" s="54"/>
      <c r="DV209" s="54"/>
      <c r="DW209" s="54"/>
      <c r="DX209" s="54"/>
      <c r="DY209" s="54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404"/>
      <c r="EM209" s="54"/>
      <c r="EN209" s="54"/>
      <c r="EO209" s="54"/>
      <c r="EP209" s="54"/>
      <c r="EQ209" s="54"/>
      <c r="ER209" s="54"/>
      <c r="ES209" s="54"/>
      <c r="ET209" s="54"/>
      <c r="EU209" s="54"/>
      <c r="EV209" s="54"/>
      <c r="EW209" s="54"/>
      <c r="EX209" s="54"/>
      <c r="EY209" s="54"/>
    </row>
    <row r="210" spans="1:155" ht="14.1" customHeight="1">
      <c r="A210" s="174"/>
      <c r="B210" s="397" t="s">
        <v>308</v>
      </c>
      <c r="D210" s="317" t="e">
        <f t="shared" si="550"/>
        <v>#DIV/0!</v>
      </c>
      <c r="E210" s="320" t="e">
        <f t="shared" si="551"/>
        <v>#DIV/0!</v>
      </c>
      <c r="F210" s="320" t="e">
        <f t="shared" si="552"/>
        <v>#DIV/0!</v>
      </c>
      <c r="G210" s="323" t="e">
        <f t="shared" si="553"/>
        <v>#DIV/0!</v>
      </c>
      <c r="H210" s="333"/>
      <c r="I210" s="211"/>
      <c r="J210" s="211"/>
      <c r="K210" s="211"/>
      <c r="L210" s="211"/>
      <c r="M210" s="211"/>
      <c r="N210" s="211"/>
      <c r="O210" s="211"/>
      <c r="P210" s="211"/>
      <c r="Q210" s="214"/>
      <c r="R210" s="306"/>
      <c r="S210" s="309"/>
      <c r="T210" s="309"/>
      <c r="U210" s="309"/>
      <c r="V210" s="309"/>
      <c r="W210" s="309"/>
      <c r="X210" s="336"/>
      <c r="Y210" s="306"/>
      <c r="Z210" s="309"/>
      <c r="AA210" s="309"/>
      <c r="AB210" s="309"/>
      <c r="AC210" s="309"/>
      <c r="AD210" s="309"/>
      <c r="AE210" s="336"/>
      <c r="AF210" s="306"/>
      <c r="AG210" s="211"/>
      <c r="AH210" s="211"/>
      <c r="AI210" s="211"/>
      <c r="AJ210" s="211"/>
      <c r="AK210" s="211"/>
      <c r="AL210" s="214"/>
      <c r="AM210" s="333"/>
      <c r="AN210" s="211"/>
      <c r="AO210" s="211"/>
      <c r="AP210" s="211"/>
      <c r="AQ210" s="211"/>
      <c r="AR210" s="211"/>
      <c r="AS210" s="211"/>
      <c r="AT210" s="333"/>
      <c r="AU210" s="211"/>
      <c r="AV210" s="211"/>
      <c r="AW210" s="211"/>
      <c r="AX210" s="211"/>
      <c r="AY210" s="211"/>
      <c r="AZ210" s="214"/>
      <c r="BA210" s="333"/>
      <c r="BB210" s="333"/>
      <c r="BC210" s="333"/>
      <c r="BD210" s="333"/>
      <c r="BE210" s="333"/>
      <c r="BF210" s="333"/>
      <c r="BG210" s="333"/>
      <c r="BH210" s="333"/>
      <c r="BI210" s="211"/>
      <c r="BJ210" s="211"/>
      <c r="BK210" s="211"/>
      <c r="BL210" s="211"/>
      <c r="BM210" s="211"/>
      <c r="BN210" s="214"/>
      <c r="BO210" s="196"/>
      <c r="BP210" s="196"/>
      <c r="BQ210" s="196"/>
      <c r="BR210" s="196"/>
      <c r="BS210" s="196"/>
      <c r="BT210" s="196"/>
      <c r="BU210" s="193"/>
      <c r="BV210" s="193"/>
      <c r="BW210" s="193"/>
      <c r="BX210" s="193"/>
      <c r="BY210" s="193"/>
      <c r="BZ210" s="193"/>
      <c r="CA210" s="193"/>
      <c r="CB210" s="193"/>
      <c r="CC210" s="193"/>
      <c r="CD210" s="193"/>
      <c r="CE210" s="193"/>
      <c r="CF210" s="193"/>
      <c r="CG210" s="193"/>
      <c r="CH210" s="193"/>
      <c r="CI210" s="193"/>
      <c r="CJ210" s="193"/>
      <c r="CK210" s="193"/>
      <c r="CL210" s="193"/>
      <c r="CM210" s="205"/>
      <c r="CN210" s="208"/>
      <c r="CO210" s="54"/>
      <c r="CP210" s="54"/>
      <c r="CQ210" s="54"/>
      <c r="CR210" s="54"/>
      <c r="CS210" s="54"/>
      <c r="CT210" s="54"/>
      <c r="CU210" s="54"/>
      <c r="CV210" s="8"/>
      <c r="CW210" s="8"/>
      <c r="CX210" s="8"/>
      <c r="CY210" s="54"/>
      <c r="CZ210" s="54"/>
      <c r="DA210" s="54"/>
      <c r="DB210" s="54"/>
      <c r="DC210" s="54"/>
      <c r="DD210" s="54"/>
      <c r="DE210" s="54"/>
      <c r="DF210" s="8"/>
      <c r="DG210" s="8"/>
      <c r="DH210" s="8"/>
      <c r="DI210" s="54"/>
      <c r="DJ210" s="54"/>
      <c r="DK210" s="54"/>
      <c r="DL210" s="54"/>
      <c r="DM210" s="54"/>
      <c r="DN210" s="54"/>
      <c r="DO210" s="54"/>
      <c r="DP210" s="8"/>
      <c r="DQ210" s="8"/>
      <c r="DR210" s="8"/>
      <c r="DS210" s="408"/>
      <c r="DT210" s="54"/>
      <c r="DU210" s="54"/>
      <c r="DV210" s="54"/>
      <c r="DW210" s="54"/>
      <c r="DX210" s="54"/>
      <c r="DY210" s="54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404"/>
      <c r="EM210" s="54"/>
      <c r="EN210" s="54"/>
      <c r="EO210" s="54"/>
      <c r="EP210" s="54"/>
      <c r="EQ210" s="54"/>
      <c r="ER210" s="54"/>
      <c r="ES210" s="54"/>
      <c r="ET210" s="54"/>
      <c r="EU210" s="54"/>
      <c r="EV210" s="54"/>
      <c r="EW210" s="54"/>
      <c r="EX210" s="54"/>
      <c r="EY210" s="54"/>
    </row>
    <row r="211" spans="1:155" ht="14.1" customHeight="1" thickBot="1">
      <c r="A211" s="175"/>
      <c r="B211" s="400" t="s">
        <v>308</v>
      </c>
      <c r="C211" s="415"/>
      <c r="D211" s="374" t="e">
        <f t="shared" si="550"/>
        <v>#DIV/0!</v>
      </c>
      <c r="E211" s="356" t="e">
        <f t="shared" si="551"/>
        <v>#DIV/0!</v>
      </c>
      <c r="F211" s="356" t="e">
        <f t="shared" si="552"/>
        <v>#DIV/0!</v>
      </c>
      <c r="G211" s="357" t="e">
        <f t="shared" si="553"/>
        <v>#DIV/0!</v>
      </c>
      <c r="H211" s="359"/>
      <c r="I211" s="212"/>
      <c r="J211" s="212"/>
      <c r="K211" s="212"/>
      <c r="L211" s="212"/>
      <c r="M211" s="212"/>
      <c r="N211" s="212"/>
      <c r="O211" s="212"/>
      <c r="P211" s="212"/>
      <c r="Q211" s="215"/>
      <c r="R211" s="378"/>
      <c r="S211" s="358"/>
      <c r="T211" s="358"/>
      <c r="U211" s="358"/>
      <c r="V211" s="358"/>
      <c r="W211" s="358"/>
      <c r="X211" s="385"/>
      <c r="Y211" s="378"/>
      <c r="Z211" s="358"/>
      <c r="AA211" s="358"/>
      <c r="AB211" s="358"/>
      <c r="AC211" s="358"/>
      <c r="AD211" s="358"/>
      <c r="AE211" s="385"/>
      <c r="AF211" s="378"/>
      <c r="AG211" s="212"/>
      <c r="AH211" s="212"/>
      <c r="AI211" s="212"/>
      <c r="AJ211" s="212"/>
      <c r="AK211" s="212"/>
      <c r="AL211" s="215"/>
      <c r="AM211" s="359"/>
      <c r="AN211" s="212"/>
      <c r="AO211" s="212"/>
      <c r="AP211" s="212"/>
      <c r="AQ211" s="212"/>
      <c r="AR211" s="212"/>
      <c r="AS211" s="212"/>
      <c r="AT211" s="359"/>
      <c r="AU211" s="212"/>
      <c r="AV211" s="212"/>
      <c r="AW211" s="212"/>
      <c r="AX211" s="212"/>
      <c r="AY211" s="212"/>
      <c r="AZ211" s="215"/>
      <c r="BA211" s="359"/>
      <c r="BB211" s="359"/>
      <c r="BC211" s="359"/>
      <c r="BD211" s="359"/>
      <c r="BE211" s="359"/>
      <c r="BF211" s="359"/>
      <c r="BG211" s="359"/>
      <c r="BH211" s="359"/>
      <c r="BI211" s="212"/>
      <c r="BJ211" s="212"/>
      <c r="BK211" s="212"/>
      <c r="BL211" s="212"/>
      <c r="BM211" s="212"/>
      <c r="BN211" s="215"/>
      <c r="BO211" s="197"/>
      <c r="BP211" s="197"/>
      <c r="BQ211" s="197"/>
      <c r="BR211" s="197"/>
      <c r="BS211" s="197"/>
      <c r="BT211" s="197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206"/>
      <c r="CN211" s="209"/>
      <c r="CO211" s="54"/>
      <c r="CP211" s="54"/>
      <c r="CQ211" s="54"/>
      <c r="CR211" s="54"/>
      <c r="CS211" s="54"/>
      <c r="CT211" s="54"/>
      <c r="CU211" s="54"/>
      <c r="CV211" s="8"/>
      <c r="CW211" s="8"/>
      <c r="CX211" s="8"/>
      <c r="CY211" s="54"/>
      <c r="CZ211" s="54"/>
      <c r="DA211" s="54"/>
      <c r="DB211" s="54"/>
      <c r="DC211" s="54"/>
      <c r="DD211" s="54"/>
      <c r="DE211" s="54"/>
      <c r="DF211" s="8"/>
      <c r="DG211" s="8"/>
      <c r="DH211" s="8"/>
      <c r="DI211" s="54"/>
      <c r="DJ211" s="54"/>
      <c r="DK211" s="54"/>
      <c r="DL211" s="54"/>
      <c r="DM211" s="54"/>
      <c r="DN211" s="54"/>
      <c r="DO211" s="54"/>
      <c r="DP211" s="8"/>
      <c r="DQ211" s="8"/>
      <c r="DR211" s="8"/>
      <c r="DS211" s="408"/>
      <c r="DT211" s="54"/>
      <c r="DU211" s="54"/>
      <c r="DV211" s="54"/>
      <c r="DW211" s="54"/>
      <c r="DX211" s="54"/>
      <c r="DY211" s="54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404"/>
      <c r="EM211" s="54"/>
      <c r="EN211" s="54"/>
      <c r="EO211" s="54"/>
      <c r="EP211" s="54"/>
      <c r="EQ211" s="54"/>
      <c r="ER211" s="54"/>
      <c r="ES211" s="54"/>
      <c r="ET211" s="54"/>
      <c r="EU211" s="54"/>
      <c r="EV211" s="54"/>
      <c r="EW211" s="54"/>
      <c r="EX211" s="54"/>
      <c r="EY211" s="54"/>
    </row>
    <row r="212" spans="1:155" ht="14.1" customHeight="1">
      <c r="BI212" s="210">
        <f t="shared" ref="BI212" si="722">M212+N212+O212</f>
        <v>0</v>
      </c>
      <c r="BJ212" s="210">
        <f t="shared" ref="BJ212" si="723">BH212+BI212</f>
        <v>0</v>
      </c>
      <c r="BK212" s="210">
        <f t="shared" ref="BK212" si="724">Y212+Z212+AA212+AB212+AC212+AD212+AE212</f>
        <v>0</v>
      </c>
      <c r="BL212" s="210">
        <f t="shared" ref="BL212" si="725">AM212+AN212+AO212+AP212+AQ212+AR212+AS212</f>
        <v>0</v>
      </c>
      <c r="BM212" s="210">
        <f t="shared" ref="BM212" si="726">BJ212*3*1000</f>
        <v>0</v>
      </c>
      <c r="BN212" s="213">
        <f t="shared" ref="BN212" si="727">BA212+BB212+BC212+BD212+BE212+BF212+BG212</f>
        <v>0</v>
      </c>
      <c r="BO212" s="195"/>
      <c r="BP212" s="195"/>
      <c r="BQ212" s="195"/>
      <c r="BR212" s="195"/>
      <c r="BS212" s="195"/>
      <c r="BT212" s="195"/>
      <c r="BU212" s="192"/>
      <c r="BV212" s="192"/>
      <c r="BW212" s="192"/>
      <c r="BX212" s="192"/>
      <c r="BY212" s="192"/>
      <c r="BZ212" s="192"/>
      <c r="CA212" s="192"/>
      <c r="CB212" s="192"/>
      <c r="CC212" s="192"/>
      <c r="CD212" s="192"/>
      <c r="CE212" s="192"/>
      <c r="CF212" s="192"/>
      <c r="CG212" s="192"/>
      <c r="CH212" s="192"/>
      <c r="CI212" s="192"/>
      <c r="CJ212" s="192"/>
      <c r="CK212" s="192"/>
      <c r="CL212" s="192"/>
      <c r="CM212" s="204"/>
      <c r="CN212" s="207"/>
      <c r="CO212" s="54"/>
      <c r="CP212" s="54"/>
      <c r="CQ212" s="54"/>
      <c r="CR212" s="54">
        <v>0</v>
      </c>
      <c r="CS212" s="54"/>
      <c r="CT212" s="54"/>
      <c r="CU212" s="54"/>
      <c r="CV212" s="8"/>
      <c r="CW212" s="8"/>
      <c r="CX212" s="8"/>
      <c r="CY212" s="54"/>
      <c r="CZ212" s="54"/>
      <c r="DA212" s="54"/>
      <c r="DB212" s="54"/>
      <c r="DC212" s="54"/>
      <c r="DD212" s="54"/>
      <c r="DE212" s="54"/>
      <c r="DF212" s="8"/>
      <c r="DG212" s="8"/>
      <c r="DH212" s="8"/>
      <c r="DI212" s="54"/>
      <c r="DJ212" s="54"/>
      <c r="DK212" s="54"/>
      <c r="DL212" s="54"/>
      <c r="DM212" s="54"/>
      <c r="DN212" s="54"/>
      <c r="DO212" s="54"/>
      <c r="DP212" s="8"/>
      <c r="DQ212" s="8"/>
      <c r="DR212" s="8"/>
      <c r="DS212" s="408"/>
      <c r="DT212" s="54"/>
      <c r="DU212" s="54"/>
      <c r="DV212" s="54"/>
      <c r="DW212" s="54"/>
      <c r="DX212" s="54"/>
      <c r="DY212" s="54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404"/>
      <c r="EM212" s="54"/>
      <c r="EN212" s="54"/>
      <c r="EO212" s="54"/>
      <c r="EP212" s="54"/>
      <c r="EQ212" s="54"/>
      <c r="ER212" s="54"/>
      <c r="ES212" s="54"/>
      <c r="ET212" s="54"/>
      <c r="EU212" s="54"/>
      <c r="EV212" s="54"/>
      <c r="EW212" s="54"/>
      <c r="EX212" s="54"/>
      <c r="EY212" s="54"/>
    </row>
    <row r="213" spans="1:155" ht="14.1" customHeight="1">
      <c r="BI213" s="211"/>
      <c r="BJ213" s="211"/>
      <c r="BK213" s="211"/>
      <c r="BL213" s="211"/>
      <c r="BM213" s="211"/>
      <c r="BN213" s="214"/>
      <c r="BO213" s="196"/>
      <c r="BP213" s="196"/>
      <c r="BQ213" s="196"/>
      <c r="BR213" s="196"/>
      <c r="BS213" s="196"/>
      <c r="BT213" s="196"/>
      <c r="BU213" s="193"/>
      <c r="BV213" s="193"/>
      <c r="BW213" s="193"/>
      <c r="BX213" s="193"/>
      <c r="BY213" s="193"/>
      <c r="BZ213" s="193"/>
      <c r="CA213" s="193"/>
      <c r="CB213" s="193"/>
      <c r="CC213" s="193"/>
      <c r="CD213" s="193"/>
      <c r="CE213" s="193"/>
      <c r="CF213" s="193"/>
      <c r="CG213" s="193"/>
      <c r="CH213" s="193"/>
      <c r="CI213" s="193"/>
      <c r="CJ213" s="193"/>
      <c r="CK213" s="193"/>
      <c r="CL213" s="193"/>
      <c r="CM213" s="205"/>
      <c r="CN213" s="208"/>
      <c r="CO213" s="54"/>
      <c r="CP213" s="54"/>
      <c r="CQ213" s="54"/>
      <c r="CR213" s="54"/>
      <c r="CS213" s="54"/>
      <c r="CT213" s="54"/>
      <c r="CU213" s="54"/>
      <c r="CV213" s="8"/>
      <c r="CW213" s="8"/>
      <c r="CX213" s="8"/>
      <c r="CY213" s="54"/>
      <c r="CZ213" s="54"/>
      <c r="DA213" s="54"/>
      <c r="DB213" s="54"/>
      <c r="DC213" s="54"/>
      <c r="DD213" s="54"/>
      <c r="DE213" s="54"/>
      <c r="DF213" s="8"/>
      <c r="DG213" s="8"/>
      <c r="DH213" s="8"/>
      <c r="DI213" s="54"/>
      <c r="DJ213" s="54"/>
      <c r="DK213" s="54"/>
      <c r="DL213" s="54"/>
      <c r="DM213" s="54"/>
      <c r="DN213" s="54"/>
      <c r="DO213" s="54"/>
      <c r="DP213" s="8"/>
      <c r="DQ213" s="8"/>
      <c r="DR213" s="8"/>
      <c r="DS213" s="408"/>
      <c r="DT213" s="54"/>
      <c r="DU213" s="54"/>
      <c r="DV213" s="54"/>
      <c r="DW213" s="54"/>
      <c r="DX213" s="54"/>
      <c r="DY213" s="54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404"/>
      <c r="EM213" s="54"/>
      <c r="EN213" s="54"/>
      <c r="EO213" s="54"/>
      <c r="EP213" s="54"/>
      <c r="EQ213" s="54"/>
      <c r="ER213" s="54"/>
      <c r="ES213" s="54"/>
      <c r="ET213" s="54"/>
      <c r="EU213" s="54"/>
      <c r="EV213" s="54"/>
      <c r="EW213" s="54"/>
      <c r="EX213" s="54"/>
      <c r="EY213" s="54"/>
    </row>
    <row r="214" spans="1:155" ht="14.1" customHeight="1">
      <c r="BI214" s="211"/>
      <c r="BJ214" s="211"/>
      <c r="BK214" s="211"/>
      <c r="BL214" s="211"/>
      <c r="BM214" s="211"/>
      <c r="BN214" s="214"/>
      <c r="BO214" s="196"/>
      <c r="BP214" s="196"/>
      <c r="BQ214" s="196"/>
      <c r="BR214" s="196"/>
      <c r="BS214" s="196"/>
      <c r="BT214" s="196"/>
      <c r="BU214" s="193"/>
      <c r="BV214" s="193"/>
      <c r="BW214" s="193"/>
      <c r="BX214" s="193"/>
      <c r="BY214" s="193"/>
      <c r="BZ214" s="193"/>
      <c r="CA214" s="193"/>
      <c r="CB214" s="193"/>
      <c r="CC214" s="193"/>
      <c r="CD214" s="193"/>
      <c r="CE214" s="193"/>
      <c r="CF214" s="193"/>
      <c r="CG214" s="193"/>
      <c r="CH214" s="193"/>
      <c r="CI214" s="193"/>
      <c r="CJ214" s="193"/>
      <c r="CK214" s="193"/>
      <c r="CL214" s="193"/>
      <c r="CM214" s="205"/>
      <c r="CN214" s="208"/>
      <c r="CO214" s="54"/>
      <c r="CP214" s="54"/>
      <c r="CQ214" s="54"/>
      <c r="CR214" s="54"/>
      <c r="CS214" s="54"/>
      <c r="CT214" s="54"/>
      <c r="CU214" s="54"/>
      <c r="CV214" s="8"/>
      <c r="CW214" s="8"/>
      <c r="CX214" s="8"/>
      <c r="CY214" s="54"/>
      <c r="CZ214" s="54"/>
      <c r="DA214" s="54"/>
      <c r="DB214" s="54"/>
      <c r="DC214" s="54"/>
      <c r="DD214" s="54"/>
      <c r="DE214" s="54"/>
      <c r="DF214" s="8"/>
      <c r="DG214" s="8"/>
      <c r="DH214" s="8"/>
      <c r="DI214" s="54"/>
      <c r="DJ214" s="54"/>
      <c r="DK214" s="54"/>
      <c r="DL214" s="54"/>
      <c r="DM214" s="54"/>
      <c r="DN214" s="54"/>
      <c r="DO214" s="54"/>
      <c r="DP214" s="8"/>
      <c r="DQ214" s="8"/>
      <c r="DR214" s="8"/>
      <c r="DS214" s="408"/>
      <c r="DT214" s="54"/>
      <c r="DU214" s="54"/>
      <c r="DV214" s="54"/>
      <c r="DW214" s="54"/>
      <c r="DX214" s="54"/>
      <c r="DY214" s="54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404"/>
      <c r="EM214" s="54"/>
      <c r="EN214" s="54"/>
      <c r="EO214" s="54"/>
      <c r="EP214" s="54"/>
      <c r="EQ214" s="54"/>
      <c r="ER214" s="54"/>
      <c r="ES214" s="54"/>
      <c r="ET214" s="54"/>
      <c r="EU214" s="54"/>
      <c r="EV214" s="54"/>
      <c r="EW214" s="54"/>
      <c r="EX214" s="54"/>
      <c r="EY214" s="54"/>
    </row>
    <row r="215" spans="1:155" ht="14.1" customHeight="1">
      <c r="BI215" s="212"/>
      <c r="BJ215" s="212"/>
      <c r="BK215" s="212"/>
      <c r="BL215" s="212"/>
      <c r="BM215" s="212"/>
      <c r="BN215" s="215"/>
      <c r="BO215" s="197"/>
      <c r="BP215" s="197"/>
      <c r="BQ215" s="197"/>
      <c r="BR215" s="197"/>
      <c r="BS215" s="197"/>
      <c r="BT215" s="197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206"/>
      <c r="CN215" s="209"/>
      <c r="CO215" s="54"/>
      <c r="CP215" s="54"/>
      <c r="CQ215" s="54"/>
      <c r="CR215" s="54"/>
      <c r="CS215" s="54"/>
      <c r="CT215" s="54"/>
      <c r="CU215" s="54"/>
      <c r="CV215" s="8"/>
      <c r="CW215" s="8"/>
      <c r="CX215" s="8"/>
      <c r="CY215" s="54"/>
      <c r="CZ215" s="54"/>
      <c r="DA215" s="54"/>
      <c r="DB215" s="54"/>
      <c r="DC215" s="54"/>
      <c r="DD215" s="54"/>
      <c r="DE215" s="54"/>
      <c r="DF215" s="8"/>
      <c r="DG215" s="8"/>
      <c r="DH215" s="8"/>
      <c r="DI215" s="54"/>
      <c r="DJ215" s="54"/>
      <c r="DK215" s="54"/>
      <c r="DL215" s="54"/>
      <c r="DM215" s="54"/>
      <c r="DN215" s="54"/>
      <c r="DO215" s="54"/>
      <c r="DP215" s="8"/>
      <c r="DQ215" s="8"/>
      <c r="DR215" s="8"/>
      <c r="DS215" s="408"/>
      <c r="DT215" s="54"/>
      <c r="DU215" s="54"/>
      <c r="DV215" s="54"/>
      <c r="DW215" s="54"/>
      <c r="DX215" s="54"/>
      <c r="DY215" s="54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404"/>
      <c r="EM215" s="54"/>
      <c r="EN215" s="54"/>
      <c r="EO215" s="54"/>
      <c r="EP215" s="54"/>
      <c r="EQ215" s="54"/>
      <c r="ER215" s="54"/>
      <c r="ES215" s="54"/>
      <c r="ET215" s="54"/>
      <c r="EU215" s="54"/>
      <c r="EV215" s="54"/>
      <c r="EW215" s="54"/>
      <c r="EX215" s="54"/>
      <c r="EY215" s="54"/>
    </row>
    <row r="216" spans="1:155" ht="14.1" customHeight="1">
      <c r="BI216" s="210">
        <f t="shared" ref="BI216" si="728">M216+N216+O216</f>
        <v>0</v>
      </c>
      <c r="BJ216" s="210">
        <f t="shared" ref="BJ216" si="729">BH216+BI216</f>
        <v>0</v>
      </c>
      <c r="BK216" s="210">
        <f t="shared" ref="BK216" si="730">Y216+Z216+AA216+AB216+AC216+AD216+AE216</f>
        <v>0</v>
      </c>
      <c r="BL216" s="210">
        <f t="shared" ref="BL216" si="731">AM216+AN216+AO216+AP216+AQ216+AR216+AS216</f>
        <v>0</v>
      </c>
      <c r="BM216" s="210">
        <f t="shared" ref="BM216" si="732">BJ216*3*1000</f>
        <v>0</v>
      </c>
      <c r="BN216" s="213">
        <f t="shared" ref="BN216" si="733">BA216+BB216+BC216+BD216+BE216+BF216+BG216</f>
        <v>0</v>
      </c>
      <c r="BO216" s="195"/>
      <c r="BP216" s="195"/>
      <c r="BQ216" s="195"/>
      <c r="BR216" s="195"/>
      <c r="BS216" s="195"/>
      <c r="BT216" s="195"/>
      <c r="BU216" s="192"/>
      <c r="BV216" s="192"/>
      <c r="BW216" s="192"/>
      <c r="BX216" s="192"/>
      <c r="BY216" s="192"/>
      <c r="BZ216" s="192"/>
      <c r="CA216" s="192"/>
      <c r="CB216" s="192"/>
      <c r="CC216" s="192"/>
      <c r="CD216" s="192"/>
      <c r="CE216" s="192"/>
      <c r="CF216" s="192"/>
      <c r="CG216" s="192"/>
      <c r="CH216" s="192"/>
      <c r="CI216" s="192"/>
      <c r="CJ216" s="192"/>
      <c r="CK216" s="192"/>
      <c r="CL216" s="192"/>
      <c r="CM216" s="204"/>
      <c r="CN216" s="207"/>
      <c r="CO216" s="54"/>
      <c r="CP216" s="54"/>
      <c r="CQ216" s="54"/>
      <c r="CR216" s="54"/>
      <c r="CS216" s="54"/>
      <c r="CT216" s="54"/>
      <c r="CU216" s="54"/>
      <c r="CV216" s="8"/>
      <c r="CW216" s="8"/>
      <c r="CX216" s="8"/>
      <c r="CY216" s="54"/>
      <c r="CZ216" s="54"/>
      <c r="DA216" s="54"/>
      <c r="DB216" s="54"/>
      <c r="DC216" s="54"/>
      <c r="DD216" s="54"/>
      <c r="DE216" s="54"/>
      <c r="DF216" s="8"/>
      <c r="DG216" s="8"/>
      <c r="DH216" s="8"/>
      <c r="DI216" s="54"/>
      <c r="DJ216" s="54"/>
      <c r="DK216" s="54"/>
      <c r="DL216" s="54"/>
      <c r="DM216" s="54"/>
      <c r="DN216" s="54"/>
      <c r="DO216" s="54"/>
      <c r="DP216" s="8"/>
      <c r="DQ216" s="8"/>
      <c r="DR216" s="8"/>
      <c r="DS216" s="408"/>
      <c r="DT216" s="54"/>
      <c r="DU216" s="54"/>
      <c r="DV216" s="54"/>
      <c r="DW216" s="54"/>
      <c r="DX216" s="54"/>
      <c r="DY216" s="54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404"/>
      <c r="EM216" s="54"/>
      <c r="EN216" s="54"/>
      <c r="EO216" s="54"/>
      <c r="EP216" s="54"/>
      <c r="EQ216" s="54"/>
      <c r="ER216" s="54"/>
      <c r="ES216" s="54"/>
      <c r="ET216" s="54"/>
      <c r="EU216" s="54"/>
      <c r="EV216" s="54"/>
      <c r="EW216" s="54"/>
      <c r="EX216" s="54"/>
      <c r="EY216" s="54"/>
    </row>
    <row r="217" spans="1:155" ht="14.1" customHeight="1">
      <c r="BI217" s="211"/>
      <c r="BJ217" s="211"/>
      <c r="BK217" s="211"/>
      <c r="BL217" s="211"/>
      <c r="BM217" s="211"/>
      <c r="BN217" s="214"/>
      <c r="BO217" s="196"/>
      <c r="BP217" s="196"/>
      <c r="BQ217" s="196"/>
      <c r="BR217" s="196"/>
      <c r="BS217" s="196"/>
      <c r="BT217" s="196"/>
      <c r="BU217" s="193"/>
      <c r="BV217" s="193"/>
      <c r="BW217" s="193"/>
      <c r="BX217" s="193"/>
      <c r="BY217" s="193"/>
      <c r="BZ217" s="193"/>
      <c r="CA217" s="193"/>
      <c r="CB217" s="193"/>
      <c r="CC217" s="193"/>
      <c r="CD217" s="193"/>
      <c r="CE217" s="193"/>
      <c r="CF217" s="193"/>
      <c r="CG217" s="193"/>
      <c r="CH217" s="193"/>
      <c r="CI217" s="193"/>
      <c r="CJ217" s="193"/>
      <c r="CK217" s="193"/>
      <c r="CL217" s="193"/>
      <c r="CM217" s="205"/>
      <c r="CN217" s="208"/>
      <c r="CO217" s="54"/>
      <c r="CP217" s="54"/>
      <c r="CQ217" s="54"/>
      <c r="CR217" s="54"/>
      <c r="CS217" s="54"/>
      <c r="CT217" s="54"/>
      <c r="CU217" s="54"/>
      <c r="CV217" s="8"/>
      <c r="CW217" s="8"/>
      <c r="CX217" s="8"/>
      <c r="CY217" s="54"/>
      <c r="CZ217" s="54"/>
      <c r="DA217" s="54"/>
      <c r="DB217" s="54"/>
      <c r="DC217" s="54"/>
      <c r="DD217" s="54"/>
      <c r="DE217" s="54"/>
      <c r="DF217" s="8"/>
      <c r="DG217" s="8"/>
      <c r="DH217" s="8"/>
      <c r="DI217" s="54"/>
      <c r="DJ217" s="54"/>
      <c r="DK217" s="54"/>
      <c r="DL217" s="54"/>
      <c r="DM217" s="54"/>
      <c r="DN217" s="54"/>
      <c r="DO217" s="54"/>
      <c r="DP217" s="8"/>
      <c r="DQ217" s="8"/>
      <c r="DR217" s="8"/>
      <c r="DS217" s="408"/>
      <c r="DT217" s="54"/>
      <c r="DU217" s="54"/>
      <c r="DV217" s="54"/>
      <c r="DW217" s="54"/>
      <c r="DX217" s="54"/>
      <c r="DY217" s="54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404"/>
      <c r="EM217" s="54"/>
      <c r="EN217" s="54"/>
      <c r="EO217" s="54"/>
      <c r="EP217" s="54"/>
      <c r="EQ217" s="54"/>
      <c r="ER217" s="54"/>
      <c r="ES217" s="54"/>
      <c r="ET217" s="54"/>
      <c r="EU217" s="54"/>
      <c r="EV217" s="54"/>
      <c r="EW217" s="54"/>
      <c r="EX217" s="54"/>
      <c r="EY217" s="54"/>
    </row>
    <row r="218" spans="1:155" ht="14.1" customHeight="1">
      <c r="BI218" s="211"/>
      <c r="BJ218" s="211"/>
      <c r="BK218" s="211"/>
      <c r="BL218" s="211"/>
      <c r="BM218" s="211"/>
      <c r="BN218" s="214"/>
      <c r="BO218" s="196"/>
      <c r="BP218" s="196"/>
      <c r="BQ218" s="196"/>
      <c r="BR218" s="196"/>
      <c r="BS218" s="196"/>
      <c r="BT218" s="196"/>
      <c r="BU218" s="193"/>
      <c r="BV218" s="193"/>
      <c r="BW218" s="193"/>
      <c r="BX218" s="193"/>
      <c r="BY218" s="193"/>
      <c r="BZ218" s="193"/>
      <c r="CA218" s="193"/>
      <c r="CB218" s="193"/>
      <c r="CC218" s="193"/>
      <c r="CD218" s="193"/>
      <c r="CE218" s="193"/>
      <c r="CF218" s="193"/>
      <c r="CG218" s="193"/>
      <c r="CH218" s="193"/>
      <c r="CI218" s="193"/>
      <c r="CJ218" s="193"/>
      <c r="CK218" s="193"/>
      <c r="CL218" s="193"/>
      <c r="CM218" s="205"/>
      <c r="CN218" s="208"/>
      <c r="CO218" s="54"/>
      <c r="CP218" s="54"/>
      <c r="CQ218" s="54"/>
      <c r="CR218" s="54"/>
      <c r="CS218" s="54"/>
      <c r="CT218" s="54"/>
      <c r="CU218" s="54"/>
      <c r="CV218" s="8"/>
      <c r="CW218" s="8"/>
      <c r="CX218" s="8"/>
      <c r="CY218" s="54"/>
      <c r="CZ218" s="54"/>
      <c r="DA218" s="54"/>
      <c r="DB218" s="54"/>
      <c r="DC218" s="54"/>
      <c r="DD218" s="54"/>
      <c r="DE218" s="54"/>
      <c r="DF218" s="8"/>
      <c r="DG218" s="8"/>
      <c r="DH218" s="8"/>
      <c r="DI218" s="54"/>
      <c r="DJ218" s="54"/>
      <c r="DK218" s="54"/>
      <c r="DL218" s="54"/>
      <c r="DM218" s="54"/>
      <c r="DN218" s="54"/>
      <c r="DO218" s="54"/>
      <c r="DP218" s="8"/>
      <c r="DQ218" s="8"/>
      <c r="DR218" s="8"/>
      <c r="DS218" s="408"/>
      <c r="DT218" s="54"/>
      <c r="DU218" s="54"/>
      <c r="DV218" s="54"/>
      <c r="DW218" s="54"/>
      <c r="DX218" s="54"/>
      <c r="DY218" s="54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404"/>
      <c r="EM218" s="54"/>
      <c r="EN218" s="54"/>
      <c r="EO218" s="54"/>
      <c r="EP218" s="54"/>
      <c r="EQ218" s="54"/>
      <c r="ER218" s="54"/>
      <c r="ES218" s="54"/>
      <c r="ET218" s="54"/>
      <c r="EU218" s="54"/>
      <c r="EV218" s="54"/>
      <c r="EW218" s="54"/>
      <c r="EX218" s="54"/>
      <c r="EY218" s="54"/>
    </row>
    <row r="219" spans="1:155" ht="14.1" customHeight="1">
      <c r="BI219" s="212"/>
      <c r="BJ219" s="212"/>
      <c r="BK219" s="212"/>
      <c r="BL219" s="212"/>
      <c r="BM219" s="212"/>
      <c r="BN219" s="215"/>
      <c r="BO219" s="197"/>
      <c r="BP219" s="197"/>
      <c r="BQ219" s="197"/>
      <c r="BR219" s="197"/>
      <c r="BS219" s="197"/>
      <c r="BT219" s="197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206"/>
      <c r="CN219" s="209"/>
      <c r="CO219" s="54"/>
      <c r="CP219" s="54"/>
      <c r="CQ219" s="54"/>
      <c r="CR219" s="54"/>
      <c r="CS219" s="54"/>
      <c r="CT219" s="54"/>
      <c r="CU219" s="54"/>
      <c r="CV219" s="8"/>
      <c r="CW219" s="8"/>
      <c r="CX219" s="8"/>
      <c r="CY219" s="54"/>
      <c r="CZ219" s="54"/>
      <c r="DA219" s="54"/>
      <c r="DB219" s="54"/>
      <c r="DC219" s="54"/>
      <c r="DD219" s="54"/>
      <c r="DE219" s="54"/>
      <c r="DF219" s="8"/>
      <c r="DG219" s="8"/>
      <c r="DH219" s="8"/>
      <c r="DI219" s="54"/>
      <c r="DJ219" s="54"/>
      <c r="DK219" s="54"/>
      <c r="DL219" s="54"/>
      <c r="DM219" s="54"/>
      <c r="DN219" s="54"/>
      <c r="DO219" s="54"/>
      <c r="DP219" s="8"/>
      <c r="DQ219" s="8"/>
      <c r="DR219" s="8"/>
      <c r="DS219" s="408"/>
      <c r="DT219" s="54"/>
      <c r="DU219" s="54"/>
      <c r="DV219" s="54"/>
      <c r="DW219" s="54"/>
      <c r="DX219" s="54"/>
      <c r="DY219" s="54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404"/>
      <c r="EM219" s="54"/>
      <c r="EN219" s="54"/>
      <c r="EO219" s="54"/>
      <c r="EP219" s="54"/>
      <c r="EQ219" s="54"/>
      <c r="ER219" s="54"/>
      <c r="ES219" s="54"/>
      <c r="ET219" s="54"/>
      <c r="EU219" s="54"/>
      <c r="EV219" s="54"/>
      <c r="EW219" s="54"/>
      <c r="EX219" s="54"/>
      <c r="EY219" s="54"/>
    </row>
    <row r="220" spans="1:155" ht="14.1" customHeight="1">
      <c r="BI220" s="210">
        <f t="shared" ref="BI220" si="734">M220+N220+O220</f>
        <v>0</v>
      </c>
      <c r="BJ220" s="210">
        <f t="shared" ref="BJ220" si="735">BH220+BI220</f>
        <v>0</v>
      </c>
      <c r="BK220" s="210">
        <f t="shared" ref="BK220" si="736">Y220+Z220+AA220+AB220+AC220+AD220+AE220</f>
        <v>0</v>
      </c>
      <c r="BL220" s="210">
        <f t="shared" ref="BL220" si="737">AM220+AN220+AO220+AP220+AQ220+AR220+AS220</f>
        <v>0</v>
      </c>
      <c r="BM220" s="210">
        <f t="shared" ref="BM220" si="738">BJ220*3*1000</f>
        <v>0</v>
      </c>
      <c r="BN220" s="213">
        <f t="shared" ref="BN220" si="739">BA220+BB220+BC220+BD220+BE220+BF220+BG220</f>
        <v>0</v>
      </c>
      <c r="BO220" s="195"/>
      <c r="BP220" s="195"/>
      <c r="BQ220" s="195"/>
      <c r="BR220" s="195"/>
      <c r="BS220" s="195"/>
      <c r="BT220" s="195"/>
      <c r="BU220" s="192"/>
      <c r="BV220" s="192"/>
      <c r="BW220" s="192"/>
      <c r="BX220" s="192"/>
      <c r="BY220" s="192"/>
      <c r="BZ220" s="192"/>
      <c r="CA220" s="192"/>
      <c r="CB220" s="192"/>
      <c r="CC220" s="192"/>
      <c r="CD220" s="192"/>
      <c r="CE220" s="192"/>
      <c r="CF220" s="192"/>
      <c r="CG220" s="192"/>
      <c r="CH220" s="192"/>
      <c r="CI220" s="192"/>
      <c r="CJ220" s="192"/>
      <c r="CK220" s="192"/>
      <c r="CL220" s="192"/>
      <c r="CM220" s="204"/>
      <c r="CN220" s="207"/>
      <c r="CO220" s="54"/>
      <c r="CP220" s="54"/>
      <c r="CQ220" s="54"/>
      <c r="CR220" s="54"/>
      <c r="CS220" s="54"/>
      <c r="CT220" s="54"/>
      <c r="CU220" s="54"/>
      <c r="CV220" s="8"/>
      <c r="CW220" s="8"/>
      <c r="CX220" s="8"/>
      <c r="CY220" s="54"/>
      <c r="CZ220" s="54"/>
      <c r="DA220" s="54"/>
      <c r="DB220" s="54"/>
      <c r="DC220" s="54"/>
      <c r="DD220" s="54"/>
      <c r="DE220" s="54"/>
      <c r="DF220" s="8"/>
      <c r="DG220" s="8"/>
      <c r="DH220" s="8"/>
      <c r="DI220" s="54"/>
      <c r="DJ220" s="54"/>
      <c r="DK220" s="54"/>
      <c r="DL220" s="54"/>
      <c r="DM220" s="54"/>
      <c r="DN220" s="54"/>
      <c r="DO220" s="54"/>
      <c r="DP220" s="8"/>
      <c r="DQ220" s="8"/>
      <c r="DR220" s="8"/>
      <c r="DS220" s="408"/>
      <c r="DT220" s="54"/>
      <c r="DU220" s="54"/>
      <c r="DV220" s="54"/>
      <c r="DW220" s="54"/>
      <c r="DX220" s="54"/>
      <c r="DY220" s="54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404"/>
      <c r="EM220" s="54"/>
      <c r="EN220" s="54"/>
      <c r="EO220" s="54"/>
      <c r="EP220" s="54"/>
      <c r="EQ220" s="54"/>
      <c r="ER220" s="54"/>
      <c r="ES220" s="54"/>
      <c r="ET220" s="54"/>
      <c r="EU220" s="54"/>
      <c r="EV220" s="54"/>
      <c r="EW220" s="54"/>
      <c r="EX220" s="54"/>
      <c r="EY220" s="54"/>
    </row>
    <row r="221" spans="1:155" ht="14.1" customHeight="1">
      <c r="BI221" s="211"/>
      <c r="BJ221" s="211"/>
      <c r="BK221" s="211"/>
      <c r="BL221" s="211"/>
      <c r="BM221" s="211"/>
      <c r="BN221" s="214"/>
      <c r="BO221" s="196"/>
      <c r="BP221" s="196"/>
      <c r="BQ221" s="196"/>
      <c r="BR221" s="196"/>
      <c r="BS221" s="196"/>
      <c r="BT221" s="196"/>
      <c r="BU221" s="193"/>
      <c r="BV221" s="193"/>
      <c r="BW221" s="193"/>
      <c r="BX221" s="193"/>
      <c r="BY221" s="193"/>
      <c r="BZ221" s="193"/>
      <c r="CA221" s="193"/>
      <c r="CB221" s="193"/>
      <c r="CC221" s="193"/>
      <c r="CD221" s="193"/>
      <c r="CE221" s="193"/>
      <c r="CF221" s="193"/>
      <c r="CG221" s="193"/>
      <c r="CH221" s="193"/>
      <c r="CI221" s="193"/>
      <c r="CJ221" s="193"/>
      <c r="CK221" s="193"/>
      <c r="CL221" s="193"/>
      <c r="CM221" s="205"/>
      <c r="CN221" s="208"/>
      <c r="CO221" s="54"/>
      <c r="CP221" s="54"/>
      <c r="CQ221" s="54"/>
      <c r="CR221" s="54"/>
      <c r="CS221" s="54"/>
      <c r="CT221" s="54"/>
      <c r="CU221" s="54"/>
      <c r="CV221" s="8"/>
      <c r="CW221" s="8"/>
      <c r="CX221" s="8"/>
      <c r="CY221" s="54"/>
      <c r="CZ221" s="54"/>
      <c r="DA221" s="54"/>
      <c r="DB221" s="54"/>
      <c r="DC221" s="54"/>
      <c r="DD221" s="54"/>
      <c r="DE221" s="54"/>
      <c r="DF221" s="8"/>
      <c r="DG221" s="8"/>
      <c r="DH221" s="8"/>
      <c r="DI221" s="54"/>
      <c r="DJ221" s="54"/>
      <c r="DK221" s="54"/>
      <c r="DL221" s="54"/>
      <c r="DM221" s="54"/>
      <c r="DN221" s="54"/>
      <c r="DO221" s="54"/>
      <c r="DP221" s="8"/>
      <c r="DQ221" s="8"/>
      <c r="DR221" s="8"/>
      <c r="DS221" s="54"/>
      <c r="DT221" s="54"/>
      <c r="DU221" s="54"/>
      <c r="DV221" s="54"/>
      <c r="DW221" s="54"/>
      <c r="DX221" s="54"/>
      <c r="DY221" s="54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404"/>
      <c r="EM221" s="54"/>
      <c r="EN221" s="54"/>
      <c r="EO221" s="54"/>
      <c r="EP221" s="54"/>
      <c r="EQ221" s="54"/>
      <c r="ER221" s="54"/>
      <c r="ES221" s="54"/>
      <c r="ET221" s="54"/>
      <c r="EU221" s="54"/>
      <c r="EV221" s="54"/>
      <c r="EW221" s="54"/>
      <c r="EX221" s="54"/>
      <c r="EY221" s="54"/>
    </row>
    <row r="222" spans="1:155" ht="14.1" customHeight="1">
      <c r="BI222" s="211"/>
      <c r="BJ222" s="211"/>
      <c r="BK222" s="211"/>
      <c r="BL222" s="211"/>
      <c r="BM222" s="211"/>
      <c r="BN222" s="214"/>
      <c r="BO222" s="196"/>
      <c r="BP222" s="196"/>
      <c r="BQ222" s="196"/>
      <c r="BR222" s="196"/>
      <c r="BS222" s="196"/>
      <c r="BT222" s="196"/>
      <c r="BU222" s="193"/>
      <c r="BV222" s="193"/>
      <c r="BW222" s="193"/>
      <c r="BX222" s="193"/>
      <c r="BY222" s="193"/>
      <c r="BZ222" s="193"/>
      <c r="CA222" s="193"/>
      <c r="CB222" s="193"/>
      <c r="CC222" s="193"/>
      <c r="CD222" s="193"/>
      <c r="CE222" s="193"/>
      <c r="CF222" s="193"/>
      <c r="CG222" s="193"/>
      <c r="CH222" s="193"/>
      <c r="CI222" s="193"/>
      <c r="CJ222" s="193"/>
      <c r="CK222" s="193"/>
      <c r="CL222" s="193"/>
      <c r="CM222" s="205"/>
      <c r="CN222" s="208"/>
      <c r="CO222" s="54"/>
      <c r="CP222" s="54"/>
      <c r="CQ222" s="54"/>
      <c r="CR222" s="54"/>
      <c r="CS222" s="54"/>
      <c r="CT222" s="54"/>
      <c r="CU222" s="54"/>
      <c r="CV222" s="8"/>
      <c r="CW222" s="8"/>
      <c r="CX222" s="8"/>
      <c r="CY222" s="54"/>
      <c r="CZ222" s="54"/>
      <c r="DA222" s="54"/>
      <c r="DB222" s="54"/>
      <c r="DC222" s="54"/>
      <c r="DD222" s="54"/>
      <c r="DE222" s="54"/>
      <c r="DF222" s="8"/>
      <c r="DG222" s="8"/>
      <c r="DH222" s="8"/>
      <c r="DI222" s="54"/>
      <c r="DJ222" s="54"/>
      <c r="DK222" s="54"/>
      <c r="DL222" s="54"/>
      <c r="DM222" s="54"/>
      <c r="DN222" s="54"/>
      <c r="DO222" s="54"/>
      <c r="DP222" s="8"/>
      <c r="DQ222" s="8"/>
      <c r="DR222" s="8"/>
      <c r="DS222" s="54"/>
      <c r="DT222" s="54"/>
      <c r="DU222" s="54"/>
      <c r="DV222" s="54"/>
      <c r="DW222" s="54"/>
      <c r="DX222" s="54"/>
      <c r="DY222" s="54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404"/>
      <c r="EM222" s="54"/>
      <c r="EN222" s="54"/>
      <c r="EO222" s="54"/>
      <c r="EP222" s="54"/>
      <c r="EQ222" s="54"/>
      <c r="ER222" s="54"/>
      <c r="ES222" s="54"/>
      <c r="ET222" s="54"/>
      <c r="EU222" s="54"/>
      <c r="EV222" s="54"/>
      <c r="EW222" s="54"/>
      <c r="EX222" s="54"/>
      <c r="EY222" s="54"/>
    </row>
    <row r="223" spans="1:155" ht="14.1" customHeight="1">
      <c r="BI223" s="212"/>
      <c r="BJ223" s="212"/>
      <c r="BK223" s="212"/>
      <c r="BL223" s="212"/>
      <c r="BM223" s="212"/>
      <c r="BN223" s="215"/>
      <c r="BO223" s="197"/>
      <c r="BP223" s="197"/>
      <c r="BQ223" s="197"/>
      <c r="BR223" s="197"/>
      <c r="BS223" s="197"/>
      <c r="BT223" s="197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206"/>
      <c r="CN223" s="209"/>
      <c r="CO223" s="54"/>
      <c r="CP223" s="54"/>
      <c r="CQ223" s="54"/>
      <c r="CR223" s="54"/>
      <c r="CS223" s="54"/>
      <c r="CT223" s="54"/>
      <c r="CU223" s="54"/>
      <c r="CV223" s="8"/>
      <c r="CW223" s="8"/>
      <c r="CX223" s="8"/>
      <c r="CY223" s="54"/>
      <c r="CZ223" s="54"/>
      <c r="DA223" s="54"/>
      <c r="DB223" s="54"/>
      <c r="DC223" s="54"/>
      <c r="DD223" s="54"/>
      <c r="DE223" s="54"/>
      <c r="DF223" s="8"/>
      <c r="DG223" s="8"/>
      <c r="DH223" s="8"/>
      <c r="DI223" s="54"/>
      <c r="DJ223" s="54"/>
      <c r="DK223" s="54"/>
      <c r="DL223" s="54"/>
      <c r="DM223" s="54"/>
      <c r="DN223" s="54"/>
      <c r="DO223" s="54"/>
      <c r="DP223" s="8"/>
      <c r="DQ223" s="8"/>
      <c r="DR223" s="8"/>
      <c r="DS223" s="54"/>
      <c r="DT223" s="54"/>
      <c r="DU223" s="54"/>
      <c r="DV223" s="54"/>
      <c r="DW223" s="54"/>
      <c r="DX223" s="54"/>
      <c r="DY223" s="54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404"/>
      <c r="EM223" s="54"/>
      <c r="EN223" s="54"/>
      <c r="EO223" s="54"/>
      <c r="EP223" s="54"/>
      <c r="EQ223" s="54"/>
      <c r="ER223" s="54"/>
      <c r="ES223" s="54"/>
      <c r="ET223" s="54"/>
      <c r="EU223" s="54"/>
      <c r="EV223" s="54"/>
      <c r="EW223" s="54"/>
      <c r="EX223" s="54"/>
      <c r="EY223" s="54"/>
    </row>
    <row r="224" spans="1:155" ht="14.1" customHeight="1">
      <c r="BI224" s="210">
        <f t="shared" ref="BI224" si="740">M224+N224+O224</f>
        <v>0</v>
      </c>
      <c r="BJ224" s="210">
        <f t="shared" ref="BJ224" si="741">BH224+BI224</f>
        <v>0</v>
      </c>
      <c r="BK224" s="210">
        <f t="shared" ref="BK224" si="742">Y224+Z224+AA224+AB224+AC224+AD224+AE224</f>
        <v>0</v>
      </c>
      <c r="BL224" s="210">
        <f t="shared" ref="BL224" si="743">AM224+AN224+AO224+AP224+AQ224+AR224+AS224</f>
        <v>0</v>
      </c>
      <c r="BM224" s="210">
        <f t="shared" ref="BM224" si="744">BJ224*3*1000</f>
        <v>0</v>
      </c>
      <c r="BN224" s="213">
        <f t="shared" ref="BN224" si="745">BA224+BB224+BC224+BD224+BE224+BF224+BG224</f>
        <v>0</v>
      </c>
      <c r="BO224" s="195"/>
      <c r="BP224" s="195"/>
      <c r="BQ224" s="195"/>
      <c r="BR224" s="195"/>
      <c r="BS224" s="195"/>
      <c r="BT224" s="195"/>
      <c r="BU224" s="192"/>
      <c r="BV224" s="192"/>
      <c r="BW224" s="192"/>
      <c r="BX224" s="192"/>
      <c r="BY224" s="192"/>
      <c r="BZ224" s="192"/>
      <c r="CA224" s="192"/>
      <c r="CB224" s="192"/>
      <c r="CC224" s="192"/>
      <c r="CD224" s="192"/>
      <c r="CE224" s="192"/>
      <c r="CF224" s="192"/>
      <c r="CG224" s="192"/>
      <c r="CH224" s="192"/>
      <c r="CI224" s="192"/>
      <c r="CJ224" s="192"/>
      <c r="CK224" s="192"/>
      <c r="CL224" s="192"/>
      <c r="CM224" s="204"/>
      <c r="CN224" s="207"/>
      <c r="CO224" s="54"/>
      <c r="CP224" s="54"/>
      <c r="CQ224" s="54"/>
      <c r="CR224" s="54"/>
      <c r="CS224" s="54"/>
      <c r="CT224" s="54"/>
      <c r="CU224" s="54"/>
      <c r="CV224" s="8"/>
      <c r="CW224" s="8"/>
      <c r="CX224" s="8"/>
      <c r="CY224" s="54"/>
      <c r="CZ224" s="54"/>
      <c r="DA224" s="54"/>
      <c r="DB224" s="54"/>
      <c r="DC224" s="54"/>
      <c r="DD224" s="54"/>
      <c r="DE224" s="54"/>
      <c r="DF224" s="8"/>
      <c r="DG224" s="8"/>
      <c r="DH224" s="8"/>
      <c r="DI224" s="54"/>
      <c r="DJ224" s="54"/>
      <c r="DK224" s="54"/>
      <c r="DL224" s="54"/>
      <c r="DM224" s="54"/>
      <c r="DN224" s="54"/>
      <c r="DO224" s="54"/>
      <c r="DP224" s="8"/>
      <c r="DQ224" s="8"/>
      <c r="DR224" s="8"/>
      <c r="DS224" s="54"/>
      <c r="DT224" s="54"/>
      <c r="DU224" s="54"/>
      <c r="DV224" s="54"/>
      <c r="DW224" s="54"/>
      <c r="DX224" s="54"/>
      <c r="DY224" s="54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404"/>
      <c r="EM224" s="54"/>
      <c r="EN224" s="54"/>
      <c r="EO224" s="54"/>
      <c r="EP224" s="54"/>
      <c r="EQ224" s="54"/>
      <c r="ER224" s="54"/>
      <c r="ES224" s="54"/>
      <c r="ET224" s="54"/>
      <c r="EU224" s="54"/>
      <c r="EV224" s="54"/>
      <c r="EW224" s="54"/>
      <c r="EX224" s="54"/>
      <c r="EY224" s="54"/>
    </row>
    <row r="225" spans="61:155" ht="14.1" customHeight="1">
      <c r="BI225" s="211"/>
      <c r="BJ225" s="211"/>
      <c r="BK225" s="211"/>
      <c r="BL225" s="211"/>
      <c r="BM225" s="211"/>
      <c r="BN225" s="214"/>
      <c r="BO225" s="196"/>
      <c r="BP225" s="196"/>
      <c r="BQ225" s="196"/>
      <c r="BR225" s="196"/>
      <c r="BS225" s="196"/>
      <c r="BT225" s="196"/>
      <c r="BU225" s="193"/>
      <c r="BV225" s="193"/>
      <c r="BW225" s="193"/>
      <c r="BX225" s="193"/>
      <c r="BY225" s="193"/>
      <c r="BZ225" s="193"/>
      <c r="CA225" s="193"/>
      <c r="CB225" s="193"/>
      <c r="CC225" s="193"/>
      <c r="CD225" s="193"/>
      <c r="CE225" s="193"/>
      <c r="CF225" s="193"/>
      <c r="CG225" s="193"/>
      <c r="CH225" s="193"/>
      <c r="CI225" s="193"/>
      <c r="CJ225" s="193"/>
      <c r="CK225" s="193"/>
      <c r="CL225" s="193"/>
      <c r="CM225" s="205"/>
      <c r="CN225" s="208"/>
      <c r="CO225" s="54"/>
      <c r="CP225" s="54"/>
      <c r="CQ225" s="54"/>
      <c r="CR225" s="54"/>
      <c r="CS225" s="54"/>
      <c r="CT225" s="54"/>
      <c r="CU225" s="54"/>
      <c r="CV225" s="8"/>
      <c r="CW225" s="8"/>
      <c r="CX225" s="8"/>
      <c r="CY225" s="54"/>
      <c r="CZ225" s="54"/>
      <c r="DA225" s="54"/>
      <c r="DB225" s="54"/>
      <c r="DC225" s="54"/>
      <c r="DD225" s="54"/>
      <c r="DE225" s="54"/>
      <c r="DF225" s="8"/>
      <c r="DG225" s="8"/>
      <c r="DH225" s="8"/>
      <c r="DI225" s="54"/>
      <c r="DJ225" s="54"/>
      <c r="DK225" s="54"/>
      <c r="DL225" s="54"/>
      <c r="DM225" s="54"/>
      <c r="DN225" s="54"/>
      <c r="DO225" s="54"/>
      <c r="DP225" s="8"/>
      <c r="DQ225" s="8"/>
      <c r="DR225" s="8"/>
      <c r="DS225" s="54"/>
      <c r="DT225" s="54"/>
      <c r="DU225" s="54"/>
      <c r="DV225" s="54"/>
      <c r="DW225" s="54"/>
      <c r="DX225" s="54"/>
      <c r="DY225" s="54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404"/>
      <c r="EM225" s="54"/>
      <c r="EN225" s="54"/>
      <c r="EO225" s="54"/>
      <c r="EP225" s="54"/>
      <c r="EQ225" s="54"/>
      <c r="ER225" s="54"/>
      <c r="ES225" s="54"/>
      <c r="ET225" s="54"/>
      <c r="EU225" s="54"/>
      <c r="EV225" s="54"/>
      <c r="EW225" s="54"/>
      <c r="EX225" s="54"/>
      <c r="EY225" s="54"/>
    </row>
    <row r="226" spans="61:155" ht="14.1" customHeight="1">
      <c r="BI226" s="211"/>
      <c r="BJ226" s="211"/>
      <c r="BK226" s="211"/>
      <c r="BL226" s="211"/>
      <c r="BM226" s="211"/>
      <c r="BN226" s="214"/>
      <c r="BO226" s="196"/>
      <c r="BP226" s="196"/>
      <c r="BQ226" s="196"/>
      <c r="BR226" s="196"/>
      <c r="BS226" s="196"/>
      <c r="BT226" s="196"/>
      <c r="BU226" s="193"/>
      <c r="BV226" s="193"/>
      <c r="BW226" s="193"/>
      <c r="BX226" s="193"/>
      <c r="BY226" s="193"/>
      <c r="BZ226" s="193"/>
      <c r="CA226" s="193"/>
      <c r="CB226" s="193"/>
      <c r="CC226" s="193"/>
      <c r="CD226" s="193"/>
      <c r="CE226" s="193"/>
      <c r="CF226" s="193"/>
      <c r="CG226" s="193"/>
      <c r="CH226" s="193"/>
      <c r="CI226" s="193"/>
      <c r="CJ226" s="193"/>
      <c r="CK226" s="193"/>
      <c r="CL226" s="193"/>
      <c r="CM226" s="205"/>
      <c r="CN226" s="208"/>
      <c r="CO226" s="54"/>
      <c r="CP226" s="54"/>
      <c r="CQ226" s="54"/>
      <c r="CR226" s="54"/>
      <c r="CS226" s="54"/>
      <c r="CT226" s="54"/>
      <c r="CU226" s="54"/>
      <c r="CV226" s="8"/>
      <c r="CW226" s="8"/>
      <c r="CX226" s="8"/>
      <c r="CY226" s="54"/>
      <c r="CZ226" s="54"/>
      <c r="DA226" s="54"/>
      <c r="DB226" s="54"/>
      <c r="DC226" s="54"/>
      <c r="DD226" s="54"/>
      <c r="DE226" s="54"/>
      <c r="DF226" s="8"/>
      <c r="DG226" s="8"/>
      <c r="DH226" s="8"/>
      <c r="DI226" s="54"/>
      <c r="DJ226" s="54"/>
      <c r="DK226" s="54"/>
      <c r="DL226" s="54"/>
      <c r="DM226" s="54"/>
      <c r="DN226" s="54"/>
      <c r="DO226" s="54"/>
      <c r="DP226" s="8"/>
      <c r="DQ226" s="8"/>
      <c r="DR226" s="8"/>
      <c r="DS226" s="54"/>
      <c r="DT226" s="54"/>
      <c r="DU226" s="54"/>
      <c r="DV226" s="54"/>
      <c r="DW226" s="54"/>
      <c r="DX226" s="54"/>
      <c r="DY226" s="54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404"/>
      <c r="EM226" s="54"/>
      <c r="EN226" s="54"/>
      <c r="EO226" s="54"/>
      <c r="EP226" s="54"/>
      <c r="EQ226" s="54"/>
      <c r="ER226" s="54"/>
      <c r="ES226" s="54"/>
      <c r="ET226" s="54"/>
      <c r="EU226" s="54"/>
      <c r="EV226" s="54"/>
      <c r="EW226" s="54"/>
      <c r="EX226" s="54"/>
      <c r="EY226" s="54"/>
    </row>
    <row r="227" spans="61:155" ht="14.1" customHeight="1">
      <c r="BI227" s="212"/>
      <c r="BJ227" s="212"/>
      <c r="BK227" s="212"/>
      <c r="BL227" s="212"/>
      <c r="BM227" s="212"/>
      <c r="BN227" s="215"/>
      <c r="BO227" s="197"/>
      <c r="BP227" s="197"/>
      <c r="BQ227" s="197"/>
      <c r="BR227" s="197"/>
      <c r="BS227" s="197"/>
      <c r="BT227" s="197"/>
      <c r="BU227" s="194"/>
      <c r="BV227" s="194"/>
      <c r="BW227" s="194"/>
      <c r="BX227" s="194"/>
      <c r="BY227" s="194"/>
      <c r="BZ227" s="194"/>
      <c r="CA227" s="194"/>
      <c r="CB227" s="194"/>
      <c r="CC227" s="194"/>
      <c r="CD227" s="194"/>
      <c r="CE227" s="194"/>
      <c r="CF227" s="194"/>
      <c r="CG227" s="194"/>
      <c r="CH227" s="194"/>
      <c r="CI227" s="194"/>
      <c r="CJ227" s="194"/>
      <c r="CK227" s="194"/>
      <c r="CL227" s="194"/>
      <c r="CM227" s="206"/>
      <c r="CN227" s="209"/>
      <c r="CO227" s="54"/>
      <c r="CP227" s="54"/>
      <c r="CQ227" s="54"/>
      <c r="CR227" s="54"/>
      <c r="CS227" s="54"/>
      <c r="CT227" s="54"/>
      <c r="CU227" s="54"/>
      <c r="CV227" s="8"/>
      <c r="CW227" s="8"/>
      <c r="CX227" s="8"/>
      <c r="CY227" s="54"/>
      <c r="CZ227" s="54"/>
      <c r="DA227" s="54"/>
      <c r="DB227" s="54"/>
      <c r="DC227" s="54"/>
      <c r="DD227" s="54"/>
      <c r="DE227" s="54"/>
      <c r="DF227" s="8"/>
      <c r="DG227" s="8"/>
      <c r="DH227" s="8"/>
      <c r="DI227" s="54"/>
      <c r="DJ227" s="54"/>
      <c r="DK227" s="54"/>
      <c r="DL227" s="54"/>
      <c r="DM227" s="54"/>
      <c r="DN227" s="54"/>
      <c r="DO227" s="54"/>
      <c r="DP227" s="8"/>
      <c r="DQ227" s="8"/>
      <c r="DR227" s="8"/>
      <c r="DS227" s="54"/>
      <c r="DT227" s="54"/>
      <c r="DU227" s="54"/>
      <c r="DV227" s="54"/>
      <c r="DW227" s="54"/>
      <c r="DX227" s="54"/>
      <c r="DY227" s="54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404"/>
      <c r="EM227" s="54"/>
      <c r="EN227" s="54"/>
      <c r="EO227" s="54"/>
      <c r="EP227" s="54"/>
      <c r="EQ227" s="54"/>
      <c r="ER227" s="54"/>
      <c r="ES227" s="54"/>
      <c r="ET227" s="54"/>
      <c r="EU227" s="54"/>
      <c r="EV227" s="54"/>
      <c r="EW227" s="54"/>
      <c r="EX227" s="54"/>
      <c r="EY227" s="54"/>
    </row>
    <row r="228" spans="61:155" ht="14.1" customHeight="1">
      <c r="BI228" s="210">
        <f t="shared" ref="BI228" si="746">M228+N228+O228</f>
        <v>0</v>
      </c>
      <c r="BJ228" s="210">
        <f t="shared" ref="BJ228" si="747">BH228+BI228</f>
        <v>0</v>
      </c>
      <c r="BK228" s="210">
        <f t="shared" ref="BK228" si="748">Y228+Z228+AA228+AB228+AC228+AD228+AE228</f>
        <v>0</v>
      </c>
      <c r="BL228" s="210">
        <f t="shared" ref="BL228" si="749">AM228+AN228+AO228+AP228+AQ228+AR228+AS228</f>
        <v>0</v>
      </c>
      <c r="BM228" s="210">
        <f t="shared" ref="BM228" si="750">BJ228*3*1000</f>
        <v>0</v>
      </c>
      <c r="BN228" s="213">
        <f t="shared" ref="BN228" si="751">BA228+BB228+BC228+BD228+BE228+BF228+BG228</f>
        <v>0</v>
      </c>
      <c r="BO228" s="195"/>
      <c r="BP228" s="195"/>
      <c r="BQ228" s="195"/>
      <c r="BR228" s="195"/>
      <c r="BS228" s="195"/>
      <c r="BT228" s="195"/>
      <c r="BU228" s="192"/>
      <c r="BV228" s="192"/>
      <c r="BW228" s="192"/>
      <c r="BX228" s="192"/>
      <c r="BY228" s="192"/>
      <c r="BZ228" s="192"/>
      <c r="CA228" s="192"/>
      <c r="CB228" s="192"/>
      <c r="CC228" s="192"/>
      <c r="CD228" s="192"/>
      <c r="CE228" s="192"/>
      <c r="CF228" s="192"/>
      <c r="CG228" s="192"/>
      <c r="CH228" s="192"/>
      <c r="CI228" s="192"/>
      <c r="CJ228" s="192"/>
      <c r="CK228" s="192"/>
      <c r="CL228" s="192"/>
      <c r="CM228" s="204"/>
      <c r="CN228" s="207"/>
      <c r="CO228" s="54"/>
      <c r="CP228" s="54"/>
      <c r="CQ228" s="54"/>
      <c r="CR228" s="54"/>
      <c r="CS228" s="54"/>
      <c r="CT228" s="54"/>
      <c r="CU228" s="54"/>
      <c r="CV228" s="8"/>
      <c r="CW228" s="8"/>
      <c r="CX228" s="8"/>
      <c r="CY228" s="54"/>
      <c r="CZ228" s="54"/>
      <c r="DA228" s="54"/>
      <c r="DB228" s="54"/>
      <c r="DC228" s="54"/>
      <c r="DD228" s="54"/>
      <c r="DE228" s="54"/>
      <c r="DF228" s="8"/>
      <c r="DG228" s="8"/>
      <c r="DH228" s="8"/>
      <c r="DI228" s="54"/>
      <c r="DJ228" s="54"/>
      <c r="DK228" s="54"/>
      <c r="DL228" s="54"/>
      <c r="DM228" s="54"/>
      <c r="DN228" s="54"/>
      <c r="DO228" s="54"/>
      <c r="DP228" s="8"/>
      <c r="DQ228" s="8"/>
      <c r="DR228" s="8"/>
      <c r="DS228" s="54"/>
      <c r="DT228" s="54"/>
      <c r="DU228" s="54"/>
      <c r="DV228" s="54"/>
      <c r="DW228" s="54"/>
      <c r="DX228" s="54"/>
      <c r="DY228" s="54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404"/>
      <c r="EM228" s="54"/>
      <c r="EN228" s="54"/>
      <c r="EO228" s="54"/>
      <c r="EP228" s="54"/>
      <c r="EQ228" s="54"/>
      <c r="ER228" s="54"/>
      <c r="ES228" s="54"/>
      <c r="ET228" s="54"/>
      <c r="EU228" s="54"/>
      <c r="EV228" s="54"/>
      <c r="EW228" s="54"/>
      <c r="EX228" s="54"/>
      <c r="EY228" s="54"/>
    </row>
    <row r="229" spans="61:155" ht="14.1" customHeight="1">
      <c r="BI229" s="211"/>
      <c r="BJ229" s="211"/>
      <c r="BK229" s="211"/>
      <c r="BL229" s="211"/>
      <c r="BM229" s="211"/>
      <c r="BN229" s="214"/>
      <c r="BO229" s="196"/>
      <c r="BP229" s="196"/>
      <c r="BQ229" s="196"/>
      <c r="BR229" s="196"/>
      <c r="BS229" s="196"/>
      <c r="BT229" s="196"/>
      <c r="BU229" s="193"/>
      <c r="BV229" s="193"/>
      <c r="BW229" s="193"/>
      <c r="BX229" s="193"/>
      <c r="BY229" s="193"/>
      <c r="BZ229" s="193"/>
      <c r="CA229" s="193"/>
      <c r="CB229" s="193"/>
      <c r="CC229" s="193"/>
      <c r="CD229" s="193"/>
      <c r="CE229" s="193"/>
      <c r="CF229" s="193"/>
      <c r="CG229" s="193"/>
      <c r="CH229" s="193"/>
      <c r="CI229" s="193"/>
      <c r="CJ229" s="193"/>
      <c r="CK229" s="193"/>
      <c r="CL229" s="193"/>
      <c r="CM229" s="205"/>
      <c r="CN229" s="208"/>
      <c r="CO229" s="54"/>
      <c r="CP229" s="54"/>
      <c r="CQ229" s="54"/>
      <c r="CR229" s="54"/>
      <c r="CS229" s="54"/>
      <c r="CT229" s="54"/>
      <c r="CU229" s="54"/>
      <c r="CV229" s="8"/>
      <c r="CW229" s="8"/>
      <c r="CX229" s="8"/>
      <c r="CY229" s="54"/>
      <c r="CZ229" s="54"/>
      <c r="DA229" s="54"/>
      <c r="DB229" s="54"/>
      <c r="DC229" s="54"/>
      <c r="DD229" s="54"/>
      <c r="DE229" s="54"/>
      <c r="DF229" s="8"/>
      <c r="DG229" s="8"/>
      <c r="DH229" s="8"/>
      <c r="DI229" s="54"/>
      <c r="DJ229" s="54"/>
      <c r="DK229" s="54"/>
      <c r="DL229" s="54"/>
      <c r="DM229" s="54"/>
      <c r="DN229" s="54"/>
      <c r="DO229" s="54"/>
      <c r="DP229" s="8"/>
      <c r="DQ229" s="8"/>
      <c r="DR229" s="8"/>
      <c r="DS229" s="54"/>
      <c r="DT229" s="54"/>
      <c r="DU229" s="54"/>
      <c r="DV229" s="54"/>
      <c r="DW229" s="54"/>
      <c r="DX229" s="54"/>
      <c r="DY229" s="54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404"/>
      <c r="EM229" s="54"/>
      <c r="EN229" s="54"/>
      <c r="EO229" s="54"/>
      <c r="EP229" s="54"/>
      <c r="EQ229" s="54"/>
      <c r="ER229" s="54"/>
      <c r="ES229" s="54"/>
      <c r="ET229" s="54"/>
      <c r="EU229" s="54"/>
      <c r="EV229" s="54"/>
      <c r="EW229" s="54"/>
      <c r="EX229" s="54"/>
      <c r="EY229" s="54"/>
    </row>
    <row r="230" spans="61:155" ht="14.1" customHeight="1">
      <c r="BI230" s="211"/>
      <c r="BJ230" s="211"/>
      <c r="BK230" s="211"/>
      <c r="BL230" s="211"/>
      <c r="BM230" s="211"/>
      <c r="BN230" s="214"/>
      <c r="BO230" s="196"/>
      <c r="BP230" s="196"/>
      <c r="BQ230" s="196"/>
      <c r="BR230" s="196"/>
      <c r="BS230" s="196"/>
      <c r="BT230" s="196"/>
      <c r="BU230" s="193"/>
      <c r="BV230" s="193"/>
      <c r="BW230" s="193"/>
      <c r="BX230" s="193"/>
      <c r="BY230" s="193"/>
      <c r="BZ230" s="193"/>
      <c r="CA230" s="193"/>
      <c r="CB230" s="193"/>
      <c r="CC230" s="193"/>
      <c r="CD230" s="193"/>
      <c r="CE230" s="193"/>
      <c r="CF230" s="193"/>
      <c r="CG230" s="193"/>
      <c r="CH230" s="193"/>
      <c r="CI230" s="193"/>
      <c r="CJ230" s="193"/>
      <c r="CK230" s="193"/>
      <c r="CL230" s="193"/>
      <c r="CM230" s="205"/>
      <c r="CN230" s="208"/>
      <c r="CO230" s="54"/>
      <c r="CP230" s="54"/>
      <c r="CQ230" s="54"/>
      <c r="CR230" s="54"/>
      <c r="CS230" s="54"/>
      <c r="CT230" s="54"/>
      <c r="CU230" s="54"/>
      <c r="CV230" s="8"/>
      <c r="CW230" s="8"/>
      <c r="CX230" s="8"/>
      <c r="CY230" s="54"/>
      <c r="CZ230" s="54"/>
      <c r="DA230" s="54"/>
      <c r="DB230" s="54"/>
      <c r="DC230" s="54"/>
      <c r="DD230" s="54"/>
      <c r="DE230" s="54"/>
      <c r="DF230" s="8"/>
      <c r="DG230" s="8"/>
      <c r="DH230" s="8"/>
      <c r="DI230" s="54"/>
      <c r="DJ230" s="54"/>
      <c r="DK230" s="54"/>
      <c r="DL230" s="54"/>
      <c r="DM230" s="54"/>
      <c r="DN230" s="54"/>
      <c r="DO230" s="54"/>
      <c r="DP230" s="8"/>
      <c r="DQ230" s="8"/>
      <c r="DR230" s="8"/>
      <c r="DS230" s="54"/>
      <c r="DT230" s="54"/>
      <c r="DU230" s="54"/>
      <c r="DV230" s="54"/>
      <c r="DW230" s="54"/>
      <c r="DX230" s="54"/>
      <c r="DY230" s="54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404"/>
      <c r="EM230" s="54"/>
      <c r="EN230" s="54"/>
      <c r="EO230" s="54"/>
      <c r="EP230" s="54"/>
      <c r="EQ230" s="54"/>
      <c r="ER230" s="54"/>
      <c r="ES230" s="54"/>
      <c r="ET230" s="54"/>
      <c r="EU230" s="54"/>
      <c r="EV230" s="54"/>
      <c r="EW230" s="54"/>
      <c r="EX230" s="54"/>
      <c r="EY230" s="54"/>
    </row>
    <row r="231" spans="61:155" ht="14.1" customHeight="1">
      <c r="BI231" s="212"/>
      <c r="BJ231" s="212"/>
      <c r="BK231" s="212"/>
      <c r="BL231" s="212"/>
      <c r="BM231" s="212"/>
      <c r="BN231" s="215"/>
      <c r="BO231" s="197"/>
      <c r="BP231" s="197"/>
      <c r="BQ231" s="197"/>
      <c r="BR231" s="197"/>
      <c r="BS231" s="197"/>
      <c r="BT231" s="197"/>
      <c r="BU231" s="194"/>
      <c r="BV231" s="194"/>
      <c r="BW231" s="194"/>
      <c r="BX231" s="194"/>
      <c r="BY231" s="194"/>
      <c r="BZ231" s="194"/>
      <c r="CA231" s="194"/>
      <c r="CB231" s="194"/>
      <c r="CC231" s="194"/>
      <c r="CD231" s="194"/>
      <c r="CE231" s="194"/>
      <c r="CF231" s="194"/>
      <c r="CG231" s="194"/>
      <c r="CH231" s="194"/>
      <c r="CI231" s="194"/>
      <c r="CJ231" s="194"/>
      <c r="CK231" s="194"/>
      <c r="CL231" s="194"/>
      <c r="CM231" s="206"/>
      <c r="CN231" s="209"/>
      <c r="CO231" s="54"/>
      <c r="CP231" s="54"/>
      <c r="CQ231" s="54"/>
      <c r="CR231" s="54"/>
      <c r="CS231" s="54"/>
      <c r="CT231" s="54"/>
      <c r="CU231" s="54"/>
      <c r="CV231" s="8"/>
      <c r="CW231" s="8"/>
      <c r="CX231" s="8"/>
      <c r="CY231" s="54"/>
      <c r="CZ231" s="54"/>
      <c r="DA231" s="54"/>
      <c r="DB231" s="54"/>
      <c r="DC231" s="54"/>
      <c r="DD231" s="54"/>
      <c r="DE231" s="54"/>
      <c r="DF231" s="8"/>
      <c r="DG231" s="8"/>
      <c r="DH231" s="8"/>
      <c r="DI231" s="54"/>
      <c r="DJ231" s="54"/>
      <c r="DK231" s="54"/>
      <c r="DL231" s="54"/>
      <c r="DM231" s="54"/>
      <c r="DN231" s="54"/>
      <c r="DO231" s="54"/>
      <c r="DP231" s="8"/>
      <c r="DQ231" s="8"/>
      <c r="DR231" s="8"/>
      <c r="DS231" s="54"/>
      <c r="DT231" s="54"/>
      <c r="DU231" s="54"/>
      <c r="DV231" s="54"/>
      <c r="DW231" s="54"/>
      <c r="DX231" s="54"/>
      <c r="DY231" s="54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404"/>
      <c r="EM231" s="54"/>
      <c r="EN231" s="54"/>
      <c r="EO231" s="54"/>
      <c r="EP231" s="54"/>
      <c r="EQ231" s="54"/>
      <c r="ER231" s="54"/>
      <c r="ES231" s="54"/>
      <c r="ET231" s="54"/>
      <c r="EU231" s="54"/>
      <c r="EV231" s="54"/>
      <c r="EW231" s="54"/>
      <c r="EX231" s="54"/>
      <c r="EY231" s="54"/>
    </row>
    <row r="232" spans="61:155" ht="14.1" customHeight="1">
      <c r="CO232" s="54"/>
      <c r="CP232" s="54"/>
      <c r="CQ232" s="54"/>
      <c r="CR232" s="54"/>
      <c r="CS232" s="54"/>
      <c r="CT232" s="54"/>
      <c r="CU232" s="54"/>
      <c r="CV232" s="8"/>
      <c r="CW232" s="8"/>
      <c r="CX232" s="8"/>
      <c r="CY232" s="54"/>
      <c r="CZ232" s="54"/>
      <c r="DA232" s="54"/>
      <c r="DB232" s="54"/>
      <c r="DC232" s="54"/>
      <c r="DD232" s="54"/>
      <c r="DE232" s="54"/>
      <c r="DF232" s="8"/>
      <c r="DG232" s="8"/>
      <c r="DH232" s="8"/>
      <c r="DI232" s="54"/>
      <c r="DJ232" s="54"/>
      <c r="DK232" s="54"/>
      <c r="DL232" s="54"/>
      <c r="DM232" s="54"/>
      <c r="DN232" s="54"/>
      <c r="DO232" s="54"/>
      <c r="DP232" s="8"/>
      <c r="DQ232" s="8"/>
      <c r="DR232" s="8"/>
      <c r="DS232" s="54"/>
      <c r="DT232" s="54"/>
      <c r="DU232" s="54"/>
      <c r="DV232" s="54"/>
      <c r="DW232" s="54"/>
      <c r="DX232" s="54"/>
      <c r="DY232" s="54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404"/>
      <c r="EM232" s="54"/>
      <c r="EN232" s="54"/>
      <c r="EO232" s="54"/>
      <c r="EP232" s="54"/>
      <c r="EQ232" s="54"/>
      <c r="ER232" s="54"/>
      <c r="ES232" s="54"/>
      <c r="ET232" s="54"/>
      <c r="EU232" s="54"/>
      <c r="EV232" s="54"/>
      <c r="EW232" s="54"/>
      <c r="EX232" s="54"/>
      <c r="EY232" s="54"/>
    </row>
    <row r="233" spans="61:155" ht="14.1" customHeight="1">
      <c r="CO233" s="54"/>
      <c r="CP233" s="54"/>
      <c r="CQ233" s="54"/>
      <c r="CR233" s="54"/>
      <c r="CS233" s="54"/>
      <c r="CT233" s="54"/>
      <c r="CU233" s="54"/>
      <c r="CV233" s="8"/>
      <c r="CW233" s="8"/>
      <c r="CX233" s="8"/>
      <c r="CY233" s="54"/>
      <c r="CZ233" s="54"/>
      <c r="DA233" s="54"/>
      <c r="DB233" s="54"/>
      <c r="DC233" s="54"/>
      <c r="DD233" s="54"/>
      <c r="DE233" s="54"/>
      <c r="DF233" s="8"/>
      <c r="DG233" s="8"/>
      <c r="DH233" s="8"/>
      <c r="DI233" s="54"/>
      <c r="DJ233" s="54"/>
      <c r="DK233" s="54"/>
      <c r="DL233" s="54"/>
      <c r="DM233" s="54"/>
      <c r="DN233" s="54"/>
      <c r="DO233" s="54"/>
      <c r="DP233" s="8"/>
      <c r="DQ233" s="8"/>
      <c r="DR233" s="8"/>
      <c r="DS233" s="54"/>
      <c r="DT233" s="54"/>
      <c r="DU233" s="54"/>
      <c r="DV233" s="54"/>
      <c r="DW233" s="54"/>
      <c r="DX233" s="54"/>
      <c r="DY233" s="54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404"/>
      <c r="EM233" s="54"/>
      <c r="EN233" s="54"/>
      <c r="EO233" s="54"/>
      <c r="EP233" s="54"/>
      <c r="EQ233" s="54"/>
      <c r="ER233" s="54"/>
      <c r="ES233" s="54"/>
      <c r="ET233" s="54"/>
      <c r="EU233" s="54"/>
      <c r="EV233" s="54"/>
      <c r="EW233" s="54"/>
      <c r="EX233" s="54"/>
      <c r="EY233" s="54"/>
    </row>
    <row r="234" spans="61:155" ht="14.1" customHeight="1">
      <c r="CO234" s="54"/>
      <c r="CP234" s="54"/>
      <c r="CQ234" s="54"/>
      <c r="CR234" s="54"/>
      <c r="CS234" s="54"/>
      <c r="CT234" s="54"/>
      <c r="CU234" s="54"/>
      <c r="CV234" s="8"/>
      <c r="CW234" s="8"/>
      <c r="CX234" s="8"/>
      <c r="CY234" s="54"/>
      <c r="CZ234" s="54"/>
      <c r="DA234" s="54"/>
      <c r="DB234" s="54"/>
      <c r="DC234" s="54"/>
      <c r="DD234" s="54"/>
      <c r="DE234" s="54"/>
      <c r="DF234" s="8"/>
      <c r="DG234" s="8"/>
      <c r="DH234" s="8"/>
      <c r="DI234" s="54"/>
      <c r="DJ234" s="54"/>
      <c r="DK234" s="54"/>
      <c r="DL234" s="54"/>
      <c r="DM234" s="54"/>
      <c r="DN234" s="54"/>
      <c r="DO234" s="54"/>
      <c r="DP234" s="8"/>
      <c r="DQ234" s="8"/>
      <c r="DR234" s="8"/>
      <c r="DS234" s="54"/>
      <c r="DT234" s="54"/>
      <c r="DU234" s="54"/>
      <c r="DV234" s="54"/>
      <c r="DW234" s="54"/>
      <c r="DX234" s="54"/>
      <c r="DY234" s="54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404"/>
      <c r="EM234" s="54"/>
      <c r="EN234" s="54"/>
      <c r="EO234" s="54"/>
      <c r="EP234" s="54"/>
      <c r="EQ234" s="54"/>
      <c r="ER234" s="54"/>
      <c r="ES234" s="54"/>
      <c r="ET234" s="54"/>
      <c r="EU234" s="54"/>
      <c r="EV234" s="54"/>
      <c r="EW234" s="54"/>
      <c r="EX234" s="54"/>
      <c r="EY234" s="54"/>
    </row>
    <row r="235" spans="61:155" ht="14.1" customHeight="1">
      <c r="CO235" s="54"/>
      <c r="CP235" s="54"/>
      <c r="CQ235" s="54"/>
      <c r="CR235" s="54"/>
      <c r="CS235" s="54"/>
      <c r="CT235" s="54"/>
      <c r="CU235" s="54"/>
      <c r="CV235" s="8"/>
      <c r="CW235" s="8"/>
      <c r="CX235" s="8"/>
      <c r="CY235" s="54"/>
      <c r="CZ235" s="54"/>
      <c r="DA235" s="54"/>
      <c r="DB235" s="54"/>
      <c r="DC235" s="54"/>
      <c r="DD235" s="54"/>
      <c r="DE235" s="54"/>
      <c r="DF235" s="8"/>
      <c r="DG235" s="8"/>
      <c r="DH235" s="8"/>
      <c r="DI235" s="54"/>
      <c r="DJ235" s="54"/>
      <c r="DK235" s="54"/>
      <c r="DL235" s="54"/>
      <c r="DM235" s="54"/>
      <c r="DN235" s="54"/>
      <c r="DO235" s="54"/>
      <c r="DP235" s="8"/>
      <c r="DQ235" s="8"/>
      <c r="DR235" s="8"/>
      <c r="DS235" s="54"/>
      <c r="DT235" s="54"/>
      <c r="DU235" s="54"/>
      <c r="DV235" s="54"/>
      <c r="DW235" s="54"/>
      <c r="DX235" s="54"/>
      <c r="DY235" s="54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404"/>
      <c r="EM235" s="54"/>
      <c r="EN235" s="54"/>
      <c r="EO235" s="54"/>
      <c r="EP235" s="54"/>
      <c r="EQ235" s="54"/>
      <c r="ER235" s="54"/>
      <c r="ES235" s="54"/>
      <c r="ET235" s="54"/>
      <c r="EU235" s="54"/>
      <c r="EV235" s="54"/>
      <c r="EW235" s="54"/>
      <c r="EX235" s="54"/>
      <c r="EY235" s="54"/>
    </row>
    <row r="236" spans="61:155" ht="14.1" customHeight="1">
      <c r="CO236" s="54"/>
      <c r="CP236" s="54"/>
      <c r="CQ236" s="54"/>
      <c r="CR236" s="54"/>
      <c r="CS236" s="54"/>
      <c r="CT236" s="54"/>
      <c r="CU236" s="54"/>
      <c r="CV236" s="8"/>
      <c r="CW236" s="8"/>
      <c r="CX236" s="8"/>
      <c r="CY236" s="54"/>
      <c r="CZ236" s="54"/>
      <c r="DA236" s="54"/>
      <c r="DB236" s="54"/>
      <c r="DC236" s="54"/>
      <c r="DD236" s="54"/>
      <c r="DE236" s="54"/>
      <c r="DF236" s="8"/>
      <c r="DG236" s="8"/>
      <c r="DH236" s="8"/>
      <c r="DI236" s="54"/>
      <c r="DJ236" s="54"/>
      <c r="DK236" s="54"/>
      <c r="DL236" s="54"/>
      <c r="DM236" s="54"/>
      <c r="DN236" s="54"/>
      <c r="DO236" s="54"/>
      <c r="DP236" s="8"/>
      <c r="DQ236" s="8"/>
      <c r="DR236" s="8"/>
      <c r="DS236" s="54"/>
      <c r="DT236" s="54"/>
      <c r="DU236" s="54"/>
      <c r="DV236" s="54"/>
      <c r="DW236" s="54"/>
      <c r="DX236" s="54"/>
      <c r="DY236" s="54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404"/>
      <c r="EM236" s="54"/>
      <c r="EN236" s="54"/>
      <c r="EO236" s="54"/>
      <c r="EP236" s="54"/>
      <c r="EQ236" s="54"/>
      <c r="ER236" s="54"/>
      <c r="ES236" s="54"/>
      <c r="ET236" s="54"/>
      <c r="EU236" s="54"/>
      <c r="EV236" s="54"/>
      <c r="EW236" s="54"/>
      <c r="EX236" s="54"/>
      <c r="EY236" s="54"/>
    </row>
    <row r="237" spans="61:155" ht="14.1" customHeight="1">
      <c r="CO237" s="54"/>
      <c r="CP237" s="54"/>
      <c r="CQ237" s="54"/>
      <c r="CR237" s="54"/>
      <c r="CS237" s="54"/>
      <c r="CT237" s="54"/>
      <c r="CU237" s="54"/>
      <c r="CV237" s="8"/>
      <c r="CW237" s="8"/>
      <c r="CX237" s="8"/>
      <c r="CY237" s="54"/>
      <c r="CZ237" s="54"/>
      <c r="DA237" s="54"/>
      <c r="DB237" s="54"/>
      <c r="DC237" s="54"/>
      <c r="DD237" s="54"/>
      <c r="DE237" s="54"/>
      <c r="DF237" s="8"/>
      <c r="DG237" s="8"/>
      <c r="DH237" s="8"/>
      <c r="DI237" s="54"/>
      <c r="DJ237" s="54"/>
      <c r="DK237" s="54"/>
      <c r="DL237" s="54"/>
      <c r="DM237" s="54"/>
      <c r="DN237" s="54"/>
      <c r="DO237" s="54"/>
      <c r="DP237" s="8"/>
      <c r="DQ237" s="8"/>
      <c r="DR237" s="8"/>
      <c r="DS237" s="54"/>
      <c r="DT237" s="54"/>
      <c r="DU237" s="54"/>
      <c r="DV237" s="54"/>
      <c r="DW237" s="54"/>
      <c r="DX237" s="54"/>
      <c r="DY237" s="54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404"/>
      <c r="EM237" s="54"/>
      <c r="EN237" s="54"/>
      <c r="EO237" s="54"/>
      <c r="EP237" s="54"/>
      <c r="EQ237" s="54"/>
      <c r="ER237" s="54"/>
      <c r="ES237" s="54"/>
      <c r="ET237" s="54"/>
      <c r="EU237" s="54"/>
      <c r="EV237" s="54"/>
      <c r="EW237" s="54"/>
      <c r="EX237" s="54"/>
      <c r="EY237" s="54"/>
    </row>
  </sheetData>
  <mergeCells count="4864">
    <mergeCell ref="EY92:EY95"/>
    <mergeCell ref="EY96:EY99"/>
    <mergeCell ref="EY100:EY103"/>
    <mergeCell ref="EY76:EY79"/>
    <mergeCell ref="EY80:EY83"/>
    <mergeCell ref="EY84:EY87"/>
    <mergeCell ref="EY88:EY91"/>
    <mergeCell ref="CI184:CI187"/>
    <mergeCell ref="CJ184:CJ187"/>
    <mergeCell ref="CK184:CK187"/>
    <mergeCell ref="CL184:CL187"/>
    <mergeCell ref="CM184:CM187"/>
    <mergeCell ref="CN184:CN187"/>
    <mergeCell ref="BO188:BO191"/>
    <mergeCell ref="BP188:BP191"/>
    <mergeCell ref="BQ188:BQ191"/>
    <mergeCell ref="BR188:BR191"/>
    <mergeCell ref="BS188:BS191"/>
    <mergeCell ref="BT188:BT191"/>
    <mergeCell ref="BU188:BU191"/>
    <mergeCell ref="BV188:BV191"/>
    <mergeCell ref="BW188:BW191"/>
    <mergeCell ref="BX188:BX191"/>
    <mergeCell ref="BY188:BY191"/>
    <mergeCell ref="BZ188:BZ191"/>
    <mergeCell ref="CA188:CA191"/>
    <mergeCell ref="CB188:CB191"/>
    <mergeCell ref="CC188:CC191"/>
    <mergeCell ref="CD188:CD191"/>
    <mergeCell ref="CE188:CE191"/>
    <mergeCell ref="CF188:CF191"/>
    <mergeCell ref="CG188:CG191"/>
    <mergeCell ref="CH188:CH191"/>
    <mergeCell ref="CI188:CI191"/>
    <mergeCell ref="CJ188:CJ191"/>
    <mergeCell ref="CK188:CK191"/>
    <mergeCell ref="CL188:CL191"/>
    <mergeCell ref="CM188:CM191"/>
    <mergeCell ref="CN188:CN191"/>
    <mergeCell ref="CC180:CC183"/>
    <mergeCell ref="CD180:CD183"/>
    <mergeCell ref="CE180:CE183"/>
    <mergeCell ref="CF180:CF183"/>
    <mergeCell ref="CG180:CG183"/>
    <mergeCell ref="CH180:CH183"/>
    <mergeCell ref="CI180:CI183"/>
    <mergeCell ref="CJ180:CJ183"/>
    <mergeCell ref="CK180:CK183"/>
    <mergeCell ref="CL180:CL183"/>
    <mergeCell ref="CM180:CM183"/>
    <mergeCell ref="CN180:CN183"/>
    <mergeCell ref="CF184:CF187"/>
    <mergeCell ref="CG184:CG187"/>
    <mergeCell ref="CH184:CH187"/>
    <mergeCell ref="BU184:BU187"/>
    <mergeCell ref="BV184:BV187"/>
    <mergeCell ref="BW184:BW187"/>
    <mergeCell ref="BX184:BX187"/>
    <mergeCell ref="BY184:BY187"/>
    <mergeCell ref="BZ184:BZ187"/>
    <mergeCell ref="CA184:CA187"/>
    <mergeCell ref="CB184:CB187"/>
    <mergeCell ref="CC184:CC187"/>
    <mergeCell ref="CD184:CD187"/>
    <mergeCell ref="BO180:BO183"/>
    <mergeCell ref="BP180:BP183"/>
    <mergeCell ref="BQ180:BQ183"/>
    <mergeCell ref="BR180:BR183"/>
    <mergeCell ref="BS180:BS183"/>
    <mergeCell ref="BT180:BT183"/>
    <mergeCell ref="BU180:BU183"/>
    <mergeCell ref="BV180:BV183"/>
    <mergeCell ref="BW180:BW183"/>
    <mergeCell ref="BX180:BX183"/>
    <mergeCell ref="BY180:BY183"/>
    <mergeCell ref="BZ180:BZ183"/>
    <mergeCell ref="CA180:CA183"/>
    <mergeCell ref="CB180:CB183"/>
    <mergeCell ref="BB208:BB211"/>
    <mergeCell ref="BC208:BC211"/>
    <mergeCell ref="BD208:BD211"/>
    <mergeCell ref="BE208:BE211"/>
    <mergeCell ref="BF208:BF211"/>
    <mergeCell ref="BG208:BG211"/>
    <mergeCell ref="BH208:BH211"/>
    <mergeCell ref="BI208:BI211"/>
    <mergeCell ref="BJ208:BJ211"/>
    <mergeCell ref="BK208:BK211"/>
    <mergeCell ref="CE184:CE187"/>
    <mergeCell ref="BL208:BL211"/>
    <mergeCell ref="BM208:BM211"/>
    <mergeCell ref="BN208:BN211"/>
    <mergeCell ref="CC192:CC195"/>
    <mergeCell ref="CD192:CD195"/>
    <mergeCell ref="CE192:CE195"/>
    <mergeCell ref="BF204:BF207"/>
    <mergeCell ref="BG204:BG207"/>
    <mergeCell ref="BH204:BH207"/>
    <mergeCell ref="BI204:BI207"/>
    <mergeCell ref="BH200:BH203"/>
    <mergeCell ref="BI200:BI203"/>
    <mergeCell ref="BJ200:BJ203"/>
    <mergeCell ref="BK200:BK203"/>
    <mergeCell ref="BL200:BL203"/>
    <mergeCell ref="BO184:BO187"/>
    <mergeCell ref="BP184:BP187"/>
    <mergeCell ref="BQ184:BQ187"/>
    <mergeCell ref="BR184:BR187"/>
    <mergeCell ref="BS184:BS187"/>
    <mergeCell ref="BT184:BT187"/>
    <mergeCell ref="AS204:AS207"/>
    <mergeCell ref="AT204:AT207"/>
    <mergeCell ref="AU204:AU207"/>
    <mergeCell ref="AV204:AV207"/>
    <mergeCell ref="AW204:AW207"/>
    <mergeCell ref="AX204:AX207"/>
    <mergeCell ref="AY204:AY207"/>
    <mergeCell ref="AZ204:AZ207"/>
    <mergeCell ref="BA204:BA207"/>
    <mergeCell ref="BB204:BB207"/>
    <mergeCell ref="BC204:BC207"/>
    <mergeCell ref="BD204:BD207"/>
    <mergeCell ref="BE204:BE207"/>
    <mergeCell ref="BW192:BW195"/>
    <mergeCell ref="BX192:BX195"/>
    <mergeCell ref="BY192:BY195"/>
    <mergeCell ref="BZ192:BZ195"/>
    <mergeCell ref="BM200:BM203"/>
    <mergeCell ref="BN200:BN203"/>
    <mergeCell ref="AZ200:AZ203"/>
    <mergeCell ref="BA200:BA203"/>
    <mergeCell ref="BB200:BB203"/>
    <mergeCell ref="BC200:BC203"/>
    <mergeCell ref="BD200:BD203"/>
    <mergeCell ref="BE200:BE203"/>
    <mergeCell ref="BF200:BF203"/>
    <mergeCell ref="BG200:BG203"/>
    <mergeCell ref="BD196:BD199"/>
    <mergeCell ref="BE196:BE199"/>
    <mergeCell ref="BB192:BB195"/>
    <mergeCell ref="BC192:BC195"/>
    <mergeCell ref="BO204:BO207"/>
    <mergeCell ref="AK208:AK211"/>
    <mergeCell ref="AL208:AL211"/>
    <mergeCell ref="AM208:AM211"/>
    <mergeCell ref="AN208:AN211"/>
    <mergeCell ref="AO208:AO211"/>
    <mergeCell ref="AP208:AP211"/>
    <mergeCell ref="AQ208:AQ211"/>
    <mergeCell ref="AR208:AR211"/>
    <mergeCell ref="AS208:AS211"/>
    <mergeCell ref="AT208:AT211"/>
    <mergeCell ref="AU208:AU211"/>
    <mergeCell ref="AV208:AV211"/>
    <mergeCell ref="AW208:AW211"/>
    <mergeCell ref="AX208:AX211"/>
    <mergeCell ref="AY208:AY211"/>
    <mergeCell ref="AZ208:AZ211"/>
    <mergeCell ref="BA208:BA211"/>
    <mergeCell ref="T208:T211"/>
    <mergeCell ref="U208:U211"/>
    <mergeCell ref="V208:V211"/>
    <mergeCell ref="W208:W211"/>
    <mergeCell ref="X208:X211"/>
    <mergeCell ref="Y208:Y211"/>
    <mergeCell ref="Z208:Z211"/>
    <mergeCell ref="AA208:AA211"/>
    <mergeCell ref="AB208:AB211"/>
    <mergeCell ref="AC208:AC211"/>
    <mergeCell ref="AD208:AD211"/>
    <mergeCell ref="AE208:AE211"/>
    <mergeCell ref="AF208:AF211"/>
    <mergeCell ref="AG208:AG211"/>
    <mergeCell ref="AH208:AH211"/>
    <mergeCell ref="AI208:AI211"/>
    <mergeCell ref="AJ208:AJ211"/>
    <mergeCell ref="AC204:AC207"/>
    <mergeCell ref="AD204:AD207"/>
    <mergeCell ref="AE204:AE207"/>
    <mergeCell ref="AF204:AF207"/>
    <mergeCell ref="AG204:AG207"/>
    <mergeCell ref="AH204:AH207"/>
    <mergeCell ref="AI204:AI207"/>
    <mergeCell ref="AJ204:AJ207"/>
    <mergeCell ref="AK204:AK207"/>
    <mergeCell ref="AL204:AL207"/>
    <mergeCell ref="AM204:AM207"/>
    <mergeCell ref="AN204:AN207"/>
    <mergeCell ref="AO204:AO207"/>
    <mergeCell ref="AP204:AP207"/>
    <mergeCell ref="AQ204:AQ207"/>
    <mergeCell ref="AR204:AR207"/>
    <mergeCell ref="D208:D211"/>
    <mergeCell ref="E208:E211"/>
    <mergeCell ref="F208:F211"/>
    <mergeCell ref="G208:G211"/>
    <mergeCell ref="H208:H211"/>
    <mergeCell ref="I208:I211"/>
    <mergeCell ref="J208:J211"/>
    <mergeCell ref="K208:K211"/>
    <mergeCell ref="L208:L211"/>
    <mergeCell ref="M208:M211"/>
    <mergeCell ref="N208:N211"/>
    <mergeCell ref="O208:O211"/>
    <mergeCell ref="P208:P211"/>
    <mergeCell ref="Q208:Q211"/>
    <mergeCell ref="R208:R211"/>
    <mergeCell ref="S208:S211"/>
    <mergeCell ref="D204:D207"/>
    <mergeCell ref="E204:E207"/>
    <mergeCell ref="F204:F207"/>
    <mergeCell ref="G204:G207"/>
    <mergeCell ref="H204:H207"/>
    <mergeCell ref="I204:I207"/>
    <mergeCell ref="J204:J207"/>
    <mergeCell ref="K204:K207"/>
    <mergeCell ref="L204:L207"/>
    <mergeCell ref="M204:M207"/>
    <mergeCell ref="N204:N207"/>
    <mergeCell ref="O204:O207"/>
    <mergeCell ref="P204:P207"/>
    <mergeCell ref="Q204:Q207"/>
    <mergeCell ref="R204:R207"/>
    <mergeCell ref="S204:S207"/>
    <mergeCell ref="AB204:AB207"/>
    <mergeCell ref="T204:T207"/>
    <mergeCell ref="U204:U207"/>
    <mergeCell ref="V204:V207"/>
    <mergeCell ref="W204:W207"/>
    <mergeCell ref="X204:X207"/>
    <mergeCell ref="Y204:Y207"/>
    <mergeCell ref="Z204:Z207"/>
    <mergeCell ref="AA204:AA207"/>
    <mergeCell ref="AQ200:AQ203"/>
    <mergeCell ref="AR200:AR203"/>
    <mergeCell ref="AS200:AS203"/>
    <mergeCell ref="AT200:AT203"/>
    <mergeCell ref="AU200:AU203"/>
    <mergeCell ref="AV200:AV203"/>
    <mergeCell ref="AW200:AW203"/>
    <mergeCell ref="AX200:AX203"/>
    <mergeCell ref="AY200:AY203"/>
    <mergeCell ref="Z200:Z203"/>
    <mergeCell ref="AA200:AA203"/>
    <mergeCell ref="AB200:AB203"/>
    <mergeCell ref="AC200:AC203"/>
    <mergeCell ref="AD200:AD203"/>
    <mergeCell ref="AE200:AE203"/>
    <mergeCell ref="AF200:AF203"/>
    <mergeCell ref="AG200:AG203"/>
    <mergeCell ref="AH200:AH203"/>
    <mergeCell ref="AI200:AI203"/>
    <mergeCell ref="AJ200:AJ203"/>
    <mergeCell ref="AK200:AK203"/>
    <mergeCell ref="AL200:AL203"/>
    <mergeCell ref="AM200:AM203"/>
    <mergeCell ref="AN200:AN203"/>
    <mergeCell ref="AO200:AO203"/>
    <mergeCell ref="AP200:AP203"/>
    <mergeCell ref="BF196:BF199"/>
    <mergeCell ref="BG196:BG199"/>
    <mergeCell ref="BH196:BH199"/>
    <mergeCell ref="BI196:BI199"/>
    <mergeCell ref="BJ196:BJ199"/>
    <mergeCell ref="BK196:BK199"/>
    <mergeCell ref="BL196:BL199"/>
    <mergeCell ref="BM196:BM199"/>
    <mergeCell ref="BN196:BN199"/>
    <mergeCell ref="D200:D203"/>
    <mergeCell ref="E200:E203"/>
    <mergeCell ref="F200:F203"/>
    <mergeCell ref="G200:G203"/>
    <mergeCell ref="H200:H203"/>
    <mergeCell ref="I200:I203"/>
    <mergeCell ref="J200:J203"/>
    <mergeCell ref="K200:K203"/>
    <mergeCell ref="L200:L203"/>
    <mergeCell ref="M200:M203"/>
    <mergeCell ref="N200:N203"/>
    <mergeCell ref="O200:O203"/>
    <mergeCell ref="P200:P203"/>
    <mergeCell ref="Q200:Q203"/>
    <mergeCell ref="R200:R203"/>
    <mergeCell ref="S200:S203"/>
    <mergeCell ref="T200:T203"/>
    <mergeCell ref="U200:U203"/>
    <mergeCell ref="V200:V203"/>
    <mergeCell ref="W200:W203"/>
    <mergeCell ref="X200:X203"/>
    <mergeCell ref="Y200:Y203"/>
    <mergeCell ref="AO196:AO199"/>
    <mergeCell ref="AP196:AP199"/>
    <mergeCell ref="AQ196:AQ199"/>
    <mergeCell ref="AR196:AR199"/>
    <mergeCell ref="AS196:AS199"/>
    <mergeCell ref="AT196:AT199"/>
    <mergeCell ref="AU196:AU199"/>
    <mergeCell ref="AV196:AV199"/>
    <mergeCell ref="AW196:AW199"/>
    <mergeCell ref="AX196:AX199"/>
    <mergeCell ref="AY196:AY199"/>
    <mergeCell ref="AZ196:AZ199"/>
    <mergeCell ref="BA196:BA199"/>
    <mergeCell ref="BB196:BB199"/>
    <mergeCell ref="BC196:BC199"/>
    <mergeCell ref="X196:X199"/>
    <mergeCell ref="Y196:Y199"/>
    <mergeCell ref="Z196:Z199"/>
    <mergeCell ref="AA196:AA199"/>
    <mergeCell ref="AB196:AB199"/>
    <mergeCell ref="AC196:AC199"/>
    <mergeCell ref="AD196:AD199"/>
    <mergeCell ref="AE196:AE199"/>
    <mergeCell ref="AF196:AF199"/>
    <mergeCell ref="AG196:AG199"/>
    <mergeCell ref="AH196:AH199"/>
    <mergeCell ref="AI196:AI199"/>
    <mergeCell ref="AJ196:AJ199"/>
    <mergeCell ref="AK196:AK199"/>
    <mergeCell ref="AL196:AL199"/>
    <mergeCell ref="AM196:AM199"/>
    <mergeCell ref="AN196:AN199"/>
    <mergeCell ref="BD192:BD195"/>
    <mergeCell ref="BE192:BE195"/>
    <mergeCell ref="BF192:BF195"/>
    <mergeCell ref="BG192:BG195"/>
    <mergeCell ref="BH192:BH195"/>
    <mergeCell ref="BI192:BI195"/>
    <mergeCell ref="BJ192:BJ195"/>
    <mergeCell ref="BK192:BK195"/>
    <mergeCell ref="BL192:BL195"/>
    <mergeCell ref="BM192:BM195"/>
    <mergeCell ref="BN192:BN195"/>
    <mergeCell ref="D196:D199"/>
    <mergeCell ref="E196:E199"/>
    <mergeCell ref="F196:F199"/>
    <mergeCell ref="G196:G199"/>
    <mergeCell ref="H196:H199"/>
    <mergeCell ref="I196:I199"/>
    <mergeCell ref="J196:J199"/>
    <mergeCell ref="K196:K199"/>
    <mergeCell ref="L196:L199"/>
    <mergeCell ref="M196:M199"/>
    <mergeCell ref="N196:N199"/>
    <mergeCell ref="O196:O199"/>
    <mergeCell ref="P196:P199"/>
    <mergeCell ref="Q196:Q199"/>
    <mergeCell ref="R196:R199"/>
    <mergeCell ref="S196:S199"/>
    <mergeCell ref="T196:T199"/>
    <mergeCell ref="U196:U199"/>
    <mergeCell ref="V196:V199"/>
    <mergeCell ref="W196:W199"/>
    <mergeCell ref="AM192:AM195"/>
    <mergeCell ref="AZ192:AZ195"/>
    <mergeCell ref="BA192:BA195"/>
    <mergeCell ref="V192:V195"/>
    <mergeCell ref="W192:W195"/>
    <mergeCell ref="X192:X195"/>
    <mergeCell ref="Y192:Y195"/>
    <mergeCell ref="Z192:Z195"/>
    <mergeCell ref="AA192:AA195"/>
    <mergeCell ref="AB192:AB195"/>
    <mergeCell ref="AC192:AC195"/>
    <mergeCell ref="AD192:AD195"/>
    <mergeCell ref="AE192:AE195"/>
    <mergeCell ref="AF192:AF195"/>
    <mergeCell ref="AG192:AG195"/>
    <mergeCell ref="AH192:AH195"/>
    <mergeCell ref="AI192:AI195"/>
    <mergeCell ref="AJ192:AJ195"/>
    <mergeCell ref="BA188:BA191"/>
    <mergeCell ref="BB188:BB191"/>
    <mergeCell ref="BC188:BC191"/>
    <mergeCell ref="BD188:BD191"/>
    <mergeCell ref="BE188:BE191"/>
    <mergeCell ref="BF188:BF191"/>
    <mergeCell ref="BG188:BG191"/>
    <mergeCell ref="BH188:BH191"/>
    <mergeCell ref="BI188:BI191"/>
    <mergeCell ref="BJ188:BJ191"/>
    <mergeCell ref="BK188:BK191"/>
    <mergeCell ref="BL188:BL191"/>
    <mergeCell ref="BM188:BM191"/>
    <mergeCell ref="BN188:BN191"/>
    <mergeCell ref="D192:D195"/>
    <mergeCell ref="E192:E195"/>
    <mergeCell ref="F192:F195"/>
    <mergeCell ref="G192:G195"/>
    <mergeCell ref="H192:H195"/>
    <mergeCell ref="I192:I195"/>
    <mergeCell ref="J192:J195"/>
    <mergeCell ref="K192:K195"/>
    <mergeCell ref="L192:L195"/>
    <mergeCell ref="M192:M195"/>
    <mergeCell ref="N192:N195"/>
    <mergeCell ref="O192:O195"/>
    <mergeCell ref="P192:P195"/>
    <mergeCell ref="Q192:Q195"/>
    <mergeCell ref="R192:R195"/>
    <mergeCell ref="S192:S195"/>
    <mergeCell ref="T192:T195"/>
    <mergeCell ref="U192:U195"/>
    <mergeCell ref="AI188:AI191"/>
    <mergeCell ref="AJ188:AJ191"/>
    <mergeCell ref="AL188:AL191"/>
    <mergeCell ref="AM188:AM191"/>
    <mergeCell ref="AN188:AN191"/>
    <mergeCell ref="AO188:AO191"/>
    <mergeCell ref="AP188:AP191"/>
    <mergeCell ref="AQ188:AQ191"/>
    <mergeCell ref="AR188:AR191"/>
    <mergeCell ref="AS188:AS191"/>
    <mergeCell ref="AT188:AT191"/>
    <mergeCell ref="AU188:AU191"/>
    <mergeCell ref="AV188:AV191"/>
    <mergeCell ref="AW188:AW191"/>
    <mergeCell ref="AX188:AX191"/>
    <mergeCell ref="AY188:AY191"/>
    <mergeCell ref="AK192:AK195"/>
    <mergeCell ref="AL192:AL195"/>
    <mergeCell ref="AK188:AK191"/>
    <mergeCell ref="AN192:AN195"/>
    <mergeCell ref="AO192:AO195"/>
    <mergeCell ref="AP192:AP195"/>
    <mergeCell ref="AQ192:AQ195"/>
    <mergeCell ref="AR192:AR195"/>
    <mergeCell ref="AS192:AS195"/>
    <mergeCell ref="AT192:AT195"/>
    <mergeCell ref="AU192:AU195"/>
    <mergeCell ref="AV192:AV195"/>
    <mergeCell ref="AW192:AW195"/>
    <mergeCell ref="AX192:AX195"/>
    <mergeCell ref="AY192:AY195"/>
    <mergeCell ref="D188:D191"/>
    <mergeCell ref="E188:E191"/>
    <mergeCell ref="F188:F191"/>
    <mergeCell ref="G188:G191"/>
    <mergeCell ref="H188:H191"/>
    <mergeCell ref="I188:I191"/>
    <mergeCell ref="J188:J191"/>
    <mergeCell ref="K188:K191"/>
    <mergeCell ref="L188:L191"/>
    <mergeCell ref="M188:M191"/>
    <mergeCell ref="N188:N191"/>
    <mergeCell ref="O188:O191"/>
    <mergeCell ref="P188:P191"/>
    <mergeCell ref="Q188:Q191"/>
    <mergeCell ref="R188:R191"/>
    <mergeCell ref="S188:S191"/>
    <mergeCell ref="AZ188:AZ191"/>
    <mergeCell ref="T188:T191"/>
    <mergeCell ref="U188:U191"/>
    <mergeCell ref="V188:V191"/>
    <mergeCell ref="W188:W191"/>
    <mergeCell ref="X188:X191"/>
    <mergeCell ref="Y188:Y191"/>
    <mergeCell ref="Z188:Z191"/>
    <mergeCell ref="AA188:AA191"/>
    <mergeCell ref="AB188:AB191"/>
    <mergeCell ref="AC188:AC191"/>
    <mergeCell ref="AD188:AD191"/>
    <mergeCell ref="AE188:AE191"/>
    <mergeCell ref="AF188:AF191"/>
    <mergeCell ref="AG188:AG191"/>
    <mergeCell ref="AH188:AH191"/>
    <mergeCell ref="BK184:BK187"/>
    <mergeCell ref="BL184:BL187"/>
    <mergeCell ref="BM184:BM187"/>
    <mergeCell ref="BN184:BN187"/>
    <mergeCell ref="BE184:BE187"/>
    <mergeCell ref="BF184:BF187"/>
    <mergeCell ref="BG184:BG187"/>
    <mergeCell ref="BH184:BH187"/>
    <mergeCell ref="BI184:BI187"/>
    <mergeCell ref="BJ184:BJ187"/>
    <mergeCell ref="AY184:AY187"/>
    <mergeCell ref="AZ184:AZ187"/>
    <mergeCell ref="BA184:BA187"/>
    <mergeCell ref="BB184:BB187"/>
    <mergeCell ref="BC184:BC187"/>
    <mergeCell ref="BD184:BD187"/>
    <mergeCell ref="AS184:AS187"/>
    <mergeCell ref="AT184:AT187"/>
    <mergeCell ref="AU184:AU187"/>
    <mergeCell ref="AV184:AV187"/>
    <mergeCell ref="AW184:AW187"/>
    <mergeCell ref="AX184:AX187"/>
    <mergeCell ref="AM184:AM187"/>
    <mergeCell ref="AN184:AN187"/>
    <mergeCell ref="AO184:AO187"/>
    <mergeCell ref="AP184:AP187"/>
    <mergeCell ref="AQ184:AQ187"/>
    <mergeCell ref="AR184:AR187"/>
    <mergeCell ref="AG184:AG187"/>
    <mergeCell ref="AH184:AH187"/>
    <mergeCell ref="AI184:AI187"/>
    <mergeCell ref="AJ184:AJ187"/>
    <mergeCell ref="AK184:AK187"/>
    <mergeCell ref="AL184:AL187"/>
    <mergeCell ref="AA184:AA187"/>
    <mergeCell ref="AB184:AB187"/>
    <mergeCell ref="AC184:AC187"/>
    <mergeCell ref="AD184:AD187"/>
    <mergeCell ref="AE184:AE187"/>
    <mergeCell ref="AF184:AF187"/>
    <mergeCell ref="V184:V187"/>
    <mergeCell ref="W184:W187"/>
    <mergeCell ref="X184:X187"/>
    <mergeCell ref="Y184:Y187"/>
    <mergeCell ref="Z184:Z187"/>
    <mergeCell ref="O184:O187"/>
    <mergeCell ref="P184:P187"/>
    <mergeCell ref="Q184:Q187"/>
    <mergeCell ref="R184:R187"/>
    <mergeCell ref="S184:S187"/>
    <mergeCell ref="T184:T187"/>
    <mergeCell ref="I184:I187"/>
    <mergeCell ref="J184:J187"/>
    <mergeCell ref="K184:K187"/>
    <mergeCell ref="L184:L187"/>
    <mergeCell ref="M184:M187"/>
    <mergeCell ref="N184:N187"/>
    <mergeCell ref="BK180:BK183"/>
    <mergeCell ref="BL180:BL183"/>
    <mergeCell ref="BM180:BM183"/>
    <mergeCell ref="BN180:BN183"/>
    <mergeCell ref="D184:D187"/>
    <mergeCell ref="E184:E187"/>
    <mergeCell ref="F184:F187"/>
    <mergeCell ref="G184:G187"/>
    <mergeCell ref="H184:H187"/>
    <mergeCell ref="BE180:BE183"/>
    <mergeCell ref="BF180:BF183"/>
    <mergeCell ref="BG180:BG183"/>
    <mergeCell ref="BH180:BH183"/>
    <mergeCell ref="BI180:BI183"/>
    <mergeCell ref="BJ180:BJ183"/>
    <mergeCell ref="AY180:AY183"/>
    <mergeCell ref="AZ180:AZ183"/>
    <mergeCell ref="BA180:BA183"/>
    <mergeCell ref="BB180:BB183"/>
    <mergeCell ref="BC180:BC183"/>
    <mergeCell ref="BD180:BD183"/>
    <mergeCell ref="AS180:AS183"/>
    <mergeCell ref="AT180:AT183"/>
    <mergeCell ref="AU180:AU183"/>
    <mergeCell ref="AV180:AV183"/>
    <mergeCell ref="AW180:AW183"/>
    <mergeCell ref="AX180:AX183"/>
    <mergeCell ref="AM180:AM183"/>
    <mergeCell ref="AN180:AN183"/>
    <mergeCell ref="AO180:AO183"/>
    <mergeCell ref="AP180:AP183"/>
    <mergeCell ref="U184:U187"/>
    <mergeCell ref="AQ180:AQ183"/>
    <mergeCell ref="AR180:AR183"/>
    <mergeCell ref="AG180:AG183"/>
    <mergeCell ref="AH180:AH183"/>
    <mergeCell ref="AI180:AI183"/>
    <mergeCell ref="AJ180:AJ183"/>
    <mergeCell ref="AK180:AK183"/>
    <mergeCell ref="AL180:AL183"/>
    <mergeCell ref="AA180:AA183"/>
    <mergeCell ref="AB180:AB183"/>
    <mergeCell ref="AC180:AC183"/>
    <mergeCell ref="AD180:AD183"/>
    <mergeCell ref="AE180:AE183"/>
    <mergeCell ref="AF180:AF183"/>
    <mergeCell ref="U180:U183"/>
    <mergeCell ref="V180:V183"/>
    <mergeCell ref="W180:W183"/>
    <mergeCell ref="X180:X183"/>
    <mergeCell ref="Y180:Y183"/>
    <mergeCell ref="Z180:Z183"/>
    <mergeCell ref="O180:O183"/>
    <mergeCell ref="P180:P183"/>
    <mergeCell ref="Q180:Q183"/>
    <mergeCell ref="R180:R183"/>
    <mergeCell ref="S180:S183"/>
    <mergeCell ref="T180:T183"/>
    <mergeCell ref="I180:I183"/>
    <mergeCell ref="J180:J183"/>
    <mergeCell ref="K180:K183"/>
    <mergeCell ref="L180:L183"/>
    <mergeCell ref="M180:M183"/>
    <mergeCell ref="N180:N183"/>
    <mergeCell ref="D180:D183"/>
    <mergeCell ref="E180:E183"/>
    <mergeCell ref="F180:F183"/>
    <mergeCell ref="G180:G183"/>
    <mergeCell ref="H180:H183"/>
    <mergeCell ref="CI176:CI179"/>
    <mergeCell ref="CJ176:CJ179"/>
    <mergeCell ref="CK176:CK179"/>
    <mergeCell ref="CL176:CL179"/>
    <mergeCell ref="CM176:CM179"/>
    <mergeCell ref="CN176:CN179"/>
    <mergeCell ref="CC176:CC179"/>
    <mergeCell ref="CD176:CD179"/>
    <mergeCell ref="CE176:CE179"/>
    <mergeCell ref="CF176:CF179"/>
    <mergeCell ref="CG176:CG179"/>
    <mergeCell ref="CH176:CH179"/>
    <mergeCell ref="BW176:BW179"/>
    <mergeCell ref="BX176:BX179"/>
    <mergeCell ref="BY176:BY179"/>
    <mergeCell ref="BZ176:BZ179"/>
    <mergeCell ref="CA176:CA179"/>
    <mergeCell ref="CB176:CB179"/>
    <mergeCell ref="BQ176:BQ179"/>
    <mergeCell ref="BR176:BR179"/>
    <mergeCell ref="BS176:BS179"/>
    <mergeCell ref="BT176:BT179"/>
    <mergeCell ref="BU176:BU179"/>
    <mergeCell ref="BV176:BV179"/>
    <mergeCell ref="BK176:BK179"/>
    <mergeCell ref="BL176:BL179"/>
    <mergeCell ref="BM176:BM179"/>
    <mergeCell ref="BN176:BN179"/>
    <mergeCell ref="BO176:BO179"/>
    <mergeCell ref="BP176:BP179"/>
    <mergeCell ref="BE176:BE179"/>
    <mergeCell ref="BF176:BF179"/>
    <mergeCell ref="BG176:BG179"/>
    <mergeCell ref="BH176:BH179"/>
    <mergeCell ref="BI176:BI179"/>
    <mergeCell ref="BJ176:BJ179"/>
    <mergeCell ref="AY176:AY179"/>
    <mergeCell ref="AZ176:AZ179"/>
    <mergeCell ref="BA176:BA179"/>
    <mergeCell ref="BB176:BB179"/>
    <mergeCell ref="BC176:BC179"/>
    <mergeCell ref="BD176:BD179"/>
    <mergeCell ref="AS176:AS179"/>
    <mergeCell ref="AT176:AT179"/>
    <mergeCell ref="AU176:AU179"/>
    <mergeCell ref="AV176:AV179"/>
    <mergeCell ref="AW176:AW179"/>
    <mergeCell ref="AX176:AX179"/>
    <mergeCell ref="AM176:AM179"/>
    <mergeCell ref="AN176:AN179"/>
    <mergeCell ref="AO176:AO179"/>
    <mergeCell ref="AP176:AP179"/>
    <mergeCell ref="AQ176:AQ179"/>
    <mergeCell ref="AR176:AR179"/>
    <mergeCell ref="AG176:AG179"/>
    <mergeCell ref="AH176:AH179"/>
    <mergeCell ref="AI176:AI179"/>
    <mergeCell ref="AJ176:AJ179"/>
    <mergeCell ref="AK176:AK179"/>
    <mergeCell ref="AL176:AL179"/>
    <mergeCell ref="AA176:AA179"/>
    <mergeCell ref="AB176:AB179"/>
    <mergeCell ref="AC176:AC179"/>
    <mergeCell ref="AD176:AD179"/>
    <mergeCell ref="AE176:AE179"/>
    <mergeCell ref="AF176:AF179"/>
    <mergeCell ref="U176:U179"/>
    <mergeCell ref="V176:V179"/>
    <mergeCell ref="W176:W179"/>
    <mergeCell ref="X176:X179"/>
    <mergeCell ref="Y176:Y179"/>
    <mergeCell ref="Z176:Z179"/>
    <mergeCell ref="O176:O179"/>
    <mergeCell ref="P176:P179"/>
    <mergeCell ref="Q176:Q179"/>
    <mergeCell ref="R176:R179"/>
    <mergeCell ref="S176:S179"/>
    <mergeCell ref="T176:T179"/>
    <mergeCell ref="I176:I179"/>
    <mergeCell ref="J176:J179"/>
    <mergeCell ref="K176:K179"/>
    <mergeCell ref="L176:L179"/>
    <mergeCell ref="M176:M179"/>
    <mergeCell ref="N176:N179"/>
    <mergeCell ref="D176:D179"/>
    <mergeCell ref="E176:E179"/>
    <mergeCell ref="F176:F179"/>
    <mergeCell ref="G176:G179"/>
    <mergeCell ref="H176:H179"/>
    <mergeCell ref="CI172:CI175"/>
    <mergeCell ref="CJ172:CJ175"/>
    <mergeCell ref="CK172:CK175"/>
    <mergeCell ref="CL172:CL175"/>
    <mergeCell ref="CM172:CM175"/>
    <mergeCell ref="CN172:CN175"/>
    <mergeCell ref="CC172:CC175"/>
    <mergeCell ref="CD172:CD175"/>
    <mergeCell ref="CE172:CE175"/>
    <mergeCell ref="CF172:CF175"/>
    <mergeCell ref="CG172:CG175"/>
    <mergeCell ref="CH172:CH175"/>
    <mergeCell ref="BW172:BW175"/>
    <mergeCell ref="BX172:BX175"/>
    <mergeCell ref="BY172:BY175"/>
    <mergeCell ref="BZ172:BZ175"/>
    <mergeCell ref="CA172:CA175"/>
    <mergeCell ref="CB172:CB175"/>
    <mergeCell ref="BQ172:BQ175"/>
    <mergeCell ref="BR172:BR175"/>
    <mergeCell ref="BS172:BS175"/>
    <mergeCell ref="BT172:BT175"/>
    <mergeCell ref="BU172:BU175"/>
    <mergeCell ref="BV172:BV175"/>
    <mergeCell ref="BK172:BK175"/>
    <mergeCell ref="BL172:BL175"/>
    <mergeCell ref="BM172:BM175"/>
    <mergeCell ref="BN172:BN175"/>
    <mergeCell ref="BO172:BO175"/>
    <mergeCell ref="BP172:BP175"/>
    <mergeCell ref="BE172:BE175"/>
    <mergeCell ref="BF172:BF175"/>
    <mergeCell ref="BG172:BG175"/>
    <mergeCell ref="BH172:BH175"/>
    <mergeCell ref="BI172:BI175"/>
    <mergeCell ref="BJ172:BJ175"/>
    <mergeCell ref="AY172:AY175"/>
    <mergeCell ref="AZ172:AZ175"/>
    <mergeCell ref="BA172:BA175"/>
    <mergeCell ref="BB172:BB175"/>
    <mergeCell ref="BC172:BC175"/>
    <mergeCell ref="BD172:BD175"/>
    <mergeCell ref="AS172:AS175"/>
    <mergeCell ref="AT172:AT175"/>
    <mergeCell ref="AU172:AU175"/>
    <mergeCell ref="AV172:AV175"/>
    <mergeCell ref="AW172:AW175"/>
    <mergeCell ref="AX172:AX175"/>
    <mergeCell ref="AM172:AM175"/>
    <mergeCell ref="AN172:AN175"/>
    <mergeCell ref="AO172:AO175"/>
    <mergeCell ref="AP172:AP175"/>
    <mergeCell ref="AQ172:AQ175"/>
    <mergeCell ref="AR172:AR175"/>
    <mergeCell ref="AG172:AG175"/>
    <mergeCell ref="AH172:AH175"/>
    <mergeCell ref="AI172:AI175"/>
    <mergeCell ref="AJ172:AJ175"/>
    <mergeCell ref="AK172:AK175"/>
    <mergeCell ref="AL172:AL175"/>
    <mergeCell ref="AA172:AA175"/>
    <mergeCell ref="AB172:AB175"/>
    <mergeCell ref="AC172:AC175"/>
    <mergeCell ref="AD172:AD175"/>
    <mergeCell ref="AE172:AE175"/>
    <mergeCell ref="AF172:AF175"/>
    <mergeCell ref="U172:U175"/>
    <mergeCell ref="V172:V175"/>
    <mergeCell ref="W172:W175"/>
    <mergeCell ref="X172:X175"/>
    <mergeCell ref="Y172:Y175"/>
    <mergeCell ref="Z172:Z175"/>
    <mergeCell ref="O172:O175"/>
    <mergeCell ref="P172:P175"/>
    <mergeCell ref="Q172:Q175"/>
    <mergeCell ref="R172:R175"/>
    <mergeCell ref="S172:S175"/>
    <mergeCell ref="T172:T175"/>
    <mergeCell ref="I172:I175"/>
    <mergeCell ref="J172:J175"/>
    <mergeCell ref="K172:K175"/>
    <mergeCell ref="L172:L175"/>
    <mergeCell ref="M172:M175"/>
    <mergeCell ref="N172:N175"/>
    <mergeCell ref="D172:D175"/>
    <mergeCell ref="E172:E175"/>
    <mergeCell ref="F172:F175"/>
    <mergeCell ref="G172:G175"/>
    <mergeCell ref="H172:H175"/>
    <mergeCell ref="CI168:CI171"/>
    <mergeCell ref="CJ168:CJ171"/>
    <mergeCell ref="CK168:CK171"/>
    <mergeCell ref="CL168:CL171"/>
    <mergeCell ref="CM168:CM171"/>
    <mergeCell ref="CN168:CN171"/>
    <mergeCell ref="CC168:CC171"/>
    <mergeCell ref="CD168:CD171"/>
    <mergeCell ref="CE168:CE171"/>
    <mergeCell ref="CF168:CF171"/>
    <mergeCell ref="CG168:CG171"/>
    <mergeCell ref="CH168:CH171"/>
    <mergeCell ref="BW168:BW171"/>
    <mergeCell ref="BX168:BX171"/>
    <mergeCell ref="BY168:BY171"/>
    <mergeCell ref="BZ168:BZ171"/>
    <mergeCell ref="CA168:CA171"/>
    <mergeCell ref="CB168:CB171"/>
    <mergeCell ref="BQ168:BQ171"/>
    <mergeCell ref="BR168:BR171"/>
    <mergeCell ref="BS168:BS171"/>
    <mergeCell ref="BT168:BT171"/>
    <mergeCell ref="BU168:BU171"/>
    <mergeCell ref="BV168:BV171"/>
    <mergeCell ref="BK168:BK171"/>
    <mergeCell ref="BL168:BL171"/>
    <mergeCell ref="BM168:BM171"/>
    <mergeCell ref="BN168:BN171"/>
    <mergeCell ref="BO168:BO171"/>
    <mergeCell ref="BP168:BP171"/>
    <mergeCell ref="BE168:BE171"/>
    <mergeCell ref="BF168:BF171"/>
    <mergeCell ref="BG168:BG171"/>
    <mergeCell ref="BH168:BH171"/>
    <mergeCell ref="BI168:BI171"/>
    <mergeCell ref="BJ168:BJ171"/>
    <mergeCell ref="AY168:AY171"/>
    <mergeCell ref="AZ168:AZ171"/>
    <mergeCell ref="BA168:BA171"/>
    <mergeCell ref="BB168:BB171"/>
    <mergeCell ref="BC168:BC171"/>
    <mergeCell ref="BD168:BD171"/>
    <mergeCell ref="AS168:AS171"/>
    <mergeCell ref="AT168:AT171"/>
    <mergeCell ref="AU168:AU171"/>
    <mergeCell ref="AV168:AV171"/>
    <mergeCell ref="AW168:AW171"/>
    <mergeCell ref="AX168:AX171"/>
    <mergeCell ref="AM168:AM171"/>
    <mergeCell ref="AN168:AN171"/>
    <mergeCell ref="AO168:AO171"/>
    <mergeCell ref="AP168:AP171"/>
    <mergeCell ref="AQ168:AQ171"/>
    <mergeCell ref="AR168:AR171"/>
    <mergeCell ref="AG168:AG171"/>
    <mergeCell ref="AH168:AH171"/>
    <mergeCell ref="AI168:AI171"/>
    <mergeCell ref="AJ168:AJ171"/>
    <mergeCell ref="AK168:AK171"/>
    <mergeCell ref="AL168:AL171"/>
    <mergeCell ref="AA168:AA171"/>
    <mergeCell ref="AB168:AB171"/>
    <mergeCell ref="AC168:AC171"/>
    <mergeCell ref="AD168:AD171"/>
    <mergeCell ref="AE168:AE171"/>
    <mergeCell ref="AF168:AF171"/>
    <mergeCell ref="U168:U171"/>
    <mergeCell ref="V168:V171"/>
    <mergeCell ref="W168:W171"/>
    <mergeCell ref="X168:X171"/>
    <mergeCell ref="Y168:Y171"/>
    <mergeCell ref="Z168:Z171"/>
    <mergeCell ref="O168:O171"/>
    <mergeCell ref="P168:P171"/>
    <mergeCell ref="Q168:Q171"/>
    <mergeCell ref="R168:R171"/>
    <mergeCell ref="S168:S171"/>
    <mergeCell ref="T168:T171"/>
    <mergeCell ref="I168:I171"/>
    <mergeCell ref="J168:J171"/>
    <mergeCell ref="K168:K171"/>
    <mergeCell ref="L168:L171"/>
    <mergeCell ref="M168:M171"/>
    <mergeCell ref="N168:N171"/>
    <mergeCell ref="D168:D171"/>
    <mergeCell ref="E168:E171"/>
    <mergeCell ref="F168:F171"/>
    <mergeCell ref="G168:G171"/>
    <mergeCell ref="H168:H171"/>
    <mergeCell ref="CI164:CI167"/>
    <mergeCell ref="CJ164:CJ167"/>
    <mergeCell ref="CK164:CK167"/>
    <mergeCell ref="CL164:CL167"/>
    <mergeCell ref="CM164:CM167"/>
    <mergeCell ref="CN164:CN167"/>
    <mergeCell ref="CC164:CC167"/>
    <mergeCell ref="CD164:CD167"/>
    <mergeCell ref="CE164:CE167"/>
    <mergeCell ref="CF164:CF167"/>
    <mergeCell ref="CG164:CG167"/>
    <mergeCell ref="CH164:CH167"/>
    <mergeCell ref="BW164:BW167"/>
    <mergeCell ref="BX164:BX167"/>
    <mergeCell ref="BY164:BY167"/>
    <mergeCell ref="BZ164:BZ167"/>
    <mergeCell ref="CA164:CA167"/>
    <mergeCell ref="CB164:CB167"/>
    <mergeCell ref="BQ164:BQ167"/>
    <mergeCell ref="BR164:BR167"/>
    <mergeCell ref="BS164:BS167"/>
    <mergeCell ref="BT164:BT167"/>
    <mergeCell ref="BU164:BU167"/>
    <mergeCell ref="BV164:BV167"/>
    <mergeCell ref="BK164:BK167"/>
    <mergeCell ref="BL164:BL167"/>
    <mergeCell ref="BM164:BM167"/>
    <mergeCell ref="BN164:BN167"/>
    <mergeCell ref="BO164:BO167"/>
    <mergeCell ref="BP164:BP167"/>
    <mergeCell ref="BE164:BE167"/>
    <mergeCell ref="BF164:BF167"/>
    <mergeCell ref="BG164:BG167"/>
    <mergeCell ref="BH164:BH167"/>
    <mergeCell ref="BI164:BI167"/>
    <mergeCell ref="BJ164:BJ167"/>
    <mergeCell ref="AY164:AY167"/>
    <mergeCell ref="AZ164:AZ167"/>
    <mergeCell ref="BA164:BA167"/>
    <mergeCell ref="BB164:BB167"/>
    <mergeCell ref="BC164:BC167"/>
    <mergeCell ref="BD164:BD167"/>
    <mergeCell ref="AS164:AS167"/>
    <mergeCell ref="AT164:AT167"/>
    <mergeCell ref="AU164:AU167"/>
    <mergeCell ref="AV164:AV167"/>
    <mergeCell ref="AW164:AW167"/>
    <mergeCell ref="AX164:AX167"/>
    <mergeCell ref="AM164:AM167"/>
    <mergeCell ref="AN164:AN167"/>
    <mergeCell ref="AO164:AO167"/>
    <mergeCell ref="AP164:AP167"/>
    <mergeCell ref="AQ164:AQ167"/>
    <mergeCell ref="AR164:AR167"/>
    <mergeCell ref="AG164:AG167"/>
    <mergeCell ref="AH164:AH167"/>
    <mergeCell ref="AI164:AI167"/>
    <mergeCell ref="AJ164:AJ167"/>
    <mergeCell ref="AK164:AK167"/>
    <mergeCell ref="AL164:AL167"/>
    <mergeCell ref="AA164:AA167"/>
    <mergeCell ref="AB164:AB167"/>
    <mergeCell ref="AC164:AC167"/>
    <mergeCell ref="AD164:AD167"/>
    <mergeCell ref="AE164:AE167"/>
    <mergeCell ref="AF164:AF167"/>
    <mergeCell ref="U164:U167"/>
    <mergeCell ref="V164:V167"/>
    <mergeCell ref="W164:W167"/>
    <mergeCell ref="X164:X167"/>
    <mergeCell ref="Y164:Y167"/>
    <mergeCell ref="Z164:Z167"/>
    <mergeCell ref="O164:O167"/>
    <mergeCell ref="P164:P167"/>
    <mergeCell ref="Q164:Q167"/>
    <mergeCell ref="R164:R167"/>
    <mergeCell ref="S164:S167"/>
    <mergeCell ref="T164:T167"/>
    <mergeCell ref="I164:I167"/>
    <mergeCell ref="J164:J167"/>
    <mergeCell ref="K164:K167"/>
    <mergeCell ref="L164:L167"/>
    <mergeCell ref="M164:M167"/>
    <mergeCell ref="N164:N167"/>
    <mergeCell ref="D164:D167"/>
    <mergeCell ref="E164:E167"/>
    <mergeCell ref="F164:F167"/>
    <mergeCell ref="G164:G167"/>
    <mergeCell ref="H164:H167"/>
    <mergeCell ref="CI160:CI163"/>
    <mergeCell ref="CJ160:CJ163"/>
    <mergeCell ref="CK160:CK163"/>
    <mergeCell ref="CL160:CL163"/>
    <mergeCell ref="CM160:CM163"/>
    <mergeCell ref="CN160:CN163"/>
    <mergeCell ref="CC160:CC163"/>
    <mergeCell ref="CD160:CD163"/>
    <mergeCell ref="CE160:CE163"/>
    <mergeCell ref="CF160:CF163"/>
    <mergeCell ref="CG160:CG163"/>
    <mergeCell ref="CH160:CH163"/>
    <mergeCell ref="BW160:BW163"/>
    <mergeCell ref="BX160:BX163"/>
    <mergeCell ref="BY160:BY163"/>
    <mergeCell ref="BZ160:BZ163"/>
    <mergeCell ref="CA160:CA163"/>
    <mergeCell ref="CB160:CB163"/>
    <mergeCell ref="BQ160:BQ163"/>
    <mergeCell ref="BR160:BR163"/>
    <mergeCell ref="BS160:BS163"/>
    <mergeCell ref="BT160:BT163"/>
    <mergeCell ref="BU160:BU163"/>
    <mergeCell ref="BV160:BV163"/>
    <mergeCell ref="BK160:BK163"/>
    <mergeCell ref="BL160:BL163"/>
    <mergeCell ref="BM160:BM163"/>
    <mergeCell ref="BN160:BN163"/>
    <mergeCell ref="BO160:BO163"/>
    <mergeCell ref="BP160:BP163"/>
    <mergeCell ref="BE160:BE163"/>
    <mergeCell ref="BF160:BF163"/>
    <mergeCell ref="BG160:BG163"/>
    <mergeCell ref="BH160:BH163"/>
    <mergeCell ref="BI160:BI163"/>
    <mergeCell ref="BJ160:BJ163"/>
    <mergeCell ref="AY160:AY163"/>
    <mergeCell ref="AZ160:AZ163"/>
    <mergeCell ref="BA160:BA163"/>
    <mergeCell ref="BB160:BB163"/>
    <mergeCell ref="BC160:BC163"/>
    <mergeCell ref="BD160:BD163"/>
    <mergeCell ref="AS160:AS163"/>
    <mergeCell ref="AT160:AT163"/>
    <mergeCell ref="AU160:AU163"/>
    <mergeCell ref="AV160:AV163"/>
    <mergeCell ref="AW160:AW163"/>
    <mergeCell ref="AX160:AX163"/>
    <mergeCell ref="AM160:AM163"/>
    <mergeCell ref="AN160:AN163"/>
    <mergeCell ref="AO160:AO163"/>
    <mergeCell ref="AP160:AP163"/>
    <mergeCell ref="AQ160:AQ163"/>
    <mergeCell ref="AR160:AR163"/>
    <mergeCell ref="AG160:AG163"/>
    <mergeCell ref="AH160:AH163"/>
    <mergeCell ref="AI160:AI163"/>
    <mergeCell ref="AJ160:AJ163"/>
    <mergeCell ref="AK160:AK163"/>
    <mergeCell ref="AL160:AL163"/>
    <mergeCell ref="AA160:AA163"/>
    <mergeCell ref="AB160:AB163"/>
    <mergeCell ref="AC160:AC163"/>
    <mergeCell ref="AD160:AD163"/>
    <mergeCell ref="AE160:AE163"/>
    <mergeCell ref="AF160:AF163"/>
    <mergeCell ref="U160:U163"/>
    <mergeCell ref="V160:V163"/>
    <mergeCell ref="W160:W163"/>
    <mergeCell ref="X160:X163"/>
    <mergeCell ref="Y160:Y163"/>
    <mergeCell ref="Z160:Z163"/>
    <mergeCell ref="O160:O163"/>
    <mergeCell ref="P160:P163"/>
    <mergeCell ref="Q160:Q163"/>
    <mergeCell ref="R160:R163"/>
    <mergeCell ref="S160:S163"/>
    <mergeCell ref="T160:T163"/>
    <mergeCell ref="I160:I163"/>
    <mergeCell ref="J160:J163"/>
    <mergeCell ref="K160:K163"/>
    <mergeCell ref="L160:L163"/>
    <mergeCell ref="M160:M163"/>
    <mergeCell ref="N160:N163"/>
    <mergeCell ref="D160:D163"/>
    <mergeCell ref="E160:E163"/>
    <mergeCell ref="F160:F163"/>
    <mergeCell ref="G160:G163"/>
    <mergeCell ref="H160:H163"/>
    <mergeCell ref="CI156:CI159"/>
    <mergeCell ref="CJ156:CJ159"/>
    <mergeCell ref="CK156:CK159"/>
    <mergeCell ref="CL156:CL159"/>
    <mergeCell ref="CM156:CM159"/>
    <mergeCell ref="CN156:CN159"/>
    <mergeCell ref="CC156:CC159"/>
    <mergeCell ref="CD156:CD159"/>
    <mergeCell ref="CE156:CE159"/>
    <mergeCell ref="CF156:CF159"/>
    <mergeCell ref="CG156:CG159"/>
    <mergeCell ref="CH156:CH159"/>
    <mergeCell ref="BW156:BW159"/>
    <mergeCell ref="BX156:BX159"/>
    <mergeCell ref="BY156:BY159"/>
    <mergeCell ref="BZ156:BZ159"/>
    <mergeCell ref="CA156:CA159"/>
    <mergeCell ref="CB156:CB159"/>
    <mergeCell ref="BQ156:BQ159"/>
    <mergeCell ref="BR156:BR159"/>
    <mergeCell ref="BS156:BS159"/>
    <mergeCell ref="BT156:BT159"/>
    <mergeCell ref="BU156:BU159"/>
    <mergeCell ref="BV156:BV159"/>
    <mergeCell ref="BK156:BK159"/>
    <mergeCell ref="BL156:BL159"/>
    <mergeCell ref="BM156:BM159"/>
    <mergeCell ref="BN156:BN159"/>
    <mergeCell ref="BO156:BO159"/>
    <mergeCell ref="BP156:BP159"/>
    <mergeCell ref="BE156:BE159"/>
    <mergeCell ref="BF156:BF159"/>
    <mergeCell ref="BG156:BG159"/>
    <mergeCell ref="BH156:BH159"/>
    <mergeCell ref="BI156:BI159"/>
    <mergeCell ref="BJ156:BJ159"/>
    <mergeCell ref="AY156:AY159"/>
    <mergeCell ref="AZ156:AZ159"/>
    <mergeCell ref="BA156:BA159"/>
    <mergeCell ref="BB156:BB159"/>
    <mergeCell ref="BC156:BC159"/>
    <mergeCell ref="BD156:BD159"/>
    <mergeCell ref="AS156:AS159"/>
    <mergeCell ref="AT156:AT159"/>
    <mergeCell ref="AU156:AU159"/>
    <mergeCell ref="AV156:AV159"/>
    <mergeCell ref="AW156:AW159"/>
    <mergeCell ref="AX156:AX159"/>
    <mergeCell ref="AM156:AM159"/>
    <mergeCell ref="AN156:AN159"/>
    <mergeCell ref="AO156:AO159"/>
    <mergeCell ref="AP156:AP159"/>
    <mergeCell ref="AQ156:AQ159"/>
    <mergeCell ref="AR156:AR159"/>
    <mergeCell ref="AG156:AG159"/>
    <mergeCell ref="AH156:AH159"/>
    <mergeCell ref="AI156:AI159"/>
    <mergeCell ref="AJ156:AJ159"/>
    <mergeCell ref="AK156:AK159"/>
    <mergeCell ref="AL156:AL159"/>
    <mergeCell ref="AA156:AA159"/>
    <mergeCell ref="AB156:AB159"/>
    <mergeCell ref="AC156:AC159"/>
    <mergeCell ref="AD156:AD159"/>
    <mergeCell ref="AE156:AE159"/>
    <mergeCell ref="AF156:AF159"/>
    <mergeCell ref="U156:U159"/>
    <mergeCell ref="V156:V159"/>
    <mergeCell ref="W156:W159"/>
    <mergeCell ref="X156:X159"/>
    <mergeCell ref="Y156:Y159"/>
    <mergeCell ref="Z156:Z159"/>
    <mergeCell ref="O156:O159"/>
    <mergeCell ref="P156:P159"/>
    <mergeCell ref="Q156:Q159"/>
    <mergeCell ref="R156:R159"/>
    <mergeCell ref="S156:S159"/>
    <mergeCell ref="T156:T159"/>
    <mergeCell ref="I156:I159"/>
    <mergeCell ref="J156:J159"/>
    <mergeCell ref="K156:K159"/>
    <mergeCell ref="L156:L159"/>
    <mergeCell ref="M156:M159"/>
    <mergeCell ref="N156:N159"/>
    <mergeCell ref="D156:D159"/>
    <mergeCell ref="E156:E159"/>
    <mergeCell ref="F156:F159"/>
    <mergeCell ref="G156:G159"/>
    <mergeCell ref="H156:H159"/>
    <mergeCell ref="CI150:CI155"/>
    <mergeCell ref="CJ150:CJ155"/>
    <mergeCell ref="CK150:CK155"/>
    <mergeCell ref="CL150:CL155"/>
    <mergeCell ref="CM150:CM155"/>
    <mergeCell ref="CN150:CN155"/>
    <mergeCell ref="CC150:CC155"/>
    <mergeCell ref="CD150:CD155"/>
    <mergeCell ref="CE150:CE155"/>
    <mergeCell ref="CF150:CF155"/>
    <mergeCell ref="CG150:CG155"/>
    <mergeCell ref="CH150:CH155"/>
    <mergeCell ref="BW150:BW155"/>
    <mergeCell ref="BX150:BX155"/>
    <mergeCell ref="BY150:BY155"/>
    <mergeCell ref="BZ150:BZ155"/>
    <mergeCell ref="CA150:CA155"/>
    <mergeCell ref="CB150:CB155"/>
    <mergeCell ref="BQ150:BQ155"/>
    <mergeCell ref="BR150:BR155"/>
    <mergeCell ref="BS150:BS155"/>
    <mergeCell ref="BT150:BT155"/>
    <mergeCell ref="BU150:BU155"/>
    <mergeCell ref="BV150:BV155"/>
    <mergeCell ref="BK150:BK155"/>
    <mergeCell ref="BL150:BL155"/>
    <mergeCell ref="BM150:BM155"/>
    <mergeCell ref="BN150:BN155"/>
    <mergeCell ref="BO150:BO155"/>
    <mergeCell ref="BP150:BP155"/>
    <mergeCell ref="BE150:BE155"/>
    <mergeCell ref="BF150:BF155"/>
    <mergeCell ref="BG150:BG155"/>
    <mergeCell ref="BH150:BH155"/>
    <mergeCell ref="BI150:BI155"/>
    <mergeCell ref="BJ150:BJ155"/>
    <mergeCell ref="AY150:AY155"/>
    <mergeCell ref="AZ150:AZ155"/>
    <mergeCell ref="BA150:BA155"/>
    <mergeCell ref="BB150:BB155"/>
    <mergeCell ref="BC150:BC155"/>
    <mergeCell ref="BD150:BD155"/>
    <mergeCell ref="AS150:AS155"/>
    <mergeCell ref="AT150:AT155"/>
    <mergeCell ref="AU150:AU155"/>
    <mergeCell ref="AV150:AV155"/>
    <mergeCell ref="AW150:AW155"/>
    <mergeCell ref="AX150:AX155"/>
    <mergeCell ref="AM150:AM155"/>
    <mergeCell ref="AN150:AN155"/>
    <mergeCell ref="AO150:AO155"/>
    <mergeCell ref="AP150:AP155"/>
    <mergeCell ref="AQ150:AQ155"/>
    <mergeCell ref="AR150:AR155"/>
    <mergeCell ref="AG150:AG155"/>
    <mergeCell ref="AH150:AH155"/>
    <mergeCell ref="AI150:AI155"/>
    <mergeCell ref="AJ150:AJ155"/>
    <mergeCell ref="AK150:AK155"/>
    <mergeCell ref="AL150:AL155"/>
    <mergeCell ref="AA150:AA155"/>
    <mergeCell ref="AB150:AB155"/>
    <mergeCell ref="AC150:AC155"/>
    <mergeCell ref="AD150:AD155"/>
    <mergeCell ref="AE150:AE155"/>
    <mergeCell ref="AF150:AF155"/>
    <mergeCell ref="U150:U155"/>
    <mergeCell ref="V150:V155"/>
    <mergeCell ref="W150:W155"/>
    <mergeCell ref="X150:X155"/>
    <mergeCell ref="Y150:Y155"/>
    <mergeCell ref="Z150:Z155"/>
    <mergeCell ref="O150:O155"/>
    <mergeCell ref="P150:P155"/>
    <mergeCell ref="Q150:Q155"/>
    <mergeCell ref="R150:R155"/>
    <mergeCell ref="S150:S155"/>
    <mergeCell ref="T150:T155"/>
    <mergeCell ref="I150:I155"/>
    <mergeCell ref="J150:J155"/>
    <mergeCell ref="K150:K155"/>
    <mergeCell ref="L150:L155"/>
    <mergeCell ref="M150:M155"/>
    <mergeCell ref="N150:N155"/>
    <mergeCell ref="D150:D155"/>
    <mergeCell ref="E150:E155"/>
    <mergeCell ref="F150:F155"/>
    <mergeCell ref="G150:G155"/>
    <mergeCell ref="H150:H155"/>
    <mergeCell ref="CI146:CI149"/>
    <mergeCell ref="CJ146:CJ149"/>
    <mergeCell ref="CK146:CK149"/>
    <mergeCell ref="CL146:CL149"/>
    <mergeCell ref="CM146:CM149"/>
    <mergeCell ref="CN146:CN149"/>
    <mergeCell ref="CC146:CC149"/>
    <mergeCell ref="CD146:CD149"/>
    <mergeCell ref="CE146:CE149"/>
    <mergeCell ref="CF146:CF149"/>
    <mergeCell ref="CG146:CG149"/>
    <mergeCell ref="CH146:CH149"/>
    <mergeCell ref="BW146:BW149"/>
    <mergeCell ref="BX146:BX149"/>
    <mergeCell ref="BY146:BY149"/>
    <mergeCell ref="BZ146:BZ149"/>
    <mergeCell ref="CA146:CA149"/>
    <mergeCell ref="CB146:CB149"/>
    <mergeCell ref="BQ146:BQ149"/>
    <mergeCell ref="BR146:BR149"/>
    <mergeCell ref="BS146:BS149"/>
    <mergeCell ref="BT146:BT149"/>
    <mergeCell ref="BU146:BU149"/>
    <mergeCell ref="BV146:BV149"/>
    <mergeCell ref="BK146:BK149"/>
    <mergeCell ref="BL146:BL149"/>
    <mergeCell ref="BM146:BM149"/>
    <mergeCell ref="BN146:BN149"/>
    <mergeCell ref="BO146:BO149"/>
    <mergeCell ref="BP146:BP149"/>
    <mergeCell ref="BE146:BE149"/>
    <mergeCell ref="BF146:BF149"/>
    <mergeCell ref="BG146:BG149"/>
    <mergeCell ref="BH146:BH149"/>
    <mergeCell ref="BI146:BI149"/>
    <mergeCell ref="BJ146:BJ149"/>
    <mergeCell ref="AY146:AY149"/>
    <mergeCell ref="AZ146:AZ149"/>
    <mergeCell ref="BA146:BA149"/>
    <mergeCell ref="BB146:BB149"/>
    <mergeCell ref="BC146:BC149"/>
    <mergeCell ref="BD146:BD149"/>
    <mergeCell ref="AS146:AS149"/>
    <mergeCell ref="AT146:AT149"/>
    <mergeCell ref="AU146:AU149"/>
    <mergeCell ref="AV146:AV149"/>
    <mergeCell ref="AW146:AW149"/>
    <mergeCell ref="AX146:AX149"/>
    <mergeCell ref="AM146:AM149"/>
    <mergeCell ref="AN146:AN149"/>
    <mergeCell ref="AO146:AO149"/>
    <mergeCell ref="AP146:AP149"/>
    <mergeCell ref="AQ146:AQ149"/>
    <mergeCell ref="AR146:AR149"/>
    <mergeCell ref="AG146:AG149"/>
    <mergeCell ref="AH146:AH149"/>
    <mergeCell ref="AI146:AI149"/>
    <mergeCell ref="AJ146:AJ149"/>
    <mergeCell ref="AK146:AK149"/>
    <mergeCell ref="AL146:AL149"/>
    <mergeCell ref="AA146:AA149"/>
    <mergeCell ref="AB146:AB149"/>
    <mergeCell ref="AC146:AC149"/>
    <mergeCell ref="AD146:AD149"/>
    <mergeCell ref="AE146:AE149"/>
    <mergeCell ref="AF146:AF149"/>
    <mergeCell ref="U146:U149"/>
    <mergeCell ref="V146:V149"/>
    <mergeCell ref="W146:W149"/>
    <mergeCell ref="X146:X149"/>
    <mergeCell ref="Y146:Y149"/>
    <mergeCell ref="Z146:Z149"/>
    <mergeCell ref="O146:O149"/>
    <mergeCell ref="P146:P149"/>
    <mergeCell ref="Q146:Q149"/>
    <mergeCell ref="R146:R149"/>
    <mergeCell ref="S146:S149"/>
    <mergeCell ref="T146:T149"/>
    <mergeCell ref="I146:I149"/>
    <mergeCell ref="J146:J149"/>
    <mergeCell ref="K146:K149"/>
    <mergeCell ref="L146:L149"/>
    <mergeCell ref="M146:M149"/>
    <mergeCell ref="N146:N149"/>
    <mergeCell ref="D146:D149"/>
    <mergeCell ref="E146:E149"/>
    <mergeCell ref="F146:F149"/>
    <mergeCell ref="G146:G149"/>
    <mergeCell ref="H146:H149"/>
    <mergeCell ref="CI141:CI144"/>
    <mergeCell ref="CJ141:CJ144"/>
    <mergeCell ref="CK141:CK144"/>
    <mergeCell ref="CL141:CL144"/>
    <mergeCell ref="CM141:CM144"/>
    <mergeCell ref="CN141:CN144"/>
    <mergeCell ref="CC141:CC144"/>
    <mergeCell ref="CD141:CD144"/>
    <mergeCell ref="CE141:CE144"/>
    <mergeCell ref="CF141:CF144"/>
    <mergeCell ref="CG141:CG144"/>
    <mergeCell ref="CH141:CH144"/>
    <mergeCell ref="BW141:BW144"/>
    <mergeCell ref="BX141:BX144"/>
    <mergeCell ref="BY141:BY144"/>
    <mergeCell ref="BZ141:BZ144"/>
    <mergeCell ref="CA141:CA144"/>
    <mergeCell ref="CB141:CB144"/>
    <mergeCell ref="BQ141:BQ144"/>
    <mergeCell ref="BR141:BR144"/>
    <mergeCell ref="BS141:BS144"/>
    <mergeCell ref="BT141:BT144"/>
    <mergeCell ref="BU141:BU144"/>
    <mergeCell ref="BV141:BV144"/>
    <mergeCell ref="BK141:BK144"/>
    <mergeCell ref="BL141:BL144"/>
    <mergeCell ref="BM141:BM144"/>
    <mergeCell ref="BN141:BN144"/>
    <mergeCell ref="BO141:BO144"/>
    <mergeCell ref="BP141:BP144"/>
    <mergeCell ref="BE141:BE144"/>
    <mergeCell ref="BF141:BF144"/>
    <mergeCell ref="BG141:BG144"/>
    <mergeCell ref="BH141:BH144"/>
    <mergeCell ref="BI141:BI144"/>
    <mergeCell ref="BJ141:BJ144"/>
    <mergeCell ref="AY141:AY144"/>
    <mergeCell ref="AZ141:AZ144"/>
    <mergeCell ref="BA141:BA144"/>
    <mergeCell ref="BB141:BB144"/>
    <mergeCell ref="BC141:BC144"/>
    <mergeCell ref="BD141:BD144"/>
    <mergeCell ref="AS141:AS144"/>
    <mergeCell ref="AT141:AT144"/>
    <mergeCell ref="AU141:AU144"/>
    <mergeCell ref="AV141:AV144"/>
    <mergeCell ref="AW141:AW144"/>
    <mergeCell ref="AX141:AX144"/>
    <mergeCell ref="AM141:AM144"/>
    <mergeCell ref="AN141:AN144"/>
    <mergeCell ref="AO141:AO144"/>
    <mergeCell ref="AP141:AP144"/>
    <mergeCell ref="AQ141:AQ144"/>
    <mergeCell ref="AR141:AR144"/>
    <mergeCell ref="AG141:AG144"/>
    <mergeCell ref="AH141:AH144"/>
    <mergeCell ref="AI141:AI144"/>
    <mergeCell ref="AJ141:AJ144"/>
    <mergeCell ref="AK141:AK144"/>
    <mergeCell ref="AL141:AL144"/>
    <mergeCell ref="AA141:AA144"/>
    <mergeCell ref="AB141:AB144"/>
    <mergeCell ref="AC141:AC144"/>
    <mergeCell ref="AD141:AD144"/>
    <mergeCell ref="AE141:AE144"/>
    <mergeCell ref="AF141:AF144"/>
    <mergeCell ref="U141:U144"/>
    <mergeCell ref="V141:V144"/>
    <mergeCell ref="W141:W144"/>
    <mergeCell ref="X141:X144"/>
    <mergeCell ref="Y141:Y144"/>
    <mergeCell ref="Z141:Z144"/>
    <mergeCell ref="O141:O144"/>
    <mergeCell ref="P141:P144"/>
    <mergeCell ref="Q141:Q144"/>
    <mergeCell ref="R141:R144"/>
    <mergeCell ref="S141:S144"/>
    <mergeCell ref="T141:T144"/>
    <mergeCell ref="I141:I144"/>
    <mergeCell ref="J141:J144"/>
    <mergeCell ref="K141:K144"/>
    <mergeCell ref="L141:L144"/>
    <mergeCell ref="M141:M144"/>
    <mergeCell ref="N141:N144"/>
    <mergeCell ref="D141:D144"/>
    <mergeCell ref="E141:E144"/>
    <mergeCell ref="F141:F144"/>
    <mergeCell ref="G141:G144"/>
    <mergeCell ref="H141:H144"/>
    <mergeCell ref="CI136:CI139"/>
    <mergeCell ref="CJ136:CJ139"/>
    <mergeCell ref="CK136:CK139"/>
    <mergeCell ref="CL136:CL139"/>
    <mergeCell ref="CM136:CM139"/>
    <mergeCell ref="CN136:CN139"/>
    <mergeCell ref="CC136:CC139"/>
    <mergeCell ref="CD136:CD139"/>
    <mergeCell ref="CE136:CE139"/>
    <mergeCell ref="CF136:CF139"/>
    <mergeCell ref="CG136:CG139"/>
    <mergeCell ref="CH136:CH139"/>
    <mergeCell ref="BW136:BW139"/>
    <mergeCell ref="BX136:BX139"/>
    <mergeCell ref="BY136:BY139"/>
    <mergeCell ref="BZ136:BZ139"/>
    <mergeCell ref="CA136:CA139"/>
    <mergeCell ref="CB136:CB139"/>
    <mergeCell ref="BQ136:BQ139"/>
    <mergeCell ref="BR136:BR139"/>
    <mergeCell ref="BS136:BS139"/>
    <mergeCell ref="BT136:BT139"/>
    <mergeCell ref="BU136:BU139"/>
    <mergeCell ref="BV136:BV139"/>
    <mergeCell ref="BK136:BK139"/>
    <mergeCell ref="BL136:BL139"/>
    <mergeCell ref="BM136:BM139"/>
    <mergeCell ref="BN136:BN139"/>
    <mergeCell ref="BO136:BO139"/>
    <mergeCell ref="BP136:BP139"/>
    <mergeCell ref="BE136:BE139"/>
    <mergeCell ref="BF136:BF139"/>
    <mergeCell ref="BG136:BG139"/>
    <mergeCell ref="BH136:BH139"/>
    <mergeCell ref="BI136:BI139"/>
    <mergeCell ref="BJ136:BJ139"/>
    <mergeCell ref="AY136:AY139"/>
    <mergeCell ref="AZ136:AZ139"/>
    <mergeCell ref="BA136:BA139"/>
    <mergeCell ref="BB136:BB139"/>
    <mergeCell ref="BC136:BC139"/>
    <mergeCell ref="BD136:BD139"/>
    <mergeCell ref="AS136:AS139"/>
    <mergeCell ref="AT136:AT139"/>
    <mergeCell ref="AU136:AU139"/>
    <mergeCell ref="AV136:AV139"/>
    <mergeCell ref="AW136:AW139"/>
    <mergeCell ref="AX136:AX139"/>
    <mergeCell ref="AM136:AM139"/>
    <mergeCell ref="AN136:AN139"/>
    <mergeCell ref="AO136:AO139"/>
    <mergeCell ref="AP136:AP139"/>
    <mergeCell ref="AQ136:AQ139"/>
    <mergeCell ref="AR136:AR139"/>
    <mergeCell ref="AG136:AG139"/>
    <mergeCell ref="AH136:AH139"/>
    <mergeCell ref="AI136:AI139"/>
    <mergeCell ref="AJ136:AJ139"/>
    <mergeCell ref="AK136:AK139"/>
    <mergeCell ref="AL136:AL139"/>
    <mergeCell ref="AA136:AA139"/>
    <mergeCell ref="AB136:AB139"/>
    <mergeCell ref="AC136:AC139"/>
    <mergeCell ref="AD136:AD139"/>
    <mergeCell ref="AE136:AE139"/>
    <mergeCell ref="AF136:AF139"/>
    <mergeCell ref="U136:U139"/>
    <mergeCell ref="V136:V139"/>
    <mergeCell ref="W136:W139"/>
    <mergeCell ref="X136:X139"/>
    <mergeCell ref="Y136:Y139"/>
    <mergeCell ref="Z136:Z139"/>
    <mergeCell ref="R136:R139"/>
    <mergeCell ref="S136:S139"/>
    <mergeCell ref="T136:T139"/>
    <mergeCell ref="D136:D140"/>
    <mergeCell ref="E136:E140"/>
    <mergeCell ref="F136:F140"/>
    <mergeCell ref="G136:G140"/>
    <mergeCell ref="H136:H140"/>
    <mergeCell ref="I136:I140"/>
    <mergeCell ref="J136:J140"/>
    <mergeCell ref="K136:K140"/>
    <mergeCell ref="L136:L140"/>
    <mergeCell ref="M136:M140"/>
    <mergeCell ref="N136:N140"/>
    <mergeCell ref="O136:O140"/>
    <mergeCell ref="P136:P140"/>
    <mergeCell ref="Q136:Q140"/>
    <mergeCell ref="CI132:CI135"/>
    <mergeCell ref="CJ132:CJ135"/>
    <mergeCell ref="CK132:CK135"/>
    <mergeCell ref="CL132:CL135"/>
    <mergeCell ref="CM132:CM135"/>
    <mergeCell ref="CN132:CN135"/>
    <mergeCell ref="CC132:CC135"/>
    <mergeCell ref="CD132:CD135"/>
    <mergeCell ref="CE132:CE135"/>
    <mergeCell ref="CF132:CF135"/>
    <mergeCell ref="CG132:CG135"/>
    <mergeCell ref="CH132:CH135"/>
    <mergeCell ref="BW132:BW135"/>
    <mergeCell ref="BX132:BX135"/>
    <mergeCell ref="BY132:BY135"/>
    <mergeCell ref="BZ132:BZ135"/>
    <mergeCell ref="CA132:CA135"/>
    <mergeCell ref="CB132:CB135"/>
    <mergeCell ref="BQ132:BQ135"/>
    <mergeCell ref="BR132:BR135"/>
    <mergeCell ref="BS132:BS135"/>
    <mergeCell ref="BT132:BT135"/>
    <mergeCell ref="BU132:BU135"/>
    <mergeCell ref="BV132:BV135"/>
    <mergeCell ref="BK132:BK135"/>
    <mergeCell ref="BL132:BL135"/>
    <mergeCell ref="BM132:BM135"/>
    <mergeCell ref="BN132:BN135"/>
    <mergeCell ref="BO132:BO135"/>
    <mergeCell ref="BP132:BP135"/>
    <mergeCell ref="BE132:BE135"/>
    <mergeCell ref="BF132:BF135"/>
    <mergeCell ref="BG132:BG135"/>
    <mergeCell ref="BH132:BH135"/>
    <mergeCell ref="BI132:BI135"/>
    <mergeCell ref="BJ132:BJ135"/>
    <mergeCell ref="AY132:AY135"/>
    <mergeCell ref="AZ132:AZ135"/>
    <mergeCell ref="BA132:BA135"/>
    <mergeCell ref="BB132:BB135"/>
    <mergeCell ref="BC132:BC135"/>
    <mergeCell ref="BD132:BD135"/>
    <mergeCell ref="AS132:AS135"/>
    <mergeCell ref="AT132:AT135"/>
    <mergeCell ref="AU132:AU135"/>
    <mergeCell ref="AV132:AV135"/>
    <mergeCell ref="AW132:AW135"/>
    <mergeCell ref="AX132:AX135"/>
    <mergeCell ref="AM132:AM135"/>
    <mergeCell ref="AN132:AN135"/>
    <mergeCell ref="AO132:AO135"/>
    <mergeCell ref="AP132:AP135"/>
    <mergeCell ref="AQ132:AQ135"/>
    <mergeCell ref="AR132:AR135"/>
    <mergeCell ref="C132:C135"/>
    <mergeCell ref="AG132:AG135"/>
    <mergeCell ref="AH132:AH135"/>
    <mergeCell ref="AI132:AI135"/>
    <mergeCell ref="AJ132:AJ135"/>
    <mergeCell ref="AK132:AK135"/>
    <mergeCell ref="AL132:AL135"/>
    <mergeCell ref="AA132:AA135"/>
    <mergeCell ref="AB132:AB135"/>
    <mergeCell ref="AC132:AC135"/>
    <mergeCell ref="AD132:AD135"/>
    <mergeCell ref="AE132:AE135"/>
    <mergeCell ref="AF132:AF135"/>
    <mergeCell ref="U132:U135"/>
    <mergeCell ref="V132:V135"/>
    <mergeCell ref="W132:W135"/>
    <mergeCell ref="X132:X135"/>
    <mergeCell ref="Y132:Y135"/>
    <mergeCell ref="Z132:Z135"/>
    <mergeCell ref="O132:O135"/>
    <mergeCell ref="P132:P135"/>
    <mergeCell ref="Q132:Q135"/>
    <mergeCell ref="R132:R135"/>
    <mergeCell ref="S132:S135"/>
    <mergeCell ref="T132:T135"/>
    <mergeCell ref="I132:I135"/>
    <mergeCell ref="J132:J135"/>
    <mergeCell ref="K132:K135"/>
    <mergeCell ref="L132:L135"/>
    <mergeCell ref="M132:M135"/>
    <mergeCell ref="N132:N135"/>
    <mergeCell ref="D132:D135"/>
    <mergeCell ref="E132:E135"/>
    <mergeCell ref="F132:F135"/>
    <mergeCell ref="G132:G135"/>
    <mergeCell ref="H132:H135"/>
    <mergeCell ref="CI128:CI131"/>
    <mergeCell ref="CJ128:CJ131"/>
    <mergeCell ref="CK128:CK131"/>
    <mergeCell ref="CL128:CL131"/>
    <mergeCell ref="CM128:CM131"/>
    <mergeCell ref="CN128:CN131"/>
    <mergeCell ref="CC128:CC131"/>
    <mergeCell ref="CD128:CD131"/>
    <mergeCell ref="CE128:CE131"/>
    <mergeCell ref="CF128:CF131"/>
    <mergeCell ref="CG128:CG131"/>
    <mergeCell ref="CH128:CH131"/>
    <mergeCell ref="BW128:BW131"/>
    <mergeCell ref="BX128:BX131"/>
    <mergeCell ref="BY128:BY131"/>
    <mergeCell ref="BZ128:BZ131"/>
    <mergeCell ref="CA128:CA131"/>
    <mergeCell ref="CB128:CB131"/>
    <mergeCell ref="BQ128:BQ131"/>
    <mergeCell ref="BR128:BR131"/>
    <mergeCell ref="BS128:BS131"/>
    <mergeCell ref="BT128:BT131"/>
    <mergeCell ref="BU128:BU131"/>
    <mergeCell ref="BV128:BV131"/>
    <mergeCell ref="BK128:BK131"/>
    <mergeCell ref="BL128:BL131"/>
    <mergeCell ref="BM128:BM131"/>
    <mergeCell ref="BN128:BN131"/>
    <mergeCell ref="BO128:BO131"/>
    <mergeCell ref="BP128:BP131"/>
    <mergeCell ref="BE128:BE131"/>
    <mergeCell ref="BF128:BF131"/>
    <mergeCell ref="BG128:BG131"/>
    <mergeCell ref="BH128:BH131"/>
    <mergeCell ref="BI128:BI131"/>
    <mergeCell ref="BJ128:BJ131"/>
    <mergeCell ref="AY128:AY131"/>
    <mergeCell ref="AZ128:AZ131"/>
    <mergeCell ref="BA128:BA131"/>
    <mergeCell ref="BB128:BB131"/>
    <mergeCell ref="BC128:BC131"/>
    <mergeCell ref="BD128:BD131"/>
    <mergeCell ref="AS128:AS131"/>
    <mergeCell ref="AT128:AT131"/>
    <mergeCell ref="AU128:AU131"/>
    <mergeCell ref="AV128:AV131"/>
    <mergeCell ref="AW128:AW131"/>
    <mergeCell ref="AX128:AX131"/>
    <mergeCell ref="AM128:AM131"/>
    <mergeCell ref="AN128:AN131"/>
    <mergeCell ref="AO128:AO131"/>
    <mergeCell ref="AP128:AP131"/>
    <mergeCell ref="AQ128:AQ131"/>
    <mergeCell ref="AR128:AR131"/>
    <mergeCell ref="C128:C131"/>
    <mergeCell ref="AG128:AG131"/>
    <mergeCell ref="AH128:AH131"/>
    <mergeCell ref="AI128:AI131"/>
    <mergeCell ref="AJ128:AJ131"/>
    <mergeCell ref="AK128:AK131"/>
    <mergeCell ref="AL128:AL131"/>
    <mergeCell ref="AA128:AA131"/>
    <mergeCell ref="AB128:AB131"/>
    <mergeCell ref="AC128:AC131"/>
    <mergeCell ref="AD128:AD131"/>
    <mergeCell ref="AE128:AE131"/>
    <mergeCell ref="AF128:AF131"/>
    <mergeCell ref="U128:U131"/>
    <mergeCell ref="V128:V131"/>
    <mergeCell ref="W128:W131"/>
    <mergeCell ref="X128:X131"/>
    <mergeCell ref="Y128:Y131"/>
    <mergeCell ref="Z128:Z131"/>
    <mergeCell ref="O128:O131"/>
    <mergeCell ref="P128:P131"/>
    <mergeCell ref="Q128:Q131"/>
    <mergeCell ref="R128:R131"/>
    <mergeCell ref="S128:S131"/>
    <mergeCell ref="T128:T131"/>
    <mergeCell ref="I128:I131"/>
    <mergeCell ref="J128:J131"/>
    <mergeCell ref="K128:K131"/>
    <mergeCell ref="L128:L131"/>
    <mergeCell ref="M128:M131"/>
    <mergeCell ref="N128:N131"/>
    <mergeCell ref="D128:D131"/>
    <mergeCell ref="E128:E131"/>
    <mergeCell ref="F128:F131"/>
    <mergeCell ref="G128:G131"/>
    <mergeCell ref="H128:H131"/>
    <mergeCell ref="CI124:CI127"/>
    <mergeCell ref="CJ124:CJ127"/>
    <mergeCell ref="CK124:CK127"/>
    <mergeCell ref="CL124:CL127"/>
    <mergeCell ref="CM124:CM127"/>
    <mergeCell ref="CN124:CN127"/>
    <mergeCell ref="CC124:CC127"/>
    <mergeCell ref="CD124:CD127"/>
    <mergeCell ref="CE124:CE127"/>
    <mergeCell ref="CF124:CF127"/>
    <mergeCell ref="CG124:CG127"/>
    <mergeCell ref="CH124:CH127"/>
    <mergeCell ref="BW124:BW127"/>
    <mergeCell ref="BX124:BX127"/>
    <mergeCell ref="BY124:BY127"/>
    <mergeCell ref="BZ124:BZ127"/>
    <mergeCell ref="CA124:CA127"/>
    <mergeCell ref="CB124:CB127"/>
    <mergeCell ref="BQ124:BQ127"/>
    <mergeCell ref="BR124:BR127"/>
    <mergeCell ref="BS124:BS127"/>
    <mergeCell ref="BT124:BT127"/>
    <mergeCell ref="BU124:BU127"/>
    <mergeCell ref="BV124:BV127"/>
    <mergeCell ref="BK124:BK127"/>
    <mergeCell ref="BL124:BL127"/>
    <mergeCell ref="BM124:BM127"/>
    <mergeCell ref="BN124:BN127"/>
    <mergeCell ref="BO124:BO127"/>
    <mergeCell ref="BP124:BP127"/>
    <mergeCell ref="BE124:BE127"/>
    <mergeCell ref="BF124:BF127"/>
    <mergeCell ref="BG124:BG127"/>
    <mergeCell ref="BH124:BH127"/>
    <mergeCell ref="BI124:BI127"/>
    <mergeCell ref="BJ124:BJ127"/>
    <mergeCell ref="AY124:AY127"/>
    <mergeCell ref="AZ124:AZ127"/>
    <mergeCell ref="BA124:BA127"/>
    <mergeCell ref="BB124:BB127"/>
    <mergeCell ref="BC124:BC127"/>
    <mergeCell ref="BD124:BD127"/>
    <mergeCell ref="AS124:AS127"/>
    <mergeCell ref="AT124:AT127"/>
    <mergeCell ref="AU124:AU127"/>
    <mergeCell ref="AV124:AV127"/>
    <mergeCell ref="AW124:AW127"/>
    <mergeCell ref="AX124:AX127"/>
    <mergeCell ref="AM124:AM127"/>
    <mergeCell ref="AN124:AN127"/>
    <mergeCell ref="AO124:AO127"/>
    <mergeCell ref="AP124:AP127"/>
    <mergeCell ref="AQ124:AQ127"/>
    <mergeCell ref="AR124:AR127"/>
    <mergeCell ref="C124:C127"/>
    <mergeCell ref="AG124:AG127"/>
    <mergeCell ref="AH124:AH127"/>
    <mergeCell ref="AI124:AI127"/>
    <mergeCell ref="AJ124:AJ127"/>
    <mergeCell ref="AK124:AK127"/>
    <mergeCell ref="AL124:AL127"/>
    <mergeCell ref="AA124:AA127"/>
    <mergeCell ref="AB124:AB127"/>
    <mergeCell ref="AC124:AC127"/>
    <mergeCell ref="AD124:AD127"/>
    <mergeCell ref="AE124:AE127"/>
    <mergeCell ref="AF124:AF127"/>
    <mergeCell ref="U124:U127"/>
    <mergeCell ref="V124:V127"/>
    <mergeCell ref="W124:W127"/>
    <mergeCell ref="X124:X127"/>
    <mergeCell ref="Y124:Y127"/>
    <mergeCell ref="Z124:Z127"/>
    <mergeCell ref="O124:O127"/>
    <mergeCell ref="P124:P127"/>
    <mergeCell ref="Q124:Q127"/>
    <mergeCell ref="R124:R127"/>
    <mergeCell ref="S124:S127"/>
    <mergeCell ref="T124:T127"/>
    <mergeCell ref="I124:I127"/>
    <mergeCell ref="J124:J127"/>
    <mergeCell ref="K124:K127"/>
    <mergeCell ref="L124:L127"/>
    <mergeCell ref="M124:M127"/>
    <mergeCell ref="N124:N127"/>
    <mergeCell ref="D124:D127"/>
    <mergeCell ref="E124:E127"/>
    <mergeCell ref="F124:F127"/>
    <mergeCell ref="G124:G127"/>
    <mergeCell ref="H124:H127"/>
    <mergeCell ref="CI120:CI123"/>
    <mergeCell ref="BQ120:BQ123"/>
    <mergeCell ref="BR120:BR123"/>
    <mergeCell ref="BS120:BS123"/>
    <mergeCell ref="BT120:BT123"/>
    <mergeCell ref="BU120:BU123"/>
    <mergeCell ref="BV120:BV123"/>
    <mergeCell ref="BK120:BK123"/>
    <mergeCell ref="BL120:BL123"/>
    <mergeCell ref="BM120:BM123"/>
    <mergeCell ref="BN120:BN123"/>
    <mergeCell ref="BO120:BO123"/>
    <mergeCell ref="BP120:BP123"/>
    <mergeCell ref="BE120:BE123"/>
    <mergeCell ref="BF120:BF123"/>
    <mergeCell ref="BG120:BG123"/>
    <mergeCell ref="CJ120:CJ123"/>
    <mergeCell ref="CK120:CK123"/>
    <mergeCell ref="CL120:CL123"/>
    <mergeCell ref="CM120:CM123"/>
    <mergeCell ref="CN120:CN123"/>
    <mergeCell ref="CC120:CC123"/>
    <mergeCell ref="CD120:CD123"/>
    <mergeCell ref="CE120:CE123"/>
    <mergeCell ref="CF120:CF123"/>
    <mergeCell ref="CG120:CG123"/>
    <mergeCell ref="CH120:CH123"/>
    <mergeCell ref="BW120:BW123"/>
    <mergeCell ref="BX120:BX123"/>
    <mergeCell ref="BY120:BY123"/>
    <mergeCell ref="BZ120:BZ123"/>
    <mergeCell ref="CA120:CA123"/>
    <mergeCell ref="CB120:CB123"/>
    <mergeCell ref="BH120:BH123"/>
    <mergeCell ref="BI120:BI123"/>
    <mergeCell ref="BJ120:BJ123"/>
    <mergeCell ref="AY120:AY123"/>
    <mergeCell ref="AZ120:AZ123"/>
    <mergeCell ref="BA120:BA123"/>
    <mergeCell ref="BB120:BB123"/>
    <mergeCell ref="BC120:BC123"/>
    <mergeCell ref="BD120:BD123"/>
    <mergeCell ref="AS120:AS123"/>
    <mergeCell ref="AT120:AT123"/>
    <mergeCell ref="AU120:AU123"/>
    <mergeCell ref="AV120:AV123"/>
    <mergeCell ref="AW120:AW123"/>
    <mergeCell ref="AX120:AX123"/>
    <mergeCell ref="AM120:AM123"/>
    <mergeCell ref="AN120:AN123"/>
    <mergeCell ref="AO120:AO123"/>
    <mergeCell ref="AP120:AP123"/>
    <mergeCell ref="AQ120:AQ123"/>
    <mergeCell ref="AR120:AR123"/>
    <mergeCell ref="C120:C123"/>
    <mergeCell ref="AG120:AG123"/>
    <mergeCell ref="AH120:AH123"/>
    <mergeCell ref="AI120:AI123"/>
    <mergeCell ref="AJ120:AJ123"/>
    <mergeCell ref="AK120:AK123"/>
    <mergeCell ref="AL120:AL123"/>
    <mergeCell ref="AA120:AA123"/>
    <mergeCell ref="AB120:AB123"/>
    <mergeCell ref="AC120:AC123"/>
    <mergeCell ref="AD120:AD123"/>
    <mergeCell ref="AE120:AE123"/>
    <mergeCell ref="AF120:AF123"/>
    <mergeCell ref="U120:U123"/>
    <mergeCell ref="V120:V123"/>
    <mergeCell ref="W120:W123"/>
    <mergeCell ref="X120:X123"/>
    <mergeCell ref="Y120:Y123"/>
    <mergeCell ref="Z120:Z123"/>
    <mergeCell ref="O120:O123"/>
    <mergeCell ref="P120:P123"/>
    <mergeCell ref="Q120:Q123"/>
    <mergeCell ref="R120:R123"/>
    <mergeCell ref="S120:S123"/>
    <mergeCell ref="T120:T123"/>
    <mergeCell ref="I120:I123"/>
    <mergeCell ref="J120:J123"/>
    <mergeCell ref="K120:K123"/>
    <mergeCell ref="L120:L123"/>
    <mergeCell ref="M120:M123"/>
    <mergeCell ref="N120:N123"/>
    <mergeCell ref="D120:D123"/>
    <mergeCell ref="E120:E123"/>
    <mergeCell ref="F120:F123"/>
    <mergeCell ref="G120:G123"/>
    <mergeCell ref="H120:H123"/>
    <mergeCell ref="CI116:CI119"/>
    <mergeCell ref="CJ116:CJ119"/>
    <mergeCell ref="CK116:CK119"/>
    <mergeCell ref="CL116:CL119"/>
    <mergeCell ref="CM116:CM119"/>
    <mergeCell ref="CN116:CN119"/>
    <mergeCell ref="CC116:CC119"/>
    <mergeCell ref="CD116:CD119"/>
    <mergeCell ref="CE116:CE119"/>
    <mergeCell ref="CF116:CF119"/>
    <mergeCell ref="CG116:CG119"/>
    <mergeCell ref="CH116:CH119"/>
    <mergeCell ref="BW116:BW119"/>
    <mergeCell ref="BX116:BX119"/>
    <mergeCell ref="BY116:BY119"/>
    <mergeCell ref="BZ116:BZ119"/>
    <mergeCell ref="CA116:CA119"/>
    <mergeCell ref="CB116:CB119"/>
    <mergeCell ref="BQ116:BQ119"/>
    <mergeCell ref="BR116:BR119"/>
    <mergeCell ref="BS116:BS119"/>
    <mergeCell ref="BT116:BT119"/>
    <mergeCell ref="BU116:BU119"/>
    <mergeCell ref="BV116:BV119"/>
    <mergeCell ref="BK116:BK119"/>
    <mergeCell ref="BL116:BL119"/>
    <mergeCell ref="BM116:BM119"/>
    <mergeCell ref="BN116:BN119"/>
    <mergeCell ref="BO116:BO119"/>
    <mergeCell ref="BP116:BP119"/>
    <mergeCell ref="BE116:BE119"/>
    <mergeCell ref="BF116:BF119"/>
    <mergeCell ref="BG116:BG119"/>
    <mergeCell ref="BH116:BH119"/>
    <mergeCell ref="BI116:BI119"/>
    <mergeCell ref="BJ116:BJ119"/>
    <mergeCell ref="AY116:AY119"/>
    <mergeCell ref="AZ116:AZ119"/>
    <mergeCell ref="BA116:BA119"/>
    <mergeCell ref="BB116:BB119"/>
    <mergeCell ref="BC116:BC119"/>
    <mergeCell ref="BD116:BD119"/>
    <mergeCell ref="AS116:AS119"/>
    <mergeCell ref="AT116:AT119"/>
    <mergeCell ref="AU116:AU119"/>
    <mergeCell ref="AV116:AV119"/>
    <mergeCell ref="AW116:AW119"/>
    <mergeCell ref="AX116:AX119"/>
    <mergeCell ref="AM116:AM119"/>
    <mergeCell ref="AN116:AN119"/>
    <mergeCell ref="AO116:AO119"/>
    <mergeCell ref="AP116:AP119"/>
    <mergeCell ref="AQ116:AQ119"/>
    <mergeCell ref="AR116:AR119"/>
    <mergeCell ref="C116:C119"/>
    <mergeCell ref="AG116:AG119"/>
    <mergeCell ref="AH116:AH119"/>
    <mergeCell ref="AI116:AI119"/>
    <mergeCell ref="AJ116:AJ119"/>
    <mergeCell ref="AK116:AK119"/>
    <mergeCell ref="AL116:AL119"/>
    <mergeCell ref="AA116:AA119"/>
    <mergeCell ref="AB116:AB119"/>
    <mergeCell ref="AC116:AC119"/>
    <mergeCell ref="AD116:AD119"/>
    <mergeCell ref="AE116:AE119"/>
    <mergeCell ref="AF116:AF119"/>
    <mergeCell ref="U116:U119"/>
    <mergeCell ref="V116:V119"/>
    <mergeCell ref="W116:W119"/>
    <mergeCell ref="X116:X119"/>
    <mergeCell ref="Y116:Y119"/>
    <mergeCell ref="Z116:Z119"/>
    <mergeCell ref="O116:O119"/>
    <mergeCell ref="P116:P119"/>
    <mergeCell ref="Q116:Q119"/>
    <mergeCell ref="R116:R119"/>
    <mergeCell ref="S116:S119"/>
    <mergeCell ref="T116:T119"/>
    <mergeCell ref="I116:I119"/>
    <mergeCell ref="J116:J119"/>
    <mergeCell ref="K116:K119"/>
    <mergeCell ref="L116:L119"/>
    <mergeCell ref="M116:M119"/>
    <mergeCell ref="N116:N119"/>
    <mergeCell ref="D116:D119"/>
    <mergeCell ref="E116:E119"/>
    <mergeCell ref="F116:F119"/>
    <mergeCell ref="G116:G119"/>
    <mergeCell ref="H116:H119"/>
    <mergeCell ref="CI112:CI115"/>
    <mergeCell ref="CJ112:CJ115"/>
    <mergeCell ref="CK112:CK115"/>
    <mergeCell ref="CL112:CL115"/>
    <mergeCell ref="CM112:CM115"/>
    <mergeCell ref="CN112:CN115"/>
    <mergeCell ref="CC112:CC115"/>
    <mergeCell ref="CD112:CD115"/>
    <mergeCell ref="CE112:CE115"/>
    <mergeCell ref="CF112:CF115"/>
    <mergeCell ref="CG112:CG115"/>
    <mergeCell ref="CH112:CH115"/>
    <mergeCell ref="BW112:BW115"/>
    <mergeCell ref="BX112:BX115"/>
    <mergeCell ref="BY112:BY115"/>
    <mergeCell ref="BZ112:BZ115"/>
    <mergeCell ref="CA112:CA115"/>
    <mergeCell ref="CB112:CB115"/>
    <mergeCell ref="BQ112:BQ115"/>
    <mergeCell ref="BR112:BR115"/>
    <mergeCell ref="BS112:BS115"/>
    <mergeCell ref="BT112:BT115"/>
    <mergeCell ref="BU112:BU115"/>
    <mergeCell ref="BV112:BV115"/>
    <mergeCell ref="BK112:BK115"/>
    <mergeCell ref="BL112:BL115"/>
    <mergeCell ref="BM112:BM115"/>
    <mergeCell ref="BN112:BN115"/>
    <mergeCell ref="BO112:BO115"/>
    <mergeCell ref="BP112:BP115"/>
    <mergeCell ref="BE112:BE115"/>
    <mergeCell ref="BF112:BF115"/>
    <mergeCell ref="BG112:BG115"/>
    <mergeCell ref="BH112:BH115"/>
    <mergeCell ref="BI112:BI115"/>
    <mergeCell ref="BJ112:BJ115"/>
    <mergeCell ref="AY112:AY115"/>
    <mergeCell ref="AZ112:AZ115"/>
    <mergeCell ref="BA112:BA115"/>
    <mergeCell ref="BB112:BB115"/>
    <mergeCell ref="BC112:BC115"/>
    <mergeCell ref="BD112:BD115"/>
    <mergeCell ref="AS112:AS115"/>
    <mergeCell ref="AT112:AT115"/>
    <mergeCell ref="AU112:AU115"/>
    <mergeCell ref="AV112:AV115"/>
    <mergeCell ref="AW112:AW115"/>
    <mergeCell ref="AX112:AX115"/>
    <mergeCell ref="AM112:AM115"/>
    <mergeCell ref="AN112:AN115"/>
    <mergeCell ref="AO112:AO115"/>
    <mergeCell ref="AP112:AP115"/>
    <mergeCell ref="AQ112:AQ115"/>
    <mergeCell ref="AR112:AR115"/>
    <mergeCell ref="C112:C115"/>
    <mergeCell ref="AG112:AG115"/>
    <mergeCell ref="AH112:AH115"/>
    <mergeCell ref="AI112:AI115"/>
    <mergeCell ref="AJ112:AJ115"/>
    <mergeCell ref="AK112:AK115"/>
    <mergeCell ref="AL112:AL115"/>
    <mergeCell ref="AA112:AA115"/>
    <mergeCell ref="AB112:AB115"/>
    <mergeCell ref="AC112:AC115"/>
    <mergeCell ref="AD112:AD115"/>
    <mergeCell ref="AE112:AE115"/>
    <mergeCell ref="AF112:AF115"/>
    <mergeCell ref="U112:U115"/>
    <mergeCell ref="V112:V115"/>
    <mergeCell ref="W112:W115"/>
    <mergeCell ref="X112:X115"/>
    <mergeCell ref="Y112:Y115"/>
    <mergeCell ref="Z112:Z115"/>
    <mergeCell ref="O112:O115"/>
    <mergeCell ref="P112:P115"/>
    <mergeCell ref="Q112:Q115"/>
    <mergeCell ref="R112:R115"/>
    <mergeCell ref="S112:S115"/>
    <mergeCell ref="T112:T115"/>
    <mergeCell ref="I112:I115"/>
    <mergeCell ref="J112:J115"/>
    <mergeCell ref="K112:K115"/>
    <mergeCell ref="L112:L115"/>
    <mergeCell ref="M112:M115"/>
    <mergeCell ref="N112:N115"/>
    <mergeCell ref="D112:D115"/>
    <mergeCell ref="E112:E115"/>
    <mergeCell ref="F112:F115"/>
    <mergeCell ref="G112:G115"/>
    <mergeCell ref="H112:H115"/>
    <mergeCell ref="CI108:CI111"/>
    <mergeCell ref="BQ108:BQ111"/>
    <mergeCell ref="BR108:BR111"/>
    <mergeCell ref="BS108:BS111"/>
    <mergeCell ref="BT108:BT111"/>
    <mergeCell ref="BU108:BU111"/>
    <mergeCell ref="BV108:BV111"/>
    <mergeCell ref="BK108:BK111"/>
    <mergeCell ref="BL108:BL111"/>
    <mergeCell ref="BM108:BM111"/>
    <mergeCell ref="BN108:BN111"/>
    <mergeCell ref="BO108:BO111"/>
    <mergeCell ref="BP108:BP111"/>
    <mergeCell ref="BE108:BE111"/>
    <mergeCell ref="BF108:BF111"/>
    <mergeCell ref="BG108:BG111"/>
    <mergeCell ref="CJ108:CJ111"/>
    <mergeCell ref="CK108:CK111"/>
    <mergeCell ref="CL108:CL111"/>
    <mergeCell ref="CM108:CM111"/>
    <mergeCell ref="CN108:CN111"/>
    <mergeCell ref="CC108:CC111"/>
    <mergeCell ref="CD108:CD111"/>
    <mergeCell ref="CE108:CE111"/>
    <mergeCell ref="CF108:CF111"/>
    <mergeCell ref="CG108:CG111"/>
    <mergeCell ref="CH108:CH111"/>
    <mergeCell ref="BW108:BW111"/>
    <mergeCell ref="BX108:BX111"/>
    <mergeCell ref="BY108:BY111"/>
    <mergeCell ref="BZ108:BZ111"/>
    <mergeCell ref="CA108:CA111"/>
    <mergeCell ref="CB108:CB111"/>
    <mergeCell ref="BH108:BH111"/>
    <mergeCell ref="BI108:BI111"/>
    <mergeCell ref="BJ108:BJ111"/>
    <mergeCell ref="AY108:AY111"/>
    <mergeCell ref="AZ108:AZ111"/>
    <mergeCell ref="BA108:BA111"/>
    <mergeCell ref="BB108:BB111"/>
    <mergeCell ref="BC108:BC111"/>
    <mergeCell ref="BD108:BD111"/>
    <mergeCell ref="AS108:AS111"/>
    <mergeCell ref="AT108:AT111"/>
    <mergeCell ref="AU108:AU111"/>
    <mergeCell ref="AV108:AV111"/>
    <mergeCell ref="AW108:AW111"/>
    <mergeCell ref="AX108:AX111"/>
    <mergeCell ref="AM108:AM111"/>
    <mergeCell ref="AN108:AN111"/>
    <mergeCell ref="AO108:AO111"/>
    <mergeCell ref="AP108:AP111"/>
    <mergeCell ref="AQ108:AQ111"/>
    <mergeCell ref="AR108:AR111"/>
    <mergeCell ref="C108:C111"/>
    <mergeCell ref="AG108:AG111"/>
    <mergeCell ref="AH108:AH111"/>
    <mergeCell ref="AI108:AI111"/>
    <mergeCell ref="AJ108:AJ111"/>
    <mergeCell ref="AK108:AK111"/>
    <mergeCell ref="AL108:AL111"/>
    <mergeCell ref="AA108:AA111"/>
    <mergeCell ref="AB108:AB111"/>
    <mergeCell ref="AC108:AC111"/>
    <mergeCell ref="AD108:AD111"/>
    <mergeCell ref="AE108:AE111"/>
    <mergeCell ref="AF108:AF111"/>
    <mergeCell ref="U108:U111"/>
    <mergeCell ref="V108:V111"/>
    <mergeCell ref="W108:W111"/>
    <mergeCell ref="X108:X111"/>
    <mergeCell ref="Y108:Y111"/>
    <mergeCell ref="Z108:Z111"/>
    <mergeCell ref="O108:O111"/>
    <mergeCell ref="P108:P111"/>
    <mergeCell ref="Q108:Q111"/>
    <mergeCell ref="R108:R111"/>
    <mergeCell ref="S108:S111"/>
    <mergeCell ref="T108:T111"/>
    <mergeCell ref="I108:I111"/>
    <mergeCell ref="J108:J111"/>
    <mergeCell ref="K108:K111"/>
    <mergeCell ref="L108:L111"/>
    <mergeCell ref="M108:M111"/>
    <mergeCell ref="N108:N111"/>
    <mergeCell ref="D108:D111"/>
    <mergeCell ref="E108:E111"/>
    <mergeCell ref="F108:F111"/>
    <mergeCell ref="G108:G111"/>
    <mergeCell ref="H108:H111"/>
    <mergeCell ref="CI104:CI107"/>
    <mergeCell ref="CJ104:CJ107"/>
    <mergeCell ref="CK104:CK107"/>
    <mergeCell ref="CL104:CL107"/>
    <mergeCell ref="CM104:CM107"/>
    <mergeCell ref="CN104:CN107"/>
    <mergeCell ref="CC104:CC107"/>
    <mergeCell ref="CD104:CD107"/>
    <mergeCell ref="CE104:CE107"/>
    <mergeCell ref="CF104:CF107"/>
    <mergeCell ref="CG104:CG107"/>
    <mergeCell ref="CH104:CH107"/>
    <mergeCell ref="BW104:BW107"/>
    <mergeCell ref="BX104:BX107"/>
    <mergeCell ref="BY104:BY107"/>
    <mergeCell ref="BZ104:BZ107"/>
    <mergeCell ref="CA104:CA107"/>
    <mergeCell ref="CB104:CB107"/>
    <mergeCell ref="BQ104:BQ107"/>
    <mergeCell ref="BR104:BR107"/>
    <mergeCell ref="BS104:BS107"/>
    <mergeCell ref="BT104:BT107"/>
    <mergeCell ref="BU104:BU107"/>
    <mergeCell ref="BV104:BV107"/>
    <mergeCell ref="BK104:BK107"/>
    <mergeCell ref="BL104:BL107"/>
    <mergeCell ref="BM104:BM107"/>
    <mergeCell ref="BN104:BN107"/>
    <mergeCell ref="BO104:BO107"/>
    <mergeCell ref="BP104:BP107"/>
    <mergeCell ref="BE104:BE107"/>
    <mergeCell ref="BF104:BF107"/>
    <mergeCell ref="BG104:BG107"/>
    <mergeCell ref="BH104:BH107"/>
    <mergeCell ref="BI104:BI107"/>
    <mergeCell ref="BJ104:BJ107"/>
    <mergeCell ref="AY104:AY107"/>
    <mergeCell ref="AZ104:AZ107"/>
    <mergeCell ref="BA104:BA107"/>
    <mergeCell ref="BB104:BB107"/>
    <mergeCell ref="BC104:BC107"/>
    <mergeCell ref="BD104:BD107"/>
    <mergeCell ref="AS104:AS107"/>
    <mergeCell ref="AT104:AT107"/>
    <mergeCell ref="AU104:AU107"/>
    <mergeCell ref="AV104:AV107"/>
    <mergeCell ref="AW104:AW107"/>
    <mergeCell ref="AX104:AX107"/>
    <mergeCell ref="AM104:AM107"/>
    <mergeCell ref="AN104:AN107"/>
    <mergeCell ref="AO104:AO107"/>
    <mergeCell ref="AP104:AP107"/>
    <mergeCell ref="AQ104:AQ107"/>
    <mergeCell ref="AR104:AR107"/>
    <mergeCell ref="C104:C107"/>
    <mergeCell ref="AG104:AG107"/>
    <mergeCell ref="AH104:AH107"/>
    <mergeCell ref="AI104:AI107"/>
    <mergeCell ref="AJ104:AJ107"/>
    <mergeCell ref="AK104:AK107"/>
    <mergeCell ref="AL104:AL107"/>
    <mergeCell ref="AA104:AA107"/>
    <mergeCell ref="AB104:AB107"/>
    <mergeCell ref="AC104:AC107"/>
    <mergeCell ref="AD104:AD107"/>
    <mergeCell ref="AE104:AE107"/>
    <mergeCell ref="AF104:AF107"/>
    <mergeCell ref="U104:U107"/>
    <mergeCell ref="V104:V107"/>
    <mergeCell ref="W104:W107"/>
    <mergeCell ref="X104:X107"/>
    <mergeCell ref="Y104:Y107"/>
    <mergeCell ref="Z104:Z107"/>
    <mergeCell ref="O104:O107"/>
    <mergeCell ref="P104:P107"/>
    <mergeCell ref="Q104:Q107"/>
    <mergeCell ref="R104:R107"/>
    <mergeCell ref="S104:S107"/>
    <mergeCell ref="T104:T107"/>
    <mergeCell ref="I104:I107"/>
    <mergeCell ref="J104:J107"/>
    <mergeCell ref="K104:K107"/>
    <mergeCell ref="L104:L107"/>
    <mergeCell ref="M104:M107"/>
    <mergeCell ref="N104:N107"/>
    <mergeCell ref="D104:D107"/>
    <mergeCell ref="E104:E107"/>
    <mergeCell ref="F104:F107"/>
    <mergeCell ref="G104:G107"/>
    <mergeCell ref="H104:H107"/>
    <mergeCell ref="CI100:CI103"/>
    <mergeCell ref="CJ100:CJ103"/>
    <mergeCell ref="CK100:CK103"/>
    <mergeCell ref="CL100:CL103"/>
    <mergeCell ref="CM100:CM103"/>
    <mergeCell ref="CN100:CN103"/>
    <mergeCell ref="CC100:CC103"/>
    <mergeCell ref="CD100:CD103"/>
    <mergeCell ref="CE100:CE103"/>
    <mergeCell ref="CF100:CF103"/>
    <mergeCell ref="CG100:CG103"/>
    <mergeCell ref="CH100:CH103"/>
    <mergeCell ref="BW100:BW103"/>
    <mergeCell ref="BX100:BX103"/>
    <mergeCell ref="BY100:BY103"/>
    <mergeCell ref="BZ100:BZ103"/>
    <mergeCell ref="CA100:CA103"/>
    <mergeCell ref="CB100:CB103"/>
    <mergeCell ref="BQ100:BQ103"/>
    <mergeCell ref="BR100:BR103"/>
    <mergeCell ref="BS100:BS103"/>
    <mergeCell ref="BT100:BT103"/>
    <mergeCell ref="BU100:BU103"/>
    <mergeCell ref="BV100:BV103"/>
    <mergeCell ref="BK100:BK103"/>
    <mergeCell ref="BL100:BL103"/>
    <mergeCell ref="BM100:BM103"/>
    <mergeCell ref="BN100:BN103"/>
    <mergeCell ref="BO100:BO103"/>
    <mergeCell ref="BP100:BP103"/>
    <mergeCell ref="BE100:BE103"/>
    <mergeCell ref="BF100:BF103"/>
    <mergeCell ref="BG100:BG103"/>
    <mergeCell ref="BH100:BH103"/>
    <mergeCell ref="BI100:BI103"/>
    <mergeCell ref="BJ100:BJ103"/>
    <mergeCell ref="AY100:AY103"/>
    <mergeCell ref="AZ100:AZ103"/>
    <mergeCell ref="BA100:BA103"/>
    <mergeCell ref="BB100:BB103"/>
    <mergeCell ref="BC100:BC103"/>
    <mergeCell ref="BD100:BD103"/>
    <mergeCell ref="AS100:AS103"/>
    <mergeCell ref="AT100:AT103"/>
    <mergeCell ref="AU100:AU103"/>
    <mergeCell ref="AV100:AV103"/>
    <mergeCell ref="AW100:AW103"/>
    <mergeCell ref="AX100:AX103"/>
    <mergeCell ref="AM100:AM103"/>
    <mergeCell ref="AN100:AN103"/>
    <mergeCell ref="AO100:AO103"/>
    <mergeCell ref="AP100:AP103"/>
    <mergeCell ref="AQ100:AQ103"/>
    <mergeCell ref="AR100:AR103"/>
    <mergeCell ref="AG100:AG103"/>
    <mergeCell ref="AH100:AH103"/>
    <mergeCell ref="AI100:AI103"/>
    <mergeCell ref="AJ100:AJ103"/>
    <mergeCell ref="AK100:AK103"/>
    <mergeCell ref="AL100:AL103"/>
    <mergeCell ref="AA100:AA103"/>
    <mergeCell ref="AB100:AB103"/>
    <mergeCell ref="AC100:AC103"/>
    <mergeCell ref="AD100:AD103"/>
    <mergeCell ref="AE100:AE103"/>
    <mergeCell ref="AF100:AF103"/>
    <mergeCell ref="U100:U103"/>
    <mergeCell ref="V100:V103"/>
    <mergeCell ref="W100:W103"/>
    <mergeCell ref="X100:X103"/>
    <mergeCell ref="Y100:Y103"/>
    <mergeCell ref="Z100:Z103"/>
    <mergeCell ref="O100:O103"/>
    <mergeCell ref="P100:P103"/>
    <mergeCell ref="Q100:Q103"/>
    <mergeCell ref="R100:R103"/>
    <mergeCell ref="S100:S103"/>
    <mergeCell ref="T100:T103"/>
    <mergeCell ref="I100:I103"/>
    <mergeCell ref="J100:J103"/>
    <mergeCell ref="K100:K103"/>
    <mergeCell ref="L100:L103"/>
    <mergeCell ref="M100:M103"/>
    <mergeCell ref="N100:N103"/>
    <mergeCell ref="D100:D103"/>
    <mergeCell ref="E100:E103"/>
    <mergeCell ref="F100:F103"/>
    <mergeCell ref="G100:G103"/>
    <mergeCell ref="H100:H103"/>
    <mergeCell ref="CI96:CI99"/>
    <mergeCell ref="CJ96:CJ99"/>
    <mergeCell ref="CK96:CK99"/>
    <mergeCell ref="CL96:CL99"/>
    <mergeCell ref="CM96:CM99"/>
    <mergeCell ref="CN96:CN99"/>
    <mergeCell ref="CC96:CC99"/>
    <mergeCell ref="CD96:CD99"/>
    <mergeCell ref="CE96:CE99"/>
    <mergeCell ref="CF96:CF99"/>
    <mergeCell ref="CG96:CG99"/>
    <mergeCell ref="CH96:CH99"/>
    <mergeCell ref="BW96:BW99"/>
    <mergeCell ref="BX96:BX99"/>
    <mergeCell ref="BY96:BY99"/>
    <mergeCell ref="BZ96:BZ99"/>
    <mergeCell ref="CA96:CA99"/>
    <mergeCell ref="CB96:CB99"/>
    <mergeCell ref="BQ96:BQ99"/>
    <mergeCell ref="BR96:BR99"/>
    <mergeCell ref="BS96:BS99"/>
    <mergeCell ref="BT96:BT99"/>
    <mergeCell ref="BU96:BU99"/>
    <mergeCell ref="BV96:BV99"/>
    <mergeCell ref="BK96:BK99"/>
    <mergeCell ref="BL96:BL99"/>
    <mergeCell ref="BM96:BM99"/>
    <mergeCell ref="BN96:BN99"/>
    <mergeCell ref="BO96:BO99"/>
    <mergeCell ref="BP96:BP99"/>
    <mergeCell ref="BE96:BE99"/>
    <mergeCell ref="BF96:BF99"/>
    <mergeCell ref="BG96:BG99"/>
    <mergeCell ref="BH96:BH99"/>
    <mergeCell ref="BI96:BI99"/>
    <mergeCell ref="BJ96:BJ99"/>
    <mergeCell ref="AY96:AY99"/>
    <mergeCell ref="AZ96:AZ99"/>
    <mergeCell ref="BA96:BA99"/>
    <mergeCell ref="BB96:BB99"/>
    <mergeCell ref="BC96:BC99"/>
    <mergeCell ref="BD96:BD99"/>
    <mergeCell ref="AS96:AS99"/>
    <mergeCell ref="AT96:AT99"/>
    <mergeCell ref="AU96:AU99"/>
    <mergeCell ref="AV96:AV99"/>
    <mergeCell ref="AW96:AW99"/>
    <mergeCell ref="AX96:AX99"/>
    <mergeCell ref="AM96:AM99"/>
    <mergeCell ref="AN96:AN99"/>
    <mergeCell ref="AO96:AO99"/>
    <mergeCell ref="AP96:AP99"/>
    <mergeCell ref="AQ96:AQ99"/>
    <mergeCell ref="AR96:AR99"/>
    <mergeCell ref="AG96:AG99"/>
    <mergeCell ref="AH96:AH99"/>
    <mergeCell ref="AI96:AI99"/>
    <mergeCell ref="AJ96:AJ99"/>
    <mergeCell ref="AK96:AK99"/>
    <mergeCell ref="AL96:AL99"/>
    <mergeCell ref="AA96:AA99"/>
    <mergeCell ref="AB96:AB99"/>
    <mergeCell ref="AC96:AC99"/>
    <mergeCell ref="AD96:AD99"/>
    <mergeCell ref="AE96:AE99"/>
    <mergeCell ref="AF96:AF99"/>
    <mergeCell ref="U96:U99"/>
    <mergeCell ref="V96:V99"/>
    <mergeCell ref="W96:W99"/>
    <mergeCell ref="X96:X99"/>
    <mergeCell ref="Y96:Y99"/>
    <mergeCell ref="Z96:Z99"/>
    <mergeCell ref="O96:O99"/>
    <mergeCell ref="P96:P99"/>
    <mergeCell ref="Q96:Q99"/>
    <mergeCell ref="R96:R99"/>
    <mergeCell ref="S96:S99"/>
    <mergeCell ref="T96:T99"/>
    <mergeCell ref="I96:I99"/>
    <mergeCell ref="J96:J99"/>
    <mergeCell ref="K96:K99"/>
    <mergeCell ref="L96:L99"/>
    <mergeCell ref="M96:M99"/>
    <mergeCell ref="N96:N99"/>
    <mergeCell ref="D96:D99"/>
    <mergeCell ref="E96:E99"/>
    <mergeCell ref="F96:F99"/>
    <mergeCell ref="G96:G99"/>
    <mergeCell ref="H96:H99"/>
    <mergeCell ref="CI92:CI95"/>
    <mergeCell ref="CJ92:CJ95"/>
    <mergeCell ref="CK92:CK95"/>
    <mergeCell ref="CL92:CL95"/>
    <mergeCell ref="CM92:CM95"/>
    <mergeCell ref="CN92:CN95"/>
    <mergeCell ref="CC92:CC95"/>
    <mergeCell ref="CD92:CD95"/>
    <mergeCell ref="CE92:CE95"/>
    <mergeCell ref="CF92:CF95"/>
    <mergeCell ref="CG92:CG95"/>
    <mergeCell ref="CH92:CH95"/>
    <mergeCell ref="BW92:BW95"/>
    <mergeCell ref="BX92:BX95"/>
    <mergeCell ref="BY92:BY95"/>
    <mergeCell ref="BZ92:BZ95"/>
    <mergeCell ref="CA92:CA95"/>
    <mergeCell ref="CB92:CB95"/>
    <mergeCell ref="BQ92:BQ95"/>
    <mergeCell ref="BR92:BR95"/>
    <mergeCell ref="BS92:BS95"/>
    <mergeCell ref="BT92:BT95"/>
    <mergeCell ref="BU92:BU95"/>
    <mergeCell ref="BV92:BV95"/>
    <mergeCell ref="BK92:BK95"/>
    <mergeCell ref="BL92:BL95"/>
    <mergeCell ref="BM92:BM95"/>
    <mergeCell ref="BN92:BN95"/>
    <mergeCell ref="BO92:BO95"/>
    <mergeCell ref="BP92:BP95"/>
    <mergeCell ref="BE92:BE95"/>
    <mergeCell ref="BF92:BF95"/>
    <mergeCell ref="BG92:BG95"/>
    <mergeCell ref="BH92:BH95"/>
    <mergeCell ref="BI92:BI95"/>
    <mergeCell ref="BJ92:BJ95"/>
    <mergeCell ref="AY92:AY95"/>
    <mergeCell ref="AZ92:AZ95"/>
    <mergeCell ref="BA92:BA95"/>
    <mergeCell ref="BB92:BB95"/>
    <mergeCell ref="BC92:BC95"/>
    <mergeCell ref="BD92:BD95"/>
    <mergeCell ref="AS92:AS95"/>
    <mergeCell ref="AT92:AT95"/>
    <mergeCell ref="AU92:AU95"/>
    <mergeCell ref="AV92:AV95"/>
    <mergeCell ref="AW92:AW95"/>
    <mergeCell ref="AX92:AX95"/>
    <mergeCell ref="AM92:AM95"/>
    <mergeCell ref="AN92:AN95"/>
    <mergeCell ref="AO92:AO95"/>
    <mergeCell ref="AP92:AP95"/>
    <mergeCell ref="AQ92:AQ95"/>
    <mergeCell ref="AR92:AR95"/>
    <mergeCell ref="AG92:AG95"/>
    <mergeCell ref="AH92:AH95"/>
    <mergeCell ref="AI92:AI95"/>
    <mergeCell ref="AJ92:AJ95"/>
    <mergeCell ref="AK92:AK95"/>
    <mergeCell ref="AL92:AL95"/>
    <mergeCell ref="AA92:AA95"/>
    <mergeCell ref="AB92:AB95"/>
    <mergeCell ref="AC92:AC95"/>
    <mergeCell ref="AD92:AD95"/>
    <mergeCell ref="AE92:AE95"/>
    <mergeCell ref="AF92:AF95"/>
    <mergeCell ref="U92:U95"/>
    <mergeCell ref="V92:V95"/>
    <mergeCell ref="W92:W95"/>
    <mergeCell ref="X92:X95"/>
    <mergeCell ref="Y92:Y95"/>
    <mergeCell ref="Z92:Z95"/>
    <mergeCell ref="O92:O95"/>
    <mergeCell ref="P92:P95"/>
    <mergeCell ref="Q92:Q95"/>
    <mergeCell ref="R92:R95"/>
    <mergeCell ref="S92:S95"/>
    <mergeCell ref="T92:T95"/>
    <mergeCell ref="I92:I95"/>
    <mergeCell ref="J92:J95"/>
    <mergeCell ref="K92:K95"/>
    <mergeCell ref="L92:L95"/>
    <mergeCell ref="M92:M95"/>
    <mergeCell ref="N92:N95"/>
    <mergeCell ref="D92:D95"/>
    <mergeCell ref="E92:E95"/>
    <mergeCell ref="F92:F95"/>
    <mergeCell ref="G92:G95"/>
    <mergeCell ref="H92:H95"/>
    <mergeCell ref="CI88:CI91"/>
    <mergeCell ref="CJ88:CJ91"/>
    <mergeCell ref="CK88:CK91"/>
    <mergeCell ref="CL88:CL91"/>
    <mergeCell ref="CM88:CM91"/>
    <mergeCell ref="CN88:CN91"/>
    <mergeCell ref="CC88:CC91"/>
    <mergeCell ref="CD88:CD91"/>
    <mergeCell ref="CE88:CE91"/>
    <mergeCell ref="CF88:CF91"/>
    <mergeCell ref="CG88:CG91"/>
    <mergeCell ref="CH88:CH91"/>
    <mergeCell ref="BW88:BW91"/>
    <mergeCell ref="BX88:BX91"/>
    <mergeCell ref="BY88:BY91"/>
    <mergeCell ref="BZ88:BZ91"/>
    <mergeCell ref="CA88:CA91"/>
    <mergeCell ref="CB88:CB91"/>
    <mergeCell ref="BQ88:BQ91"/>
    <mergeCell ref="BR88:BR91"/>
    <mergeCell ref="BS88:BS91"/>
    <mergeCell ref="BT88:BT91"/>
    <mergeCell ref="BU88:BU91"/>
    <mergeCell ref="BV88:BV91"/>
    <mergeCell ref="BK88:BK91"/>
    <mergeCell ref="BL88:BL91"/>
    <mergeCell ref="BM88:BM91"/>
    <mergeCell ref="BN88:BN91"/>
    <mergeCell ref="BO88:BO91"/>
    <mergeCell ref="BP88:BP91"/>
    <mergeCell ref="BE88:BE91"/>
    <mergeCell ref="BF88:BF91"/>
    <mergeCell ref="BG88:BG91"/>
    <mergeCell ref="BH88:BH91"/>
    <mergeCell ref="BI88:BI91"/>
    <mergeCell ref="BJ88:BJ91"/>
    <mergeCell ref="AY88:AY91"/>
    <mergeCell ref="AZ88:AZ91"/>
    <mergeCell ref="BA88:BA91"/>
    <mergeCell ref="BB88:BB91"/>
    <mergeCell ref="BC88:BC91"/>
    <mergeCell ref="BD88:BD91"/>
    <mergeCell ref="AS88:AS91"/>
    <mergeCell ref="AT88:AT91"/>
    <mergeCell ref="AU88:AU91"/>
    <mergeCell ref="AV88:AV91"/>
    <mergeCell ref="AW88:AW91"/>
    <mergeCell ref="AX88:AX91"/>
    <mergeCell ref="AM88:AM91"/>
    <mergeCell ref="AN88:AN91"/>
    <mergeCell ref="AO88:AO91"/>
    <mergeCell ref="AP88:AP91"/>
    <mergeCell ref="AQ88:AQ91"/>
    <mergeCell ref="AR88:AR91"/>
    <mergeCell ref="AG88:AG91"/>
    <mergeCell ref="AH88:AH91"/>
    <mergeCell ref="AI88:AI91"/>
    <mergeCell ref="AJ88:AJ91"/>
    <mergeCell ref="AK88:AK91"/>
    <mergeCell ref="AL88:AL91"/>
    <mergeCell ref="AA88:AA91"/>
    <mergeCell ref="AB88:AB91"/>
    <mergeCell ref="AC88:AC91"/>
    <mergeCell ref="AD88:AD91"/>
    <mergeCell ref="AE88:AE91"/>
    <mergeCell ref="AF88:AF91"/>
    <mergeCell ref="U88:U91"/>
    <mergeCell ref="V88:V91"/>
    <mergeCell ref="W88:W91"/>
    <mergeCell ref="X88:X91"/>
    <mergeCell ref="Y88:Y91"/>
    <mergeCell ref="Z88:Z91"/>
    <mergeCell ref="O88:O91"/>
    <mergeCell ref="P88:P91"/>
    <mergeCell ref="Q88:Q91"/>
    <mergeCell ref="R88:R91"/>
    <mergeCell ref="S88:S91"/>
    <mergeCell ref="T88:T91"/>
    <mergeCell ref="I88:I91"/>
    <mergeCell ref="J88:J91"/>
    <mergeCell ref="K88:K91"/>
    <mergeCell ref="L88:L91"/>
    <mergeCell ref="M88:M91"/>
    <mergeCell ref="N88:N91"/>
    <mergeCell ref="D88:D91"/>
    <mergeCell ref="E88:E91"/>
    <mergeCell ref="F88:F91"/>
    <mergeCell ref="G88:G91"/>
    <mergeCell ref="H88:H91"/>
    <mergeCell ref="CI84:CI87"/>
    <mergeCell ref="CJ84:CJ87"/>
    <mergeCell ref="CK84:CK87"/>
    <mergeCell ref="CL84:CL87"/>
    <mergeCell ref="CM84:CM87"/>
    <mergeCell ref="CN84:CN87"/>
    <mergeCell ref="CC84:CC87"/>
    <mergeCell ref="CD84:CD87"/>
    <mergeCell ref="CE84:CE87"/>
    <mergeCell ref="CF84:CF87"/>
    <mergeCell ref="CG84:CG87"/>
    <mergeCell ref="CH84:CH87"/>
    <mergeCell ref="BW84:BW87"/>
    <mergeCell ref="BX84:BX87"/>
    <mergeCell ref="BY84:BY87"/>
    <mergeCell ref="BZ84:BZ87"/>
    <mergeCell ref="CA84:CA87"/>
    <mergeCell ref="CB84:CB87"/>
    <mergeCell ref="BQ84:BQ87"/>
    <mergeCell ref="BR84:BR87"/>
    <mergeCell ref="BS84:BS87"/>
    <mergeCell ref="BT84:BT87"/>
    <mergeCell ref="BU84:BU87"/>
    <mergeCell ref="BV84:BV87"/>
    <mergeCell ref="BK84:BK87"/>
    <mergeCell ref="BL84:BL87"/>
    <mergeCell ref="BM84:BM87"/>
    <mergeCell ref="BN84:BN87"/>
    <mergeCell ref="BO84:BO87"/>
    <mergeCell ref="BP84:BP87"/>
    <mergeCell ref="BE84:BE87"/>
    <mergeCell ref="BF84:BF87"/>
    <mergeCell ref="BG84:BG87"/>
    <mergeCell ref="BH84:BH87"/>
    <mergeCell ref="BI84:BI87"/>
    <mergeCell ref="BJ84:BJ87"/>
    <mergeCell ref="AY84:AY87"/>
    <mergeCell ref="AZ84:AZ87"/>
    <mergeCell ref="BA84:BA87"/>
    <mergeCell ref="BB84:BB87"/>
    <mergeCell ref="BC84:BC87"/>
    <mergeCell ref="BD84:BD87"/>
    <mergeCell ref="AS84:AS87"/>
    <mergeCell ref="AT84:AT87"/>
    <mergeCell ref="AU84:AU87"/>
    <mergeCell ref="AV84:AV87"/>
    <mergeCell ref="AW84:AW87"/>
    <mergeCell ref="AX84:AX87"/>
    <mergeCell ref="AM84:AM87"/>
    <mergeCell ref="AN84:AN87"/>
    <mergeCell ref="AO84:AO87"/>
    <mergeCell ref="AP84:AP87"/>
    <mergeCell ref="AQ84:AQ87"/>
    <mergeCell ref="AR84:AR87"/>
    <mergeCell ref="AG84:AG87"/>
    <mergeCell ref="AH84:AH87"/>
    <mergeCell ref="AI84:AI87"/>
    <mergeCell ref="AJ84:AJ87"/>
    <mergeCell ref="AK84:AK87"/>
    <mergeCell ref="AL84:AL87"/>
    <mergeCell ref="AA84:AA87"/>
    <mergeCell ref="AB84:AB87"/>
    <mergeCell ref="AC84:AC87"/>
    <mergeCell ref="AD84:AD87"/>
    <mergeCell ref="AE84:AE87"/>
    <mergeCell ref="AF84:AF87"/>
    <mergeCell ref="U84:U87"/>
    <mergeCell ref="V84:V87"/>
    <mergeCell ref="W84:W87"/>
    <mergeCell ref="X84:X87"/>
    <mergeCell ref="Y84:Y87"/>
    <mergeCell ref="Z84:Z87"/>
    <mergeCell ref="O84:O87"/>
    <mergeCell ref="P84:P87"/>
    <mergeCell ref="Q84:Q87"/>
    <mergeCell ref="R84:R87"/>
    <mergeCell ref="S84:S87"/>
    <mergeCell ref="T84:T87"/>
    <mergeCell ref="I84:I87"/>
    <mergeCell ref="J84:J87"/>
    <mergeCell ref="K84:K87"/>
    <mergeCell ref="L84:L87"/>
    <mergeCell ref="M84:M87"/>
    <mergeCell ref="N84:N87"/>
    <mergeCell ref="D84:D87"/>
    <mergeCell ref="E84:E87"/>
    <mergeCell ref="F84:F87"/>
    <mergeCell ref="G84:G87"/>
    <mergeCell ref="H84:H87"/>
    <mergeCell ref="CI80:CI83"/>
    <mergeCell ref="CJ80:CJ83"/>
    <mergeCell ref="CK80:CK83"/>
    <mergeCell ref="CL80:CL83"/>
    <mergeCell ref="CM80:CM83"/>
    <mergeCell ref="CN80:CN83"/>
    <mergeCell ref="CC80:CC83"/>
    <mergeCell ref="CD80:CD83"/>
    <mergeCell ref="CE80:CE83"/>
    <mergeCell ref="CF80:CF83"/>
    <mergeCell ref="CG80:CG83"/>
    <mergeCell ref="CH80:CH83"/>
    <mergeCell ref="BW80:BW83"/>
    <mergeCell ref="BX80:BX83"/>
    <mergeCell ref="BY80:BY83"/>
    <mergeCell ref="BZ80:BZ83"/>
    <mergeCell ref="CA80:CA83"/>
    <mergeCell ref="CB80:CB83"/>
    <mergeCell ref="BQ80:BQ83"/>
    <mergeCell ref="BR80:BR83"/>
    <mergeCell ref="BS80:BS83"/>
    <mergeCell ref="BT80:BT83"/>
    <mergeCell ref="BU80:BU83"/>
    <mergeCell ref="BV80:BV83"/>
    <mergeCell ref="BK80:BK83"/>
    <mergeCell ref="BL80:BL83"/>
    <mergeCell ref="BM80:BM83"/>
    <mergeCell ref="BN80:BN83"/>
    <mergeCell ref="BO80:BO83"/>
    <mergeCell ref="BP80:BP83"/>
    <mergeCell ref="BE80:BE83"/>
    <mergeCell ref="BF80:BF83"/>
    <mergeCell ref="BG80:BG83"/>
    <mergeCell ref="BH80:BH83"/>
    <mergeCell ref="BI80:BI83"/>
    <mergeCell ref="BJ80:BJ83"/>
    <mergeCell ref="AY80:AY83"/>
    <mergeCell ref="AZ80:AZ83"/>
    <mergeCell ref="BA80:BA83"/>
    <mergeCell ref="BB80:BB83"/>
    <mergeCell ref="BC80:BC83"/>
    <mergeCell ref="BD80:BD83"/>
    <mergeCell ref="AS80:AS83"/>
    <mergeCell ref="AT80:AT83"/>
    <mergeCell ref="AU80:AU83"/>
    <mergeCell ref="AV80:AV83"/>
    <mergeCell ref="AW80:AW83"/>
    <mergeCell ref="AX80:AX83"/>
    <mergeCell ref="AM80:AM83"/>
    <mergeCell ref="AN80:AN83"/>
    <mergeCell ref="AO80:AO83"/>
    <mergeCell ref="AP80:AP83"/>
    <mergeCell ref="AQ80:AQ83"/>
    <mergeCell ref="AR80:AR83"/>
    <mergeCell ref="AG80:AG83"/>
    <mergeCell ref="AH80:AH83"/>
    <mergeCell ref="AI80:AI83"/>
    <mergeCell ref="AJ80:AJ83"/>
    <mergeCell ref="AK80:AK83"/>
    <mergeCell ref="AL80:AL83"/>
    <mergeCell ref="AA80:AA83"/>
    <mergeCell ref="AB80:AB83"/>
    <mergeCell ref="AC80:AC83"/>
    <mergeCell ref="AD80:AD83"/>
    <mergeCell ref="AE80:AE83"/>
    <mergeCell ref="AF80:AF83"/>
    <mergeCell ref="U80:U83"/>
    <mergeCell ref="V80:V83"/>
    <mergeCell ref="W80:W83"/>
    <mergeCell ref="X80:X83"/>
    <mergeCell ref="Y80:Y83"/>
    <mergeCell ref="Z80:Z83"/>
    <mergeCell ref="O80:O83"/>
    <mergeCell ref="P80:P83"/>
    <mergeCell ref="Q80:Q83"/>
    <mergeCell ref="R80:R83"/>
    <mergeCell ref="S80:S83"/>
    <mergeCell ref="T80:T83"/>
    <mergeCell ref="I80:I83"/>
    <mergeCell ref="J80:J83"/>
    <mergeCell ref="K80:K83"/>
    <mergeCell ref="L80:L83"/>
    <mergeCell ref="M80:M83"/>
    <mergeCell ref="N80:N83"/>
    <mergeCell ref="D80:D83"/>
    <mergeCell ref="E80:E83"/>
    <mergeCell ref="F80:F83"/>
    <mergeCell ref="G80:G83"/>
    <mergeCell ref="H80:H83"/>
    <mergeCell ref="CI76:CI79"/>
    <mergeCell ref="CJ76:CJ79"/>
    <mergeCell ref="CK76:CK79"/>
    <mergeCell ref="CL76:CL79"/>
    <mergeCell ref="CM76:CM79"/>
    <mergeCell ref="CN76:CN79"/>
    <mergeCell ref="CC76:CC79"/>
    <mergeCell ref="CD76:CD79"/>
    <mergeCell ref="CE76:CE79"/>
    <mergeCell ref="CF76:CF79"/>
    <mergeCell ref="CG76:CG79"/>
    <mergeCell ref="CH76:CH79"/>
    <mergeCell ref="BW76:BW79"/>
    <mergeCell ref="BX76:BX79"/>
    <mergeCell ref="BY76:BY79"/>
    <mergeCell ref="BZ76:BZ79"/>
    <mergeCell ref="CA76:CA79"/>
    <mergeCell ref="CB76:CB79"/>
    <mergeCell ref="BQ76:BQ79"/>
    <mergeCell ref="BR76:BR79"/>
    <mergeCell ref="BS76:BS79"/>
    <mergeCell ref="BT76:BT79"/>
    <mergeCell ref="BU76:BU79"/>
    <mergeCell ref="BV76:BV79"/>
    <mergeCell ref="BK76:BK79"/>
    <mergeCell ref="BL76:BL79"/>
    <mergeCell ref="BM76:BM79"/>
    <mergeCell ref="BN76:BN79"/>
    <mergeCell ref="BO76:BO79"/>
    <mergeCell ref="BP76:BP79"/>
    <mergeCell ref="BE76:BE79"/>
    <mergeCell ref="BF76:BF79"/>
    <mergeCell ref="BG76:BG79"/>
    <mergeCell ref="BH76:BH79"/>
    <mergeCell ref="BI76:BI79"/>
    <mergeCell ref="BJ76:BJ79"/>
    <mergeCell ref="AY76:AY79"/>
    <mergeCell ref="AZ76:AZ79"/>
    <mergeCell ref="BA76:BA79"/>
    <mergeCell ref="BB76:BB79"/>
    <mergeCell ref="BC76:BC79"/>
    <mergeCell ref="BD76:BD79"/>
    <mergeCell ref="AS76:AS79"/>
    <mergeCell ref="AT76:AT79"/>
    <mergeCell ref="AU76:AU79"/>
    <mergeCell ref="AV76:AV79"/>
    <mergeCell ref="AW76:AW79"/>
    <mergeCell ref="AX76:AX79"/>
    <mergeCell ref="AM76:AM79"/>
    <mergeCell ref="AN76:AN79"/>
    <mergeCell ref="AO76:AO79"/>
    <mergeCell ref="AP76:AP79"/>
    <mergeCell ref="AQ76:AQ79"/>
    <mergeCell ref="AR76:AR79"/>
    <mergeCell ref="AH76:AH79"/>
    <mergeCell ref="AI76:AI79"/>
    <mergeCell ref="AJ76:AJ79"/>
    <mergeCell ref="AK76:AK79"/>
    <mergeCell ref="AL76:AL79"/>
    <mergeCell ref="AA76:AA79"/>
    <mergeCell ref="AB76:AB79"/>
    <mergeCell ref="AC76:AC79"/>
    <mergeCell ref="AD76:AD79"/>
    <mergeCell ref="AE76:AE79"/>
    <mergeCell ref="AF76:AF79"/>
    <mergeCell ref="U76:U79"/>
    <mergeCell ref="V76:V79"/>
    <mergeCell ref="W76:W79"/>
    <mergeCell ref="X76:X79"/>
    <mergeCell ref="Y76:Y79"/>
    <mergeCell ref="Z76:Z79"/>
    <mergeCell ref="O76:O79"/>
    <mergeCell ref="P76:P79"/>
    <mergeCell ref="Q76:Q79"/>
    <mergeCell ref="R76:R79"/>
    <mergeCell ref="S76:S79"/>
    <mergeCell ref="T76:T79"/>
    <mergeCell ref="I76:I79"/>
    <mergeCell ref="J76:J79"/>
    <mergeCell ref="K76:K79"/>
    <mergeCell ref="L76:L79"/>
    <mergeCell ref="M76:M79"/>
    <mergeCell ref="N76:N79"/>
    <mergeCell ref="CL72:CL75"/>
    <mergeCell ref="CM72:CM75"/>
    <mergeCell ref="CN72:CN75"/>
    <mergeCell ref="EY72:EY75"/>
    <mergeCell ref="D76:D79"/>
    <mergeCell ref="E76:E79"/>
    <mergeCell ref="F76:F79"/>
    <mergeCell ref="G76:G79"/>
    <mergeCell ref="H76:H79"/>
    <mergeCell ref="CF72:CF75"/>
    <mergeCell ref="CG72:CG75"/>
    <mergeCell ref="CH72:CH75"/>
    <mergeCell ref="CI72:CI75"/>
    <mergeCell ref="CJ72:CJ75"/>
    <mergeCell ref="CK72:CK75"/>
    <mergeCell ref="BZ72:BZ75"/>
    <mergeCell ref="CA72:CA75"/>
    <mergeCell ref="CB72:CB75"/>
    <mergeCell ref="CC72:CC75"/>
    <mergeCell ref="AG76:AG79"/>
    <mergeCell ref="CD72:CD75"/>
    <mergeCell ref="CE72:CE75"/>
    <mergeCell ref="BT72:BT75"/>
    <mergeCell ref="BU72:BU75"/>
    <mergeCell ref="BV72:BV75"/>
    <mergeCell ref="BW72:BW75"/>
    <mergeCell ref="BX72:BX75"/>
    <mergeCell ref="BY72:BY75"/>
    <mergeCell ref="BN72:BN75"/>
    <mergeCell ref="BO72:BO75"/>
    <mergeCell ref="BP72:BP75"/>
    <mergeCell ref="BQ72:BQ75"/>
    <mergeCell ref="BR72:BR75"/>
    <mergeCell ref="BS72:BS75"/>
    <mergeCell ref="BH72:BH75"/>
    <mergeCell ref="BI72:BI75"/>
    <mergeCell ref="BJ72:BJ75"/>
    <mergeCell ref="BK72:BK75"/>
    <mergeCell ref="BL72:BL75"/>
    <mergeCell ref="BM72:BM75"/>
    <mergeCell ref="BB72:BB75"/>
    <mergeCell ref="BC72:BC75"/>
    <mergeCell ref="BD72:BD75"/>
    <mergeCell ref="BE72:BE75"/>
    <mergeCell ref="BF72:BF75"/>
    <mergeCell ref="BG72:BG75"/>
    <mergeCell ref="AV72:AV75"/>
    <mergeCell ref="AW72:AW75"/>
    <mergeCell ref="AX72:AX75"/>
    <mergeCell ref="AY72:AY75"/>
    <mergeCell ref="AZ72:AZ75"/>
    <mergeCell ref="BA72:BA75"/>
    <mergeCell ref="AP72:AP75"/>
    <mergeCell ref="AQ72:AQ75"/>
    <mergeCell ref="AR72:AR75"/>
    <mergeCell ref="AS72:AS75"/>
    <mergeCell ref="AT72:AT75"/>
    <mergeCell ref="AU72:AU75"/>
    <mergeCell ref="AK72:AK75"/>
    <mergeCell ref="AL72:AL75"/>
    <mergeCell ref="AM72:AM75"/>
    <mergeCell ref="AN72:AN75"/>
    <mergeCell ref="AO72:AO75"/>
    <mergeCell ref="AD72:AD75"/>
    <mergeCell ref="AE72:AE75"/>
    <mergeCell ref="AF72:AF75"/>
    <mergeCell ref="AG72:AG75"/>
    <mergeCell ref="AH72:AH75"/>
    <mergeCell ref="AI72:AI75"/>
    <mergeCell ref="X72:X75"/>
    <mergeCell ref="Y72:Y75"/>
    <mergeCell ref="Z72:Z75"/>
    <mergeCell ref="AA72:AA75"/>
    <mergeCell ref="AB72:AB75"/>
    <mergeCell ref="AC72:AC75"/>
    <mergeCell ref="R72:R75"/>
    <mergeCell ref="S72:S75"/>
    <mergeCell ref="T72:T75"/>
    <mergeCell ref="U72:U75"/>
    <mergeCell ref="V72:V75"/>
    <mergeCell ref="W72:W75"/>
    <mergeCell ref="L72:L75"/>
    <mergeCell ref="M72:M75"/>
    <mergeCell ref="N72:N75"/>
    <mergeCell ref="O72:O75"/>
    <mergeCell ref="P72:P75"/>
    <mergeCell ref="Q72:Q75"/>
    <mergeCell ref="EY68:EY71"/>
    <mergeCell ref="D72:D75"/>
    <mergeCell ref="E72:E75"/>
    <mergeCell ref="F72:F75"/>
    <mergeCell ref="G72:G75"/>
    <mergeCell ref="H72:H75"/>
    <mergeCell ref="I72:I75"/>
    <mergeCell ref="J72:J75"/>
    <mergeCell ref="K72:K75"/>
    <mergeCell ref="CI68:CI71"/>
    <mergeCell ref="CJ68:CJ71"/>
    <mergeCell ref="CK68:CK71"/>
    <mergeCell ref="CL68:CL71"/>
    <mergeCell ref="CM68:CM71"/>
    <mergeCell ref="CN68:CN71"/>
    <mergeCell ref="CC68:CC71"/>
    <mergeCell ref="CD68:CD71"/>
    <mergeCell ref="CE68:CE71"/>
    <mergeCell ref="CF68:CF71"/>
    <mergeCell ref="AJ72:AJ75"/>
    <mergeCell ref="CG68:CG71"/>
    <mergeCell ref="CH68:CH71"/>
    <mergeCell ref="BW68:BW71"/>
    <mergeCell ref="BX68:BX71"/>
    <mergeCell ref="BY68:BY71"/>
    <mergeCell ref="BZ68:BZ71"/>
    <mergeCell ref="CA68:CA71"/>
    <mergeCell ref="CB68:CB71"/>
    <mergeCell ref="BQ68:BQ71"/>
    <mergeCell ref="BR68:BR71"/>
    <mergeCell ref="BS68:BS71"/>
    <mergeCell ref="BT68:BT71"/>
    <mergeCell ref="BU68:BU71"/>
    <mergeCell ref="BV68:BV71"/>
    <mergeCell ref="BK68:BK71"/>
    <mergeCell ref="BL68:BL71"/>
    <mergeCell ref="BM68:BM71"/>
    <mergeCell ref="BN68:BN71"/>
    <mergeCell ref="BO68:BO71"/>
    <mergeCell ref="BP68:BP71"/>
    <mergeCell ref="BE68:BE71"/>
    <mergeCell ref="BF68:BF71"/>
    <mergeCell ref="BG68:BG71"/>
    <mergeCell ref="BH68:BH71"/>
    <mergeCell ref="BI68:BI71"/>
    <mergeCell ref="BJ68:BJ71"/>
    <mergeCell ref="AY68:AY71"/>
    <mergeCell ref="AZ68:AZ71"/>
    <mergeCell ref="BA68:BA71"/>
    <mergeCell ref="BB68:BB71"/>
    <mergeCell ref="BC68:BC71"/>
    <mergeCell ref="BD68:BD71"/>
    <mergeCell ref="AS68:AS71"/>
    <mergeCell ref="AT68:AT71"/>
    <mergeCell ref="AU68:AU71"/>
    <mergeCell ref="AV68:AV71"/>
    <mergeCell ref="AW68:AW71"/>
    <mergeCell ref="AX68:AX71"/>
    <mergeCell ref="AM68:AM71"/>
    <mergeCell ref="AN68:AN71"/>
    <mergeCell ref="AO68:AO71"/>
    <mergeCell ref="AP68:AP71"/>
    <mergeCell ref="AQ68:AQ71"/>
    <mergeCell ref="AR68:AR71"/>
    <mergeCell ref="AG68:AG71"/>
    <mergeCell ref="AH68:AH71"/>
    <mergeCell ref="AI68:AI71"/>
    <mergeCell ref="AJ68:AJ71"/>
    <mergeCell ref="AK68:AK71"/>
    <mergeCell ref="AL68:AL71"/>
    <mergeCell ref="AA68:AA71"/>
    <mergeCell ref="AB68:AB71"/>
    <mergeCell ref="AC68:AC71"/>
    <mergeCell ref="AD68:AD71"/>
    <mergeCell ref="AE68:AE71"/>
    <mergeCell ref="AF68:AF71"/>
    <mergeCell ref="V68:V71"/>
    <mergeCell ref="W68:W71"/>
    <mergeCell ref="X68:X71"/>
    <mergeCell ref="Y68:Y71"/>
    <mergeCell ref="Z68:Z71"/>
    <mergeCell ref="O68:O71"/>
    <mergeCell ref="P68:P71"/>
    <mergeCell ref="Q68:Q71"/>
    <mergeCell ref="R68:R71"/>
    <mergeCell ref="S68:S71"/>
    <mergeCell ref="T68:T71"/>
    <mergeCell ref="I68:I71"/>
    <mergeCell ref="J68:J71"/>
    <mergeCell ref="K68:K71"/>
    <mergeCell ref="L68:L71"/>
    <mergeCell ref="M68:M71"/>
    <mergeCell ref="N68:N71"/>
    <mergeCell ref="CL63:CL66"/>
    <mergeCell ref="CM63:CM66"/>
    <mergeCell ref="CN63:CN66"/>
    <mergeCell ref="EY63:EY67"/>
    <mergeCell ref="D68:D71"/>
    <mergeCell ref="E68:E71"/>
    <mergeCell ref="F68:F71"/>
    <mergeCell ref="G68:G71"/>
    <mergeCell ref="H68:H71"/>
    <mergeCell ref="CF63:CF66"/>
    <mergeCell ref="CG63:CG66"/>
    <mergeCell ref="CH63:CH66"/>
    <mergeCell ref="CI63:CI66"/>
    <mergeCell ref="CJ63:CJ66"/>
    <mergeCell ref="CK63:CK66"/>
    <mergeCell ref="BZ63:BZ66"/>
    <mergeCell ref="CA63:CA66"/>
    <mergeCell ref="CB63:CB66"/>
    <mergeCell ref="CC63:CC66"/>
    <mergeCell ref="CD63:CD66"/>
    <mergeCell ref="CE63:CE66"/>
    <mergeCell ref="BT63:BT66"/>
    <mergeCell ref="BU63:BU66"/>
    <mergeCell ref="BV63:BV66"/>
    <mergeCell ref="BW63:BW66"/>
    <mergeCell ref="BX63:BX66"/>
    <mergeCell ref="BY63:BY66"/>
    <mergeCell ref="BN63:BN66"/>
    <mergeCell ref="BO63:BO66"/>
    <mergeCell ref="BP63:BP66"/>
    <mergeCell ref="BQ63:BQ66"/>
    <mergeCell ref="U68:U71"/>
    <mergeCell ref="BR63:BR66"/>
    <mergeCell ref="BS63:BS66"/>
    <mergeCell ref="BH63:BH66"/>
    <mergeCell ref="BI63:BI66"/>
    <mergeCell ref="BJ63:BJ66"/>
    <mergeCell ref="BK63:BK66"/>
    <mergeCell ref="BL63:BL66"/>
    <mergeCell ref="BM63:BM66"/>
    <mergeCell ref="BB63:BB66"/>
    <mergeCell ref="BC63:BC66"/>
    <mergeCell ref="BD63:BD66"/>
    <mergeCell ref="BE63:BE66"/>
    <mergeCell ref="BF63:BF66"/>
    <mergeCell ref="BG63:BG66"/>
    <mergeCell ref="AV63:AV66"/>
    <mergeCell ref="AW63:AW66"/>
    <mergeCell ref="AX63:AX66"/>
    <mergeCell ref="AY63:AY66"/>
    <mergeCell ref="AZ63:AZ66"/>
    <mergeCell ref="BA63:BA66"/>
    <mergeCell ref="AP63:AP66"/>
    <mergeCell ref="AQ63:AQ66"/>
    <mergeCell ref="AR63:AR66"/>
    <mergeCell ref="AS63:AS66"/>
    <mergeCell ref="AT63:AT66"/>
    <mergeCell ref="AU63:AU66"/>
    <mergeCell ref="AJ63:AJ66"/>
    <mergeCell ref="AK63:AK66"/>
    <mergeCell ref="AL63:AL66"/>
    <mergeCell ref="AM63:AM66"/>
    <mergeCell ref="AN63:AN66"/>
    <mergeCell ref="AO63:AO66"/>
    <mergeCell ref="AD63:AD66"/>
    <mergeCell ref="AE63:AE66"/>
    <mergeCell ref="AF63:AF66"/>
    <mergeCell ref="AG63:AG66"/>
    <mergeCell ref="AH63:AH66"/>
    <mergeCell ref="AI63:AI66"/>
    <mergeCell ref="Y63:Y66"/>
    <mergeCell ref="Z63:Z66"/>
    <mergeCell ref="AA63:AA66"/>
    <mergeCell ref="AB63:AB66"/>
    <mergeCell ref="AC63:AC66"/>
    <mergeCell ref="R63:R66"/>
    <mergeCell ref="S63:S66"/>
    <mergeCell ref="T63:T66"/>
    <mergeCell ref="U63:U66"/>
    <mergeCell ref="V63:V66"/>
    <mergeCell ref="W63:W66"/>
    <mergeCell ref="L63:L66"/>
    <mergeCell ref="M63:M66"/>
    <mergeCell ref="N63:N66"/>
    <mergeCell ref="O63:O66"/>
    <mergeCell ref="P63:P66"/>
    <mergeCell ref="Q63:Q66"/>
    <mergeCell ref="EY59:EY62"/>
    <mergeCell ref="D63:D66"/>
    <mergeCell ref="E63:E66"/>
    <mergeCell ref="F63:F66"/>
    <mergeCell ref="G63:G66"/>
    <mergeCell ref="H63:H66"/>
    <mergeCell ref="I63:I66"/>
    <mergeCell ref="J63:J66"/>
    <mergeCell ref="K63:K66"/>
    <mergeCell ref="CI59:CI62"/>
    <mergeCell ref="CJ59:CJ62"/>
    <mergeCell ref="CK59:CK62"/>
    <mergeCell ref="CL59:CL62"/>
    <mergeCell ref="CM59:CM62"/>
    <mergeCell ref="CN59:CN62"/>
    <mergeCell ref="CC59:CC62"/>
    <mergeCell ref="CD59:CD62"/>
    <mergeCell ref="CE59:CE62"/>
    <mergeCell ref="CF59:CF62"/>
    <mergeCell ref="CG59:CG62"/>
    <mergeCell ref="CH59:CH62"/>
    <mergeCell ref="BW59:BW62"/>
    <mergeCell ref="BX59:BX62"/>
    <mergeCell ref="BY59:BY62"/>
    <mergeCell ref="BZ59:BZ62"/>
    <mergeCell ref="CA59:CA62"/>
    <mergeCell ref="CB59:CB62"/>
    <mergeCell ref="BQ59:BQ62"/>
    <mergeCell ref="BR59:BR62"/>
    <mergeCell ref="BS59:BS62"/>
    <mergeCell ref="BT59:BT62"/>
    <mergeCell ref="X63:X66"/>
    <mergeCell ref="BU59:BU62"/>
    <mergeCell ref="BV59:BV62"/>
    <mergeCell ref="BK59:BK62"/>
    <mergeCell ref="BL59:BL62"/>
    <mergeCell ref="BM59:BM62"/>
    <mergeCell ref="BN59:BN62"/>
    <mergeCell ref="BO59:BO62"/>
    <mergeCell ref="BP59:BP62"/>
    <mergeCell ref="BE59:BE62"/>
    <mergeCell ref="BF59:BF62"/>
    <mergeCell ref="BG59:BG62"/>
    <mergeCell ref="BH59:BH62"/>
    <mergeCell ref="BI59:BI62"/>
    <mergeCell ref="BJ59:BJ62"/>
    <mergeCell ref="AY59:AY62"/>
    <mergeCell ref="AZ59:AZ62"/>
    <mergeCell ref="BA59:BA62"/>
    <mergeCell ref="BB59:BB62"/>
    <mergeCell ref="BC59:BC62"/>
    <mergeCell ref="BD59:BD62"/>
    <mergeCell ref="AS59:AS62"/>
    <mergeCell ref="AT59:AT62"/>
    <mergeCell ref="AU59:AU62"/>
    <mergeCell ref="AV59:AV62"/>
    <mergeCell ref="AW59:AW62"/>
    <mergeCell ref="AX59:AX62"/>
    <mergeCell ref="AM59:AM62"/>
    <mergeCell ref="AN59:AN62"/>
    <mergeCell ref="AO59:AO62"/>
    <mergeCell ref="AP59:AP62"/>
    <mergeCell ref="AQ59:AQ62"/>
    <mergeCell ref="AR59:AR62"/>
    <mergeCell ref="AG59:AG62"/>
    <mergeCell ref="AH59:AH62"/>
    <mergeCell ref="AI59:AI62"/>
    <mergeCell ref="AJ59:AJ62"/>
    <mergeCell ref="AK59:AK62"/>
    <mergeCell ref="AL59:AL62"/>
    <mergeCell ref="AB59:AB62"/>
    <mergeCell ref="AC59:AC62"/>
    <mergeCell ref="AD59:AD62"/>
    <mergeCell ref="AE59:AE62"/>
    <mergeCell ref="AF59:AF62"/>
    <mergeCell ref="U59:U62"/>
    <mergeCell ref="V59:V62"/>
    <mergeCell ref="W59:W62"/>
    <mergeCell ref="X59:X62"/>
    <mergeCell ref="Y59:Y62"/>
    <mergeCell ref="Z59:Z62"/>
    <mergeCell ref="O59:O62"/>
    <mergeCell ref="P59:P62"/>
    <mergeCell ref="Q59:Q62"/>
    <mergeCell ref="R59:R62"/>
    <mergeCell ref="S59:S62"/>
    <mergeCell ref="T59:T62"/>
    <mergeCell ref="I59:I62"/>
    <mergeCell ref="J59:J62"/>
    <mergeCell ref="K59:K62"/>
    <mergeCell ref="L59:L62"/>
    <mergeCell ref="M59:M62"/>
    <mergeCell ref="N59:N62"/>
    <mergeCell ref="D59:D62"/>
    <mergeCell ref="E59:E62"/>
    <mergeCell ref="F59:F62"/>
    <mergeCell ref="G59:G62"/>
    <mergeCell ref="H59:H62"/>
    <mergeCell ref="CK55:CK58"/>
    <mergeCell ref="CL55:CL58"/>
    <mergeCell ref="CM55:CM58"/>
    <mergeCell ref="CN55:CN58"/>
    <mergeCell ref="EY55:EY58"/>
    <mergeCell ref="DG57:DH57"/>
    <mergeCell ref="CE55:CE58"/>
    <mergeCell ref="CF55:CF58"/>
    <mergeCell ref="CG55:CG58"/>
    <mergeCell ref="CH55:CH58"/>
    <mergeCell ref="CI55:CI58"/>
    <mergeCell ref="CJ55:CJ58"/>
    <mergeCell ref="BY55:BY58"/>
    <mergeCell ref="BZ55:BZ58"/>
    <mergeCell ref="CA55:CA58"/>
    <mergeCell ref="CB55:CB58"/>
    <mergeCell ref="CC55:CC58"/>
    <mergeCell ref="CD55:CD58"/>
    <mergeCell ref="BS55:BS58"/>
    <mergeCell ref="BT55:BT58"/>
    <mergeCell ref="AA59:AA62"/>
    <mergeCell ref="BU55:BU58"/>
    <mergeCell ref="BV55:BV58"/>
    <mergeCell ref="BW55:BW58"/>
    <mergeCell ref="BX55:BX58"/>
    <mergeCell ref="BM55:BM58"/>
    <mergeCell ref="BN55:BN58"/>
    <mergeCell ref="BO55:BO58"/>
    <mergeCell ref="BP55:BP58"/>
    <mergeCell ref="BQ55:BQ58"/>
    <mergeCell ref="BR55:BR58"/>
    <mergeCell ref="BG55:BG58"/>
    <mergeCell ref="BH55:BH58"/>
    <mergeCell ref="BI55:BI58"/>
    <mergeCell ref="BJ55:BJ58"/>
    <mergeCell ref="BK55:BK58"/>
    <mergeCell ref="BL55:BL58"/>
    <mergeCell ref="BA55:BA58"/>
    <mergeCell ref="BB55:BB58"/>
    <mergeCell ref="BC55:BC58"/>
    <mergeCell ref="BD55:BD58"/>
    <mergeCell ref="BE55:BE58"/>
    <mergeCell ref="BF55:BF58"/>
    <mergeCell ref="AU55:AU58"/>
    <mergeCell ref="AV55:AV58"/>
    <mergeCell ref="AW55:AW58"/>
    <mergeCell ref="AX55:AX58"/>
    <mergeCell ref="AY55:AY58"/>
    <mergeCell ref="AZ55:AZ58"/>
    <mergeCell ref="AO55:AO58"/>
    <mergeCell ref="AP55:AP58"/>
    <mergeCell ref="AQ55:AQ58"/>
    <mergeCell ref="AR55:AR58"/>
    <mergeCell ref="AS55:AS58"/>
    <mergeCell ref="AT55:AT58"/>
    <mergeCell ref="AI55:AI58"/>
    <mergeCell ref="AJ55:AJ58"/>
    <mergeCell ref="AK55:AK58"/>
    <mergeCell ref="AL55:AL58"/>
    <mergeCell ref="AM55:AM58"/>
    <mergeCell ref="AN55:AN58"/>
    <mergeCell ref="AD55:AD58"/>
    <mergeCell ref="AE55:AE58"/>
    <mergeCell ref="AF55:AF58"/>
    <mergeCell ref="AG55:AG58"/>
    <mergeCell ref="AH55:AH58"/>
    <mergeCell ref="W55:W58"/>
    <mergeCell ref="X55:X58"/>
    <mergeCell ref="Y55:Y58"/>
    <mergeCell ref="Z55:Z58"/>
    <mergeCell ref="AA55:AA58"/>
    <mergeCell ref="AB55:AB58"/>
    <mergeCell ref="Q55:Q58"/>
    <mergeCell ref="R55:R58"/>
    <mergeCell ref="S55:S58"/>
    <mergeCell ref="T55:T58"/>
    <mergeCell ref="U55:U58"/>
    <mergeCell ref="V55:V58"/>
    <mergeCell ref="K55:K58"/>
    <mergeCell ref="L55:L58"/>
    <mergeCell ref="M55:M58"/>
    <mergeCell ref="N55:N58"/>
    <mergeCell ref="O55:O58"/>
    <mergeCell ref="P55:P58"/>
    <mergeCell ref="CN51:CN54"/>
    <mergeCell ref="EY51:EY54"/>
    <mergeCell ref="D55:D58"/>
    <mergeCell ref="E55:E58"/>
    <mergeCell ref="F55:F58"/>
    <mergeCell ref="G55:G58"/>
    <mergeCell ref="H55:H58"/>
    <mergeCell ref="I55:I58"/>
    <mergeCell ref="J55:J58"/>
    <mergeCell ref="CH51:CH54"/>
    <mergeCell ref="CI51:CI54"/>
    <mergeCell ref="CJ51:CJ54"/>
    <mergeCell ref="CK51:CK54"/>
    <mergeCell ref="CL51:CL54"/>
    <mergeCell ref="CM51:CM54"/>
    <mergeCell ref="CB51:CB54"/>
    <mergeCell ref="CC51:CC54"/>
    <mergeCell ref="CD51:CD54"/>
    <mergeCell ref="CE51:CE54"/>
    <mergeCell ref="CF51:CF54"/>
    <mergeCell ref="CG51:CG54"/>
    <mergeCell ref="BV51:BV54"/>
    <mergeCell ref="BW51:BW54"/>
    <mergeCell ref="BX51:BX54"/>
    <mergeCell ref="BY51:BY54"/>
    <mergeCell ref="AC55:AC58"/>
    <mergeCell ref="BZ51:BZ54"/>
    <mergeCell ref="CA51:CA54"/>
    <mergeCell ref="BP51:BP54"/>
    <mergeCell ref="BQ51:BQ54"/>
    <mergeCell ref="BR51:BR54"/>
    <mergeCell ref="BS51:BS54"/>
    <mergeCell ref="BT51:BT54"/>
    <mergeCell ref="BU51:BU54"/>
    <mergeCell ref="BJ51:BJ54"/>
    <mergeCell ref="BK51:BK54"/>
    <mergeCell ref="BL51:BL54"/>
    <mergeCell ref="BM51:BM54"/>
    <mergeCell ref="BN51:BN54"/>
    <mergeCell ref="BO51:BO54"/>
    <mergeCell ref="BD51:BD54"/>
    <mergeCell ref="BE51:BE54"/>
    <mergeCell ref="BF51:BF54"/>
    <mergeCell ref="BG51:BG54"/>
    <mergeCell ref="BH51:BH54"/>
    <mergeCell ref="BI51:BI54"/>
    <mergeCell ref="AX51:AX54"/>
    <mergeCell ref="AY51:AY54"/>
    <mergeCell ref="AZ51:AZ54"/>
    <mergeCell ref="BA51:BA54"/>
    <mergeCell ref="BB51:BB54"/>
    <mergeCell ref="BC51:BC54"/>
    <mergeCell ref="AR51:AR54"/>
    <mergeCell ref="AS51:AS54"/>
    <mergeCell ref="AT51:AT54"/>
    <mergeCell ref="AU51:AU54"/>
    <mergeCell ref="AV51:AV54"/>
    <mergeCell ref="AW51:AW54"/>
    <mergeCell ref="AL51:AL54"/>
    <mergeCell ref="AM51:AM54"/>
    <mergeCell ref="AN51:AN54"/>
    <mergeCell ref="AO51:AO54"/>
    <mergeCell ref="AP51:AP54"/>
    <mergeCell ref="AQ51:AQ54"/>
    <mergeCell ref="AG51:AG54"/>
    <mergeCell ref="AH51:AH54"/>
    <mergeCell ref="AI51:AI54"/>
    <mergeCell ref="AJ51:AJ54"/>
    <mergeCell ref="AK51:AK54"/>
    <mergeCell ref="Z51:Z54"/>
    <mergeCell ref="AA51:AA54"/>
    <mergeCell ref="AB51:AB54"/>
    <mergeCell ref="AC51:AC54"/>
    <mergeCell ref="AD51:AD54"/>
    <mergeCell ref="AE51:AE54"/>
    <mergeCell ref="T51:T54"/>
    <mergeCell ref="U51:U54"/>
    <mergeCell ref="V51:V54"/>
    <mergeCell ref="W51:W54"/>
    <mergeCell ref="X51:X54"/>
    <mergeCell ref="Y51:Y54"/>
    <mergeCell ref="O51:O54"/>
    <mergeCell ref="P51:P54"/>
    <mergeCell ref="Q51:Q54"/>
    <mergeCell ref="R51:R54"/>
    <mergeCell ref="S51:S54"/>
    <mergeCell ref="H51:H54"/>
    <mergeCell ref="I51:I54"/>
    <mergeCell ref="J51:J54"/>
    <mergeCell ref="K51:K54"/>
    <mergeCell ref="L51:L54"/>
    <mergeCell ref="M51:M54"/>
    <mergeCell ref="CK47:CK50"/>
    <mergeCell ref="CL47:CL50"/>
    <mergeCell ref="CM47:CM50"/>
    <mergeCell ref="CN47:CN50"/>
    <mergeCell ref="EY47:EY50"/>
    <mergeCell ref="BJ47:BJ50"/>
    <mergeCell ref="BK47:BK50"/>
    <mergeCell ref="BL47:BL50"/>
    <mergeCell ref="BA47:BA50"/>
    <mergeCell ref="BB47:BB50"/>
    <mergeCell ref="BC47:BC50"/>
    <mergeCell ref="BD47:BD50"/>
    <mergeCell ref="BE47:BE50"/>
    <mergeCell ref="BF47:BF50"/>
    <mergeCell ref="AU47:AU50"/>
    <mergeCell ref="AV47:AV50"/>
    <mergeCell ref="AW47:AW50"/>
    <mergeCell ref="AX47:AX50"/>
    <mergeCell ref="AY47:AY50"/>
    <mergeCell ref="AZ47:AZ50"/>
    <mergeCell ref="AF51:AF54"/>
    <mergeCell ref="D51:D54"/>
    <mergeCell ref="E51:E54"/>
    <mergeCell ref="F51:F54"/>
    <mergeCell ref="G51:G54"/>
    <mergeCell ref="CE47:CE50"/>
    <mergeCell ref="CF47:CF50"/>
    <mergeCell ref="CG47:CG50"/>
    <mergeCell ref="CH47:CH50"/>
    <mergeCell ref="CI47:CI50"/>
    <mergeCell ref="CJ47:CJ50"/>
    <mergeCell ref="BY47:BY50"/>
    <mergeCell ref="BZ47:BZ50"/>
    <mergeCell ref="CA47:CA50"/>
    <mergeCell ref="CB47:CB50"/>
    <mergeCell ref="CC47:CC50"/>
    <mergeCell ref="CD47:CD50"/>
    <mergeCell ref="BS47:BS50"/>
    <mergeCell ref="BT47:BT50"/>
    <mergeCell ref="BU47:BU50"/>
    <mergeCell ref="BV47:BV50"/>
    <mergeCell ref="BW47:BW50"/>
    <mergeCell ref="BX47:BX50"/>
    <mergeCell ref="BM47:BM50"/>
    <mergeCell ref="BN47:BN50"/>
    <mergeCell ref="BO47:BO50"/>
    <mergeCell ref="BP47:BP50"/>
    <mergeCell ref="BQ47:BQ50"/>
    <mergeCell ref="BR47:BR50"/>
    <mergeCell ref="BG47:BG50"/>
    <mergeCell ref="BH47:BH50"/>
    <mergeCell ref="BI47:BI50"/>
    <mergeCell ref="N51:N54"/>
    <mergeCell ref="AO47:AO50"/>
    <mergeCell ref="AP47:AP50"/>
    <mergeCell ref="AQ47:AQ50"/>
    <mergeCell ref="AR47:AR50"/>
    <mergeCell ref="AS47:AS50"/>
    <mergeCell ref="AT47:AT50"/>
    <mergeCell ref="AI47:AI50"/>
    <mergeCell ref="AJ47:AJ50"/>
    <mergeCell ref="AK47:AK50"/>
    <mergeCell ref="AL47:AL50"/>
    <mergeCell ref="AM47:AM50"/>
    <mergeCell ref="AN47:AN50"/>
    <mergeCell ref="AC47:AC50"/>
    <mergeCell ref="AD47:AD50"/>
    <mergeCell ref="AE47:AE50"/>
    <mergeCell ref="AF47:AF50"/>
    <mergeCell ref="AG47:AG50"/>
    <mergeCell ref="AH47:AH50"/>
    <mergeCell ref="X47:X50"/>
    <mergeCell ref="Y47:Y50"/>
    <mergeCell ref="Z47:Z50"/>
    <mergeCell ref="AA47:AA50"/>
    <mergeCell ref="AB47:AB50"/>
    <mergeCell ref="Q47:Q50"/>
    <mergeCell ref="R47:R50"/>
    <mergeCell ref="S47:S50"/>
    <mergeCell ref="T47:T50"/>
    <mergeCell ref="U47:U50"/>
    <mergeCell ref="V47:V50"/>
    <mergeCell ref="K47:K50"/>
    <mergeCell ref="L47:L50"/>
    <mergeCell ref="M47:M50"/>
    <mergeCell ref="N47:N50"/>
    <mergeCell ref="O47:O50"/>
    <mergeCell ref="P47:P50"/>
    <mergeCell ref="CN43:CN46"/>
    <mergeCell ref="EY43:EY46"/>
    <mergeCell ref="D47:D50"/>
    <mergeCell ref="E47:E50"/>
    <mergeCell ref="F47:F50"/>
    <mergeCell ref="G47:G50"/>
    <mergeCell ref="H47:H50"/>
    <mergeCell ref="I47:I50"/>
    <mergeCell ref="J47:J50"/>
    <mergeCell ref="CH43:CH46"/>
    <mergeCell ref="CI43:CI46"/>
    <mergeCell ref="CJ43:CJ46"/>
    <mergeCell ref="CK43:CK46"/>
    <mergeCell ref="CL43:CL46"/>
    <mergeCell ref="CM43:CM46"/>
    <mergeCell ref="CB43:CB46"/>
    <mergeCell ref="CC43:CC46"/>
    <mergeCell ref="CD43:CD46"/>
    <mergeCell ref="CE43:CE46"/>
    <mergeCell ref="CF43:CF46"/>
    <mergeCell ref="CG43:CG46"/>
    <mergeCell ref="BV43:BV46"/>
    <mergeCell ref="BW43:BW46"/>
    <mergeCell ref="BX43:BX46"/>
    <mergeCell ref="BY43:BY46"/>
    <mergeCell ref="BZ43:BZ46"/>
    <mergeCell ref="CA43:CA46"/>
    <mergeCell ref="BP43:BP46"/>
    <mergeCell ref="BQ43:BQ46"/>
    <mergeCell ref="BR43:BR46"/>
    <mergeCell ref="BS43:BS46"/>
    <mergeCell ref="W47:W50"/>
    <mergeCell ref="BT43:BT46"/>
    <mergeCell ref="BU43:BU46"/>
    <mergeCell ref="BJ43:BJ46"/>
    <mergeCell ref="BK43:BK46"/>
    <mergeCell ref="BL43:BL46"/>
    <mergeCell ref="BM43:BM46"/>
    <mergeCell ref="BN43:BN46"/>
    <mergeCell ref="BO43:BO46"/>
    <mergeCell ref="BD43:BD46"/>
    <mergeCell ref="BE43:BE46"/>
    <mergeCell ref="BF43:BF46"/>
    <mergeCell ref="BG43:BG46"/>
    <mergeCell ref="BH43:BH46"/>
    <mergeCell ref="BI43:BI46"/>
    <mergeCell ref="AX43:AX46"/>
    <mergeCell ref="AY43:AY46"/>
    <mergeCell ref="AZ43:AZ46"/>
    <mergeCell ref="BA43:BA46"/>
    <mergeCell ref="BB43:BB46"/>
    <mergeCell ref="BC43:BC46"/>
    <mergeCell ref="AR43:AR46"/>
    <mergeCell ref="AS43:AS46"/>
    <mergeCell ref="AT43:AT46"/>
    <mergeCell ref="AU43:AU46"/>
    <mergeCell ref="AV43:AV46"/>
    <mergeCell ref="AW43:AW46"/>
    <mergeCell ref="AL43:AL46"/>
    <mergeCell ref="AM43:AM46"/>
    <mergeCell ref="AN43:AN46"/>
    <mergeCell ref="AO43:AO46"/>
    <mergeCell ref="AP43:AP46"/>
    <mergeCell ref="AQ43:AQ46"/>
    <mergeCell ref="AF43:AF46"/>
    <mergeCell ref="AG43:AG46"/>
    <mergeCell ref="AH43:AH46"/>
    <mergeCell ref="AI43:AI46"/>
    <mergeCell ref="AJ43:AJ46"/>
    <mergeCell ref="AK43:AK46"/>
    <mergeCell ref="AA43:AA46"/>
    <mergeCell ref="AB43:AB46"/>
    <mergeCell ref="AC43:AC46"/>
    <mergeCell ref="AD43:AD46"/>
    <mergeCell ref="AE43:AE46"/>
    <mergeCell ref="T43:T46"/>
    <mergeCell ref="U43:U46"/>
    <mergeCell ref="V43:V46"/>
    <mergeCell ref="W43:W46"/>
    <mergeCell ref="X43:X46"/>
    <mergeCell ref="Y43:Y46"/>
    <mergeCell ref="N43:N46"/>
    <mergeCell ref="O43:O46"/>
    <mergeCell ref="P43:P46"/>
    <mergeCell ref="Q43:Q46"/>
    <mergeCell ref="R43:R46"/>
    <mergeCell ref="S43:S46"/>
    <mergeCell ref="H43:H46"/>
    <mergeCell ref="I43:I46"/>
    <mergeCell ref="J43:J46"/>
    <mergeCell ref="K43:K46"/>
    <mergeCell ref="L43:L46"/>
    <mergeCell ref="M43:M46"/>
    <mergeCell ref="CK39:CK42"/>
    <mergeCell ref="CL39:CL42"/>
    <mergeCell ref="CM39:CM42"/>
    <mergeCell ref="CN39:CN42"/>
    <mergeCell ref="EY39:EY42"/>
    <mergeCell ref="D43:D46"/>
    <mergeCell ref="E43:E46"/>
    <mergeCell ref="F43:F46"/>
    <mergeCell ref="G43:G46"/>
    <mergeCell ref="CE39:CE42"/>
    <mergeCell ref="CF39:CF42"/>
    <mergeCell ref="CG39:CG42"/>
    <mergeCell ref="CH39:CH42"/>
    <mergeCell ref="CI39:CI42"/>
    <mergeCell ref="CJ39:CJ42"/>
    <mergeCell ref="BY39:BY42"/>
    <mergeCell ref="BZ39:BZ42"/>
    <mergeCell ref="CA39:CA42"/>
    <mergeCell ref="CB39:CB42"/>
    <mergeCell ref="CC39:CC42"/>
    <mergeCell ref="CD39:CD42"/>
    <mergeCell ref="BS39:BS42"/>
    <mergeCell ref="BT39:BT42"/>
    <mergeCell ref="BU39:BU42"/>
    <mergeCell ref="BV39:BV42"/>
    <mergeCell ref="Z43:Z46"/>
    <mergeCell ref="BW39:BW42"/>
    <mergeCell ref="BX39:BX42"/>
    <mergeCell ref="BM39:BM42"/>
    <mergeCell ref="BN39:BN42"/>
    <mergeCell ref="BO39:BO42"/>
    <mergeCell ref="BP39:BP42"/>
    <mergeCell ref="BQ39:BQ42"/>
    <mergeCell ref="BR39:BR42"/>
    <mergeCell ref="BG39:BG42"/>
    <mergeCell ref="BH39:BH42"/>
    <mergeCell ref="BI39:BI42"/>
    <mergeCell ref="BJ39:BJ42"/>
    <mergeCell ref="BK39:BK42"/>
    <mergeCell ref="BL39:BL42"/>
    <mergeCell ref="BA39:BA42"/>
    <mergeCell ref="BB39:BB42"/>
    <mergeCell ref="BC39:BC42"/>
    <mergeCell ref="BD39:BD42"/>
    <mergeCell ref="BE39:BE42"/>
    <mergeCell ref="BF39:BF42"/>
    <mergeCell ref="AU39:AU42"/>
    <mergeCell ref="AV39:AV42"/>
    <mergeCell ref="AW39:AW42"/>
    <mergeCell ref="AX39:AX42"/>
    <mergeCell ref="AY39:AY42"/>
    <mergeCell ref="AZ39:AZ42"/>
    <mergeCell ref="AO39:AO42"/>
    <mergeCell ref="AP39:AP42"/>
    <mergeCell ref="AQ39:AQ42"/>
    <mergeCell ref="AR39:AR42"/>
    <mergeCell ref="AS39:AS42"/>
    <mergeCell ref="AT39:AT42"/>
    <mergeCell ref="AI39:AI42"/>
    <mergeCell ref="AJ39:AJ42"/>
    <mergeCell ref="AK39:AK42"/>
    <mergeCell ref="AL39:AL42"/>
    <mergeCell ref="AM39:AM42"/>
    <mergeCell ref="AN39:AN42"/>
    <mergeCell ref="AD39:AD42"/>
    <mergeCell ref="AE39:AE42"/>
    <mergeCell ref="AF39:AF42"/>
    <mergeCell ref="AG39:AG42"/>
    <mergeCell ref="AH39:AH42"/>
    <mergeCell ref="W39:W42"/>
    <mergeCell ref="X39:X42"/>
    <mergeCell ref="Y39:Y42"/>
    <mergeCell ref="Z39:Z42"/>
    <mergeCell ref="AA39:AA42"/>
    <mergeCell ref="AB39:AB42"/>
    <mergeCell ref="Q39:Q42"/>
    <mergeCell ref="R39:R42"/>
    <mergeCell ref="S39:S42"/>
    <mergeCell ref="T39:T42"/>
    <mergeCell ref="U39:U42"/>
    <mergeCell ref="V39:V42"/>
    <mergeCell ref="K39:K42"/>
    <mergeCell ref="L39:L42"/>
    <mergeCell ref="M39:M42"/>
    <mergeCell ref="N39:N42"/>
    <mergeCell ref="O39:O42"/>
    <mergeCell ref="P39:P42"/>
    <mergeCell ref="EY35:EY38"/>
    <mergeCell ref="DG37:DH37"/>
    <mergeCell ref="D39:D42"/>
    <mergeCell ref="E39:E42"/>
    <mergeCell ref="F39:F42"/>
    <mergeCell ref="G39:G42"/>
    <mergeCell ref="H39:H42"/>
    <mergeCell ref="I39:I42"/>
    <mergeCell ref="J39:J42"/>
    <mergeCell ref="CI35:CI38"/>
    <mergeCell ref="CJ35:CJ38"/>
    <mergeCell ref="CK35:CK38"/>
    <mergeCell ref="CL35:CL38"/>
    <mergeCell ref="CM35:CM38"/>
    <mergeCell ref="CN35:CN38"/>
    <mergeCell ref="CC35:CC38"/>
    <mergeCell ref="CD35:CD38"/>
    <mergeCell ref="CE35:CE38"/>
    <mergeCell ref="CF35:CF38"/>
    <mergeCell ref="CG35:CG38"/>
    <mergeCell ref="CH35:CH38"/>
    <mergeCell ref="BW35:BW38"/>
    <mergeCell ref="BX35:BX38"/>
    <mergeCell ref="BY35:BY38"/>
    <mergeCell ref="BZ35:BZ38"/>
    <mergeCell ref="AC39:AC42"/>
    <mergeCell ref="CA35:CA38"/>
    <mergeCell ref="CB35:CB38"/>
    <mergeCell ref="BQ35:BQ38"/>
    <mergeCell ref="BR35:BR38"/>
    <mergeCell ref="BS35:BS38"/>
    <mergeCell ref="BT35:BT38"/>
    <mergeCell ref="BU35:BU38"/>
    <mergeCell ref="BV35:BV38"/>
    <mergeCell ref="BK35:BK38"/>
    <mergeCell ref="BL35:BL38"/>
    <mergeCell ref="BM35:BM38"/>
    <mergeCell ref="BN35:BN38"/>
    <mergeCell ref="BO35:BO38"/>
    <mergeCell ref="BP35:BP38"/>
    <mergeCell ref="BE35:BE38"/>
    <mergeCell ref="BF35:BF38"/>
    <mergeCell ref="BG35:BG38"/>
    <mergeCell ref="BH35:BH38"/>
    <mergeCell ref="BI35:BI38"/>
    <mergeCell ref="BJ35:BJ38"/>
    <mergeCell ref="AY35:AY38"/>
    <mergeCell ref="AZ35:AZ38"/>
    <mergeCell ref="BA35:BA38"/>
    <mergeCell ref="BB35:BB38"/>
    <mergeCell ref="BC35:BC38"/>
    <mergeCell ref="BD35:BD38"/>
    <mergeCell ref="AS35:AS38"/>
    <mergeCell ref="AT35:AT38"/>
    <mergeCell ref="AU35:AU38"/>
    <mergeCell ref="AV35:AV38"/>
    <mergeCell ref="AW35:AW38"/>
    <mergeCell ref="AX35:AX38"/>
    <mergeCell ref="AM35:AM38"/>
    <mergeCell ref="AN35:AN38"/>
    <mergeCell ref="AO35:AO38"/>
    <mergeCell ref="AP35:AP38"/>
    <mergeCell ref="AQ35:AQ38"/>
    <mergeCell ref="AR35:AR38"/>
    <mergeCell ref="AH35:AH38"/>
    <mergeCell ref="AI35:AI38"/>
    <mergeCell ref="AJ35:AJ38"/>
    <mergeCell ref="AK35:AK38"/>
    <mergeCell ref="AL35:AL38"/>
    <mergeCell ref="AA35:AA38"/>
    <mergeCell ref="AB35:AB38"/>
    <mergeCell ref="AC35:AC38"/>
    <mergeCell ref="AD35:AD38"/>
    <mergeCell ref="AE35:AE38"/>
    <mergeCell ref="AF35:AF38"/>
    <mergeCell ref="U35:U38"/>
    <mergeCell ref="V35:V38"/>
    <mergeCell ref="W35:W38"/>
    <mergeCell ref="X35:X38"/>
    <mergeCell ref="Y35:Y38"/>
    <mergeCell ref="Z35:Z38"/>
    <mergeCell ref="O35:O38"/>
    <mergeCell ref="P35:P38"/>
    <mergeCell ref="Q35:Q38"/>
    <mergeCell ref="R35:R38"/>
    <mergeCell ref="S35:S38"/>
    <mergeCell ref="T35:T38"/>
    <mergeCell ref="I35:I38"/>
    <mergeCell ref="J35:J38"/>
    <mergeCell ref="K35:K38"/>
    <mergeCell ref="L35:L38"/>
    <mergeCell ref="M35:M38"/>
    <mergeCell ref="N35:N38"/>
    <mergeCell ref="CL31:CL34"/>
    <mergeCell ref="CM31:CM34"/>
    <mergeCell ref="CN31:CN34"/>
    <mergeCell ref="EY31:EY34"/>
    <mergeCell ref="D35:D38"/>
    <mergeCell ref="E35:E38"/>
    <mergeCell ref="F35:F38"/>
    <mergeCell ref="G35:G38"/>
    <mergeCell ref="H35:H38"/>
    <mergeCell ref="CF31:CF34"/>
    <mergeCell ref="CG31:CG34"/>
    <mergeCell ref="CH31:CH34"/>
    <mergeCell ref="CI31:CI34"/>
    <mergeCell ref="CJ31:CJ34"/>
    <mergeCell ref="CK31:CK34"/>
    <mergeCell ref="BZ31:BZ34"/>
    <mergeCell ref="CA31:CA34"/>
    <mergeCell ref="CB31:CB34"/>
    <mergeCell ref="CC31:CC34"/>
    <mergeCell ref="AG35:AG38"/>
    <mergeCell ref="CD31:CD34"/>
    <mergeCell ref="CE31:CE34"/>
    <mergeCell ref="BT31:BT34"/>
    <mergeCell ref="BU31:BU34"/>
    <mergeCell ref="BV31:BV34"/>
    <mergeCell ref="BW31:BW34"/>
    <mergeCell ref="BX31:BX34"/>
    <mergeCell ref="BY31:BY34"/>
    <mergeCell ref="BN31:BN34"/>
    <mergeCell ref="BO31:BO34"/>
    <mergeCell ref="BP31:BP34"/>
    <mergeCell ref="BQ31:BQ34"/>
    <mergeCell ref="BR31:BR34"/>
    <mergeCell ref="BS31:BS34"/>
    <mergeCell ref="BH31:BH34"/>
    <mergeCell ref="BI31:BI34"/>
    <mergeCell ref="BJ31:BJ34"/>
    <mergeCell ref="BK31:BK34"/>
    <mergeCell ref="BL31:BL34"/>
    <mergeCell ref="BM31:BM34"/>
    <mergeCell ref="BB31:BB34"/>
    <mergeCell ref="BC31:BC34"/>
    <mergeCell ref="BD31:BD34"/>
    <mergeCell ref="BE31:BE34"/>
    <mergeCell ref="BF31:BF34"/>
    <mergeCell ref="BG31:BG34"/>
    <mergeCell ref="AV31:AV34"/>
    <mergeCell ref="AW31:AW34"/>
    <mergeCell ref="AX31:AX34"/>
    <mergeCell ref="AY31:AY34"/>
    <mergeCell ref="AZ31:AZ34"/>
    <mergeCell ref="BA31:BA34"/>
    <mergeCell ref="AP31:AP34"/>
    <mergeCell ref="AQ31:AQ34"/>
    <mergeCell ref="AR31:AR34"/>
    <mergeCell ref="AS31:AS34"/>
    <mergeCell ref="AT31:AT34"/>
    <mergeCell ref="AU31:AU34"/>
    <mergeCell ref="AK31:AK34"/>
    <mergeCell ref="AL31:AL34"/>
    <mergeCell ref="AM31:AM34"/>
    <mergeCell ref="AN31:AN34"/>
    <mergeCell ref="AO31:AO34"/>
    <mergeCell ref="AD31:AD34"/>
    <mergeCell ref="AE31:AE34"/>
    <mergeCell ref="AF31:AF34"/>
    <mergeCell ref="AG31:AG34"/>
    <mergeCell ref="AH31:AH34"/>
    <mergeCell ref="AI31:AI34"/>
    <mergeCell ref="X31:X34"/>
    <mergeCell ref="Y31:Y34"/>
    <mergeCell ref="Z31:Z34"/>
    <mergeCell ref="AA31:AA34"/>
    <mergeCell ref="AB31:AB34"/>
    <mergeCell ref="AC31:AC34"/>
    <mergeCell ref="R31:R34"/>
    <mergeCell ref="S31:S34"/>
    <mergeCell ref="T31:T34"/>
    <mergeCell ref="U31:U34"/>
    <mergeCell ref="V31:V34"/>
    <mergeCell ref="W31:W34"/>
    <mergeCell ref="L31:L34"/>
    <mergeCell ref="M31:M34"/>
    <mergeCell ref="N31:N34"/>
    <mergeCell ref="O31:O34"/>
    <mergeCell ref="P31:P34"/>
    <mergeCell ref="Q31:Q34"/>
    <mergeCell ref="EY27:EY30"/>
    <mergeCell ref="D31:D34"/>
    <mergeCell ref="E31:E34"/>
    <mergeCell ref="F31:F34"/>
    <mergeCell ref="G31:G34"/>
    <mergeCell ref="H31:H34"/>
    <mergeCell ref="I31:I34"/>
    <mergeCell ref="J31:J34"/>
    <mergeCell ref="K31:K34"/>
    <mergeCell ref="CI27:CI30"/>
    <mergeCell ref="CJ27:CJ30"/>
    <mergeCell ref="CK27:CK30"/>
    <mergeCell ref="CL27:CL30"/>
    <mergeCell ref="CM27:CM30"/>
    <mergeCell ref="CN27:CN30"/>
    <mergeCell ref="CC27:CC30"/>
    <mergeCell ref="CD27:CD30"/>
    <mergeCell ref="CE27:CE30"/>
    <mergeCell ref="CF27:CF30"/>
    <mergeCell ref="AJ31:AJ34"/>
    <mergeCell ref="CG27:CG30"/>
    <mergeCell ref="CH27:CH30"/>
    <mergeCell ref="BW27:BW30"/>
    <mergeCell ref="BX27:BX30"/>
    <mergeCell ref="BY27:BY30"/>
    <mergeCell ref="BZ27:BZ30"/>
    <mergeCell ref="CA27:CA30"/>
    <mergeCell ref="CB27:CB30"/>
    <mergeCell ref="BQ27:BQ30"/>
    <mergeCell ref="BR27:BR30"/>
    <mergeCell ref="BS27:BS30"/>
    <mergeCell ref="BT27:BT30"/>
    <mergeCell ref="BU27:BU30"/>
    <mergeCell ref="BV27:BV30"/>
    <mergeCell ref="BK27:BK30"/>
    <mergeCell ref="BL27:BL30"/>
    <mergeCell ref="BM27:BM30"/>
    <mergeCell ref="BN27:BN30"/>
    <mergeCell ref="BO27:BO30"/>
    <mergeCell ref="BP27:BP30"/>
    <mergeCell ref="BE27:BE30"/>
    <mergeCell ref="BF27:BF30"/>
    <mergeCell ref="BG27:BG30"/>
    <mergeCell ref="BH27:BH30"/>
    <mergeCell ref="BI27:BI30"/>
    <mergeCell ref="BJ27:BJ30"/>
    <mergeCell ref="AY27:AY30"/>
    <mergeCell ref="AZ27:AZ30"/>
    <mergeCell ref="BA27:BA30"/>
    <mergeCell ref="BB27:BB30"/>
    <mergeCell ref="BC27:BC30"/>
    <mergeCell ref="BD27:BD30"/>
    <mergeCell ref="AS27:AS30"/>
    <mergeCell ref="AT27:AT30"/>
    <mergeCell ref="AU27:AU30"/>
    <mergeCell ref="AV27:AV30"/>
    <mergeCell ref="AW27:AW30"/>
    <mergeCell ref="AX27:AX30"/>
    <mergeCell ref="AM27:AM30"/>
    <mergeCell ref="AN27:AN30"/>
    <mergeCell ref="AO27:AO30"/>
    <mergeCell ref="AP27:AP30"/>
    <mergeCell ref="AQ27:AQ30"/>
    <mergeCell ref="AR27:AR30"/>
    <mergeCell ref="AG27:AG30"/>
    <mergeCell ref="AH27:AH30"/>
    <mergeCell ref="AI27:AI30"/>
    <mergeCell ref="AJ27:AJ30"/>
    <mergeCell ref="AK27:AK30"/>
    <mergeCell ref="AL27:AL30"/>
    <mergeCell ref="AA27:AA30"/>
    <mergeCell ref="AB27:AB30"/>
    <mergeCell ref="AC27:AC30"/>
    <mergeCell ref="AD27:AD30"/>
    <mergeCell ref="AE27:AE30"/>
    <mergeCell ref="AF27:AF30"/>
    <mergeCell ref="V27:V30"/>
    <mergeCell ref="W27:W30"/>
    <mergeCell ref="X27:X30"/>
    <mergeCell ref="Y27:Y30"/>
    <mergeCell ref="Z27:Z30"/>
    <mergeCell ref="O27:O30"/>
    <mergeCell ref="P27:P30"/>
    <mergeCell ref="Q27:Q30"/>
    <mergeCell ref="R27:R30"/>
    <mergeCell ref="S27:S30"/>
    <mergeCell ref="T27:T30"/>
    <mergeCell ref="I27:I30"/>
    <mergeCell ref="J27:J30"/>
    <mergeCell ref="K27:K30"/>
    <mergeCell ref="L27:L30"/>
    <mergeCell ref="M27:M30"/>
    <mergeCell ref="N27:N30"/>
    <mergeCell ref="CL23:CL26"/>
    <mergeCell ref="CM23:CM26"/>
    <mergeCell ref="CN23:CN26"/>
    <mergeCell ref="EY23:EY26"/>
    <mergeCell ref="D27:D30"/>
    <mergeCell ref="E27:E30"/>
    <mergeCell ref="F27:F30"/>
    <mergeCell ref="G27:G30"/>
    <mergeCell ref="H27:H30"/>
    <mergeCell ref="CF23:CF26"/>
    <mergeCell ref="CG23:CG26"/>
    <mergeCell ref="CH23:CH26"/>
    <mergeCell ref="CI23:CI26"/>
    <mergeCell ref="CJ23:CJ26"/>
    <mergeCell ref="CK23:CK26"/>
    <mergeCell ref="BZ23:BZ26"/>
    <mergeCell ref="CA23:CA26"/>
    <mergeCell ref="CB23:CB26"/>
    <mergeCell ref="CC23:CC26"/>
    <mergeCell ref="CD23:CD26"/>
    <mergeCell ref="CE23:CE26"/>
    <mergeCell ref="BT23:BT26"/>
    <mergeCell ref="BU23:BU26"/>
    <mergeCell ref="BV23:BV26"/>
    <mergeCell ref="BW23:BW26"/>
    <mergeCell ref="BX23:BX26"/>
    <mergeCell ref="BY23:BY26"/>
    <mergeCell ref="BN23:BN26"/>
    <mergeCell ref="BO23:BO26"/>
    <mergeCell ref="BP23:BP26"/>
    <mergeCell ref="BQ23:BQ26"/>
    <mergeCell ref="U27:U30"/>
    <mergeCell ref="BR23:BR26"/>
    <mergeCell ref="BS23:BS26"/>
    <mergeCell ref="BH23:BH26"/>
    <mergeCell ref="BI23:BI26"/>
    <mergeCell ref="BJ23:BJ26"/>
    <mergeCell ref="BK23:BK26"/>
    <mergeCell ref="BL23:BL26"/>
    <mergeCell ref="BM23:BM26"/>
    <mergeCell ref="BB23:BB26"/>
    <mergeCell ref="BC23:BC26"/>
    <mergeCell ref="BD23:BD26"/>
    <mergeCell ref="BE23:BE26"/>
    <mergeCell ref="BF23:BF26"/>
    <mergeCell ref="BG23:BG26"/>
    <mergeCell ref="AV23:AV26"/>
    <mergeCell ref="AW23:AW26"/>
    <mergeCell ref="AX23:AX26"/>
    <mergeCell ref="AY23:AY26"/>
    <mergeCell ref="AZ23:AZ26"/>
    <mergeCell ref="BA23:BA26"/>
    <mergeCell ref="AP23:AP26"/>
    <mergeCell ref="AQ23:AQ26"/>
    <mergeCell ref="AR23:AR26"/>
    <mergeCell ref="AS23:AS26"/>
    <mergeCell ref="AT23:AT26"/>
    <mergeCell ref="AU23:AU26"/>
    <mergeCell ref="AJ23:AJ26"/>
    <mergeCell ref="AK23:AK26"/>
    <mergeCell ref="AL23:AL26"/>
    <mergeCell ref="AM23:AM26"/>
    <mergeCell ref="AN23:AN26"/>
    <mergeCell ref="AO23:AO26"/>
    <mergeCell ref="AD23:AD26"/>
    <mergeCell ref="AE23:AE26"/>
    <mergeCell ref="AF23:AF26"/>
    <mergeCell ref="AG23:AG26"/>
    <mergeCell ref="AH23:AH26"/>
    <mergeCell ref="AI23:AI26"/>
    <mergeCell ref="Y23:Y26"/>
    <mergeCell ref="Z23:Z26"/>
    <mergeCell ref="AA23:AA26"/>
    <mergeCell ref="AB23:AB26"/>
    <mergeCell ref="AC23:AC26"/>
    <mergeCell ref="R23:R26"/>
    <mergeCell ref="S23:S26"/>
    <mergeCell ref="T23:T26"/>
    <mergeCell ref="U23:U26"/>
    <mergeCell ref="V23:V26"/>
    <mergeCell ref="W23:W26"/>
    <mergeCell ref="L23:L26"/>
    <mergeCell ref="M23:M26"/>
    <mergeCell ref="N23:N26"/>
    <mergeCell ref="O23:O26"/>
    <mergeCell ref="P23:P26"/>
    <mergeCell ref="Q23:Q26"/>
    <mergeCell ref="EY19:EY22"/>
    <mergeCell ref="D23:D26"/>
    <mergeCell ref="E23:E26"/>
    <mergeCell ref="F23:F26"/>
    <mergeCell ref="G23:G26"/>
    <mergeCell ref="H23:H26"/>
    <mergeCell ref="I23:I26"/>
    <mergeCell ref="J23:J26"/>
    <mergeCell ref="K23:K26"/>
    <mergeCell ref="CI19:CI22"/>
    <mergeCell ref="CJ19:CJ22"/>
    <mergeCell ref="CK19:CK22"/>
    <mergeCell ref="CL19:CL22"/>
    <mergeCell ref="CM19:CM22"/>
    <mergeCell ref="CN19:CN22"/>
    <mergeCell ref="CC19:CC22"/>
    <mergeCell ref="CD19:CD22"/>
    <mergeCell ref="CE19:CE22"/>
    <mergeCell ref="CF19:CF22"/>
    <mergeCell ref="CG19:CG22"/>
    <mergeCell ref="CH19:CH22"/>
    <mergeCell ref="BW19:BW22"/>
    <mergeCell ref="BX19:BX22"/>
    <mergeCell ref="BY19:BY22"/>
    <mergeCell ref="BZ19:BZ22"/>
    <mergeCell ref="CA19:CA22"/>
    <mergeCell ref="CB19:CB22"/>
    <mergeCell ref="BQ19:BQ22"/>
    <mergeCell ref="BR19:BR22"/>
    <mergeCell ref="BS19:BS22"/>
    <mergeCell ref="BT19:BT22"/>
    <mergeCell ref="X23:X26"/>
    <mergeCell ref="BU19:BU22"/>
    <mergeCell ref="BV19:BV22"/>
    <mergeCell ref="BK19:BK22"/>
    <mergeCell ref="BL19:BL22"/>
    <mergeCell ref="BM19:BM22"/>
    <mergeCell ref="BN19:BN22"/>
    <mergeCell ref="BO19:BO22"/>
    <mergeCell ref="BP19:BP22"/>
    <mergeCell ref="BE19:BE22"/>
    <mergeCell ref="BF19:BF22"/>
    <mergeCell ref="BG19:BG22"/>
    <mergeCell ref="BH19:BH22"/>
    <mergeCell ref="BI19:BI22"/>
    <mergeCell ref="BJ19:BJ22"/>
    <mergeCell ref="AY19:AY22"/>
    <mergeCell ref="AZ19:AZ22"/>
    <mergeCell ref="BA19:BA22"/>
    <mergeCell ref="BB19:BB22"/>
    <mergeCell ref="BC19:BC22"/>
    <mergeCell ref="BD19:BD22"/>
    <mergeCell ref="AS19:AS22"/>
    <mergeCell ref="AT19:AT22"/>
    <mergeCell ref="AU19:AU22"/>
    <mergeCell ref="AV19:AV22"/>
    <mergeCell ref="AW19:AW22"/>
    <mergeCell ref="AX19:AX22"/>
    <mergeCell ref="AM19:AM22"/>
    <mergeCell ref="AN19:AN22"/>
    <mergeCell ref="AO19:AO22"/>
    <mergeCell ref="AP19:AP22"/>
    <mergeCell ref="AQ19:AQ22"/>
    <mergeCell ref="AR19:AR22"/>
    <mergeCell ref="AG19:AG22"/>
    <mergeCell ref="AH19:AH22"/>
    <mergeCell ref="AI19:AI22"/>
    <mergeCell ref="AJ19:AJ22"/>
    <mergeCell ref="AK19:AK22"/>
    <mergeCell ref="AL19:AL22"/>
    <mergeCell ref="AB19:AB22"/>
    <mergeCell ref="AC19:AC22"/>
    <mergeCell ref="AD19:AD22"/>
    <mergeCell ref="AE19:AE22"/>
    <mergeCell ref="AF19:AF22"/>
    <mergeCell ref="U19:U22"/>
    <mergeCell ref="V19:V22"/>
    <mergeCell ref="W19:W22"/>
    <mergeCell ref="X19:X22"/>
    <mergeCell ref="Y19:Y22"/>
    <mergeCell ref="Z19:Z22"/>
    <mergeCell ref="O19:O22"/>
    <mergeCell ref="P19:P22"/>
    <mergeCell ref="Q19:Q22"/>
    <mergeCell ref="R19:R22"/>
    <mergeCell ref="S19:S22"/>
    <mergeCell ref="T19:T22"/>
    <mergeCell ref="I19:I22"/>
    <mergeCell ref="J19:J22"/>
    <mergeCell ref="K19:K22"/>
    <mergeCell ref="L19:L22"/>
    <mergeCell ref="M19:M22"/>
    <mergeCell ref="N19:N22"/>
    <mergeCell ref="CL15:CL18"/>
    <mergeCell ref="CM15:CM18"/>
    <mergeCell ref="CN15:CN18"/>
    <mergeCell ref="EY15:EY18"/>
    <mergeCell ref="D19:D22"/>
    <mergeCell ref="E19:E22"/>
    <mergeCell ref="F19:F22"/>
    <mergeCell ref="G19:G22"/>
    <mergeCell ref="H19:H22"/>
    <mergeCell ref="CF15:CF18"/>
    <mergeCell ref="CG15:CG18"/>
    <mergeCell ref="CH15:CH18"/>
    <mergeCell ref="CI15:CI18"/>
    <mergeCell ref="CJ15:CJ18"/>
    <mergeCell ref="CK15:CK18"/>
    <mergeCell ref="BZ15:BZ18"/>
    <mergeCell ref="CA15:CA18"/>
    <mergeCell ref="CB15:CB18"/>
    <mergeCell ref="CC15:CC18"/>
    <mergeCell ref="CD15:CD18"/>
    <mergeCell ref="CE15:CE18"/>
    <mergeCell ref="BT15:BT18"/>
    <mergeCell ref="BU15:BU18"/>
    <mergeCell ref="BV15:BV18"/>
    <mergeCell ref="BW15:BW18"/>
    <mergeCell ref="AA19:AA22"/>
    <mergeCell ref="BX15:BX18"/>
    <mergeCell ref="BY15:BY18"/>
    <mergeCell ref="BN15:BN18"/>
    <mergeCell ref="BO15:BO18"/>
    <mergeCell ref="BP15:BP18"/>
    <mergeCell ref="BQ15:BQ18"/>
    <mergeCell ref="BR15:BR18"/>
    <mergeCell ref="BS15:BS18"/>
    <mergeCell ref="BH15:BH18"/>
    <mergeCell ref="BI15:BI18"/>
    <mergeCell ref="BJ15:BJ18"/>
    <mergeCell ref="BK15:BK18"/>
    <mergeCell ref="BL15:BL18"/>
    <mergeCell ref="BM15:BM18"/>
    <mergeCell ref="BB15:BB18"/>
    <mergeCell ref="BC15:BC18"/>
    <mergeCell ref="BD15:BD18"/>
    <mergeCell ref="BE15:BE18"/>
    <mergeCell ref="BF15:BF18"/>
    <mergeCell ref="BG15:BG18"/>
    <mergeCell ref="AV15:AV18"/>
    <mergeCell ref="AW15:AW18"/>
    <mergeCell ref="AX15:AX18"/>
    <mergeCell ref="AY15:AY18"/>
    <mergeCell ref="AZ15:AZ18"/>
    <mergeCell ref="BA15:BA18"/>
    <mergeCell ref="AP15:AP18"/>
    <mergeCell ref="AQ15:AQ18"/>
    <mergeCell ref="AR15:AR18"/>
    <mergeCell ref="AS15:AS18"/>
    <mergeCell ref="AT15:AT18"/>
    <mergeCell ref="AU15:AU18"/>
    <mergeCell ref="AJ15:AJ18"/>
    <mergeCell ref="AK15:AK18"/>
    <mergeCell ref="AL15:AL18"/>
    <mergeCell ref="AM15:AM18"/>
    <mergeCell ref="AN15:AN18"/>
    <mergeCell ref="AO15:AO18"/>
    <mergeCell ref="AE15:AE18"/>
    <mergeCell ref="AF15:AF18"/>
    <mergeCell ref="AG15:AG18"/>
    <mergeCell ref="AH15:AH18"/>
    <mergeCell ref="AI15:AI18"/>
    <mergeCell ref="X15:X18"/>
    <mergeCell ref="Y15:Y18"/>
    <mergeCell ref="Z15:Z18"/>
    <mergeCell ref="AA15:AA18"/>
    <mergeCell ref="AB15:AB18"/>
    <mergeCell ref="AC15:AC18"/>
    <mergeCell ref="R15:R18"/>
    <mergeCell ref="S15:S18"/>
    <mergeCell ref="T15:T18"/>
    <mergeCell ref="U15:U18"/>
    <mergeCell ref="V15:V18"/>
    <mergeCell ref="W15:W18"/>
    <mergeCell ref="L15:L18"/>
    <mergeCell ref="M15:M18"/>
    <mergeCell ref="N15:N18"/>
    <mergeCell ref="O15:O18"/>
    <mergeCell ref="P15:P18"/>
    <mergeCell ref="Q15:Q18"/>
    <mergeCell ref="EY11:EY14"/>
    <mergeCell ref="D15:D18"/>
    <mergeCell ref="E15:E18"/>
    <mergeCell ref="F15:F18"/>
    <mergeCell ref="G15:G18"/>
    <mergeCell ref="H15:H18"/>
    <mergeCell ref="I15:I18"/>
    <mergeCell ref="J15:J18"/>
    <mergeCell ref="K15:K18"/>
    <mergeCell ref="CI11:CI14"/>
    <mergeCell ref="CJ11:CJ14"/>
    <mergeCell ref="CK11:CK14"/>
    <mergeCell ref="CL11:CL14"/>
    <mergeCell ref="CM11:CM14"/>
    <mergeCell ref="CN11:CN14"/>
    <mergeCell ref="CC11:CC14"/>
    <mergeCell ref="CD11:CD14"/>
    <mergeCell ref="CE11:CE14"/>
    <mergeCell ref="CF11:CF14"/>
    <mergeCell ref="CG11:CG14"/>
    <mergeCell ref="CH11:CH14"/>
    <mergeCell ref="BW11:BW14"/>
    <mergeCell ref="BX11:BX14"/>
    <mergeCell ref="BY11:BY14"/>
    <mergeCell ref="BZ11:BZ14"/>
    <mergeCell ref="AD15:AD18"/>
    <mergeCell ref="CA11:CA14"/>
    <mergeCell ref="CB11:CB14"/>
    <mergeCell ref="BQ11:BQ14"/>
    <mergeCell ref="BR11:BR14"/>
    <mergeCell ref="BS11:BS14"/>
    <mergeCell ref="BT11:BT14"/>
    <mergeCell ref="BU11:BU14"/>
    <mergeCell ref="BV11:BV14"/>
    <mergeCell ref="BK11:BK14"/>
    <mergeCell ref="BL11:BL14"/>
    <mergeCell ref="BM11:BM14"/>
    <mergeCell ref="BN11:BN14"/>
    <mergeCell ref="BO11:BO14"/>
    <mergeCell ref="BP11:BP14"/>
    <mergeCell ref="BE11:BE14"/>
    <mergeCell ref="BF11:BF14"/>
    <mergeCell ref="BG11:BG14"/>
    <mergeCell ref="BH11:BH14"/>
    <mergeCell ref="BI11:BI14"/>
    <mergeCell ref="BJ11:BJ14"/>
    <mergeCell ref="AY11:AY14"/>
    <mergeCell ref="AZ11:AZ14"/>
    <mergeCell ref="BA11:BA14"/>
    <mergeCell ref="BB11:BB14"/>
    <mergeCell ref="BC11:BC14"/>
    <mergeCell ref="BD11:BD14"/>
    <mergeCell ref="AS11:AS14"/>
    <mergeCell ref="AT11:AT14"/>
    <mergeCell ref="AU11:AU14"/>
    <mergeCell ref="AV11:AV14"/>
    <mergeCell ref="AW11:AW14"/>
    <mergeCell ref="AX11:AX14"/>
    <mergeCell ref="AM11:AM14"/>
    <mergeCell ref="AN11:AN14"/>
    <mergeCell ref="AO11:AO14"/>
    <mergeCell ref="AP11:AP14"/>
    <mergeCell ref="AQ11:AQ14"/>
    <mergeCell ref="AR11:AR14"/>
    <mergeCell ref="AG11:AG14"/>
    <mergeCell ref="AH11:AH14"/>
    <mergeCell ref="AI11:AI14"/>
    <mergeCell ref="AJ11:AJ14"/>
    <mergeCell ref="AK11:AK14"/>
    <mergeCell ref="AL11:AL14"/>
    <mergeCell ref="AA11:AA14"/>
    <mergeCell ref="AB11:AB14"/>
    <mergeCell ref="AC11:AC14"/>
    <mergeCell ref="AD11:AD14"/>
    <mergeCell ref="AE11:AE14"/>
    <mergeCell ref="AF11:AF14"/>
    <mergeCell ref="U11:U14"/>
    <mergeCell ref="V11:V14"/>
    <mergeCell ref="W11:W14"/>
    <mergeCell ref="X11:X14"/>
    <mergeCell ref="Y11:Y14"/>
    <mergeCell ref="Z11:Z14"/>
    <mergeCell ref="O11:O14"/>
    <mergeCell ref="P11:P14"/>
    <mergeCell ref="Q11:Q14"/>
    <mergeCell ref="R11:R14"/>
    <mergeCell ref="S11:S14"/>
    <mergeCell ref="T11:T14"/>
    <mergeCell ref="I11:I14"/>
    <mergeCell ref="J11:J14"/>
    <mergeCell ref="K11:K14"/>
    <mergeCell ref="L11:L14"/>
    <mergeCell ref="M11:M14"/>
    <mergeCell ref="N11:N14"/>
    <mergeCell ref="D11:D14"/>
    <mergeCell ref="E11:E14"/>
    <mergeCell ref="F11:F14"/>
    <mergeCell ref="G11:G14"/>
    <mergeCell ref="H11:H14"/>
    <mergeCell ref="CJ7:CJ10"/>
    <mergeCell ref="CK7:CK10"/>
    <mergeCell ref="CL7:CL10"/>
    <mergeCell ref="CM7:CM10"/>
    <mergeCell ref="CN7:CN10"/>
    <mergeCell ref="EY7:EY10"/>
    <mergeCell ref="CD7:CD10"/>
    <mergeCell ref="CE7:CE10"/>
    <mergeCell ref="CF7:CF10"/>
    <mergeCell ref="CG7:CG10"/>
    <mergeCell ref="CH7:CH10"/>
    <mergeCell ref="CI7:CI10"/>
    <mergeCell ref="BX7:BX10"/>
    <mergeCell ref="BY7:BY10"/>
    <mergeCell ref="BZ7:BZ10"/>
    <mergeCell ref="CA7:CA10"/>
    <mergeCell ref="CB7:CB10"/>
    <mergeCell ref="CC7:CC10"/>
    <mergeCell ref="BR7:BR10"/>
    <mergeCell ref="BS7:BS10"/>
    <mergeCell ref="BT7:BT10"/>
    <mergeCell ref="BU7:BU10"/>
    <mergeCell ref="BV7:BV10"/>
    <mergeCell ref="BW7:BW10"/>
    <mergeCell ref="BL7:BL10"/>
    <mergeCell ref="BM7:BM10"/>
    <mergeCell ref="BN7:BN10"/>
    <mergeCell ref="BO7:BO10"/>
    <mergeCell ref="BP7:BP10"/>
    <mergeCell ref="BQ7:BQ10"/>
    <mergeCell ref="BF7:BF10"/>
    <mergeCell ref="BG7:BG10"/>
    <mergeCell ref="BH7:BH10"/>
    <mergeCell ref="BI7:BI10"/>
    <mergeCell ref="BJ7:BJ10"/>
    <mergeCell ref="BK7:BK10"/>
    <mergeCell ref="AZ7:AZ10"/>
    <mergeCell ref="BA7:BA10"/>
    <mergeCell ref="BB7:BB10"/>
    <mergeCell ref="BC7:BC10"/>
    <mergeCell ref="BD7:BD10"/>
    <mergeCell ref="BE7:BE10"/>
    <mergeCell ref="AT7:AT10"/>
    <mergeCell ref="AU7:AU10"/>
    <mergeCell ref="AV7:AV10"/>
    <mergeCell ref="AW7:AW10"/>
    <mergeCell ref="AX7:AX10"/>
    <mergeCell ref="AY7:AY10"/>
    <mergeCell ref="AN7:AN10"/>
    <mergeCell ref="AO7:AO10"/>
    <mergeCell ref="AP7:AP10"/>
    <mergeCell ref="AQ7:AQ10"/>
    <mergeCell ref="AR7:AR10"/>
    <mergeCell ref="AS7:AS10"/>
    <mergeCell ref="AI7:AI10"/>
    <mergeCell ref="AJ7:AJ10"/>
    <mergeCell ref="AK7:AK10"/>
    <mergeCell ref="AL7:AL10"/>
    <mergeCell ref="AM7:AM10"/>
    <mergeCell ref="AB7:AB10"/>
    <mergeCell ref="AC7:AC10"/>
    <mergeCell ref="AD7:AD10"/>
    <mergeCell ref="AE7:AE10"/>
    <mergeCell ref="AF7:AF10"/>
    <mergeCell ref="AG7:AG10"/>
    <mergeCell ref="V7:V10"/>
    <mergeCell ref="W7:W10"/>
    <mergeCell ref="X7:X10"/>
    <mergeCell ref="Y7:Y10"/>
    <mergeCell ref="Z7:Z10"/>
    <mergeCell ref="AA7:AA10"/>
    <mergeCell ref="P7:P10"/>
    <mergeCell ref="Q7:Q10"/>
    <mergeCell ref="R7:R10"/>
    <mergeCell ref="S7:S10"/>
    <mergeCell ref="T7:T10"/>
    <mergeCell ref="U7:U10"/>
    <mergeCell ref="J7:J10"/>
    <mergeCell ref="K7:K10"/>
    <mergeCell ref="L7:L10"/>
    <mergeCell ref="M7:M10"/>
    <mergeCell ref="N7:N10"/>
    <mergeCell ref="O7:O10"/>
    <mergeCell ref="EW5:EW6"/>
    <mergeCell ref="EX5:EX6"/>
    <mergeCell ref="EY5:EY6"/>
    <mergeCell ref="D7:D10"/>
    <mergeCell ref="E7:E10"/>
    <mergeCell ref="F7:F10"/>
    <mergeCell ref="G7:G10"/>
    <mergeCell ref="H7:H10"/>
    <mergeCell ref="I7:I10"/>
    <mergeCell ref="EQ5:EQ6"/>
    <mergeCell ref="ER5:ER6"/>
    <mergeCell ref="ES5:ES6"/>
    <mergeCell ref="ET5:ET6"/>
    <mergeCell ref="EU5:EU6"/>
    <mergeCell ref="EV5:EV6"/>
    <mergeCell ref="EK5:EK6"/>
    <mergeCell ref="EL5:EL6"/>
    <mergeCell ref="EM5:EM6"/>
    <mergeCell ref="EN5:EN6"/>
    <mergeCell ref="AH7:AH10"/>
    <mergeCell ref="EP5:EP6"/>
    <mergeCell ref="EA5:EB5"/>
    <mergeCell ref="EC5:ED5"/>
    <mergeCell ref="EE5:EE6"/>
    <mergeCell ref="EF5:EG5"/>
    <mergeCell ref="EH5:EH6"/>
    <mergeCell ref="EI5:EJ5"/>
    <mergeCell ref="DU5:DU6"/>
    <mergeCell ref="DV5:DV6"/>
    <mergeCell ref="DW5:DW6"/>
    <mergeCell ref="DX5:DX6"/>
    <mergeCell ref="DY5:DY6"/>
    <mergeCell ref="DZ5:DZ6"/>
    <mergeCell ref="DO5:DO6"/>
    <mergeCell ref="DP5:DP6"/>
    <mergeCell ref="DQ5:DQ6"/>
    <mergeCell ref="DR5:DR6"/>
    <mergeCell ref="DS5:DS6"/>
    <mergeCell ref="DT5:DT6"/>
    <mergeCell ref="DK5:DK6"/>
    <mergeCell ref="DL5:DL6"/>
    <mergeCell ref="DM5:DM6"/>
    <mergeCell ref="DN5:DN6"/>
    <mergeCell ref="DC5:DC6"/>
    <mergeCell ref="DD5:DD6"/>
    <mergeCell ref="DE5:DE6"/>
    <mergeCell ref="DF5:DF6"/>
    <mergeCell ref="DG5:DG6"/>
    <mergeCell ref="DH5:DH6"/>
    <mergeCell ref="CW5:CW6"/>
    <mergeCell ref="CX5:CX6"/>
    <mergeCell ref="CY5:CY6"/>
    <mergeCell ref="CZ5:CZ6"/>
    <mergeCell ref="DA5:DA6"/>
    <mergeCell ref="DB5:DB6"/>
    <mergeCell ref="EO5:EO6"/>
    <mergeCell ref="CT5:CT6"/>
    <mergeCell ref="CU5:CU6"/>
    <mergeCell ref="CV5:CV6"/>
    <mergeCell ref="CK5:CK6"/>
    <mergeCell ref="CL5:CL6"/>
    <mergeCell ref="CM5:CM6"/>
    <mergeCell ref="CN5:CN6"/>
    <mergeCell ref="CO5:CO6"/>
    <mergeCell ref="CP5:CP6"/>
    <mergeCell ref="CE5:CE6"/>
    <mergeCell ref="CF5:CF6"/>
    <mergeCell ref="CG5:CG6"/>
    <mergeCell ref="CH5:CH6"/>
    <mergeCell ref="CI5:CI6"/>
    <mergeCell ref="CJ5:CJ6"/>
    <mergeCell ref="DI5:DI6"/>
    <mergeCell ref="DJ5:DJ6"/>
    <mergeCell ref="BP5:BP6"/>
    <mergeCell ref="BQ5:BQ6"/>
    <mergeCell ref="BR5:BR6"/>
    <mergeCell ref="CQ5:CQ6"/>
    <mergeCell ref="CR5:CR6"/>
    <mergeCell ref="CS5:CS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K5:K6"/>
    <mergeCell ref="L5:L6"/>
    <mergeCell ref="M5:M6"/>
    <mergeCell ref="N5:N6"/>
    <mergeCell ref="O5:O6"/>
    <mergeCell ref="P5:P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Q5:Q6"/>
    <mergeCell ref="R5:R6"/>
    <mergeCell ref="S5:S6"/>
    <mergeCell ref="T5:T6"/>
    <mergeCell ref="U5:U6"/>
    <mergeCell ref="V5:V6"/>
    <mergeCell ref="BO3:BT3"/>
    <mergeCell ref="BU3:CL3"/>
    <mergeCell ref="CO3:DO3"/>
    <mergeCell ref="CO4:CX4"/>
    <mergeCell ref="CZ4:DH4"/>
    <mergeCell ref="DJ4:DR4"/>
    <mergeCell ref="W5:W6"/>
    <mergeCell ref="X5:X6"/>
    <mergeCell ref="Y5:Y6"/>
    <mergeCell ref="Z5:Z6"/>
    <mergeCell ref="AA5:AA6"/>
    <mergeCell ref="AB5:AB6"/>
    <mergeCell ref="BY5:BY6"/>
    <mergeCell ref="BZ5:BZ6"/>
    <mergeCell ref="CA5:CA6"/>
    <mergeCell ref="CB5:CB6"/>
    <mergeCell ref="CC5:CC6"/>
    <mergeCell ref="CD5:CD6"/>
    <mergeCell ref="BS5:BS6"/>
    <mergeCell ref="BT5:BT6"/>
    <mergeCell ref="BU5:BU6"/>
    <mergeCell ref="BV5:BV6"/>
    <mergeCell ref="BW5:BW6"/>
    <mergeCell ref="BX5:BX6"/>
    <mergeCell ref="BM5:BM6"/>
    <mergeCell ref="BN5:BN6"/>
    <mergeCell ref="BO5:BO6"/>
    <mergeCell ref="BG5:BG6"/>
    <mergeCell ref="BH5:BH6"/>
    <mergeCell ref="BI5:BI6"/>
    <mergeCell ref="BJ5:BJ6"/>
    <mergeCell ref="BK5:BK6"/>
    <mergeCell ref="A1:EY1"/>
    <mergeCell ref="A3:A6"/>
    <mergeCell ref="B3:B6"/>
    <mergeCell ref="D3:G4"/>
    <mergeCell ref="H3:Q4"/>
    <mergeCell ref="R3:X4"/>
    <mergeCell ref="Y3:AE4"/>
    <mergeCell ref="AF3:AL4"/>
    <mergeCell ref="AM3:AS4"/>
    <mergeCell ref="DS4:EK4"/>
    <mergeCell ref="EL4:ES4"/>
    <mergeCell ref="ET4:EY4"/>
    <mergeCell ref="D5:D6"/>
    <mergeCell ref="E5:E6"/>
    <mergeCell ref="F5:F6"/>
    <mergeCell ref="G5:G6"/>
    <mergeCell ref="H5:H6"/>
    <mergeCell ref="I5:I6"/>
    <mergeCell ref="J5:J6"/>
    <mergeCell ref="DS3:EK3"/>
    <mergeCell ref="EL3:EY3"/>
    <mergeCell ref="BO4:BQ4"/>
    <mergeCell ref="BR4:BT4"/>
    <mergeCell ref="BU4:BW4"/>
    <mergeCell ref="BX4:BZ4"/>
    <mergeCell ref="CA4:CC4"/>
    <mergeCell ref="CD4:CF4"/>
    <mergeCell ref="CG4:CI4"/>
    <mergeCell ref="CJ4:CL4"/>
    <mergeCell ref="AT3:AZ4"/>
    <mergeCell ref="BA3:BG4"/>
    <mergeCell ref="BH3:BN4"/>
    <mergeCell ref="BX196:BX199"/>
    <mergeCell ref="BY196:BY199"/>
    <mergeCell ref="BZ196:BZ199"/>
    <mergeCell ref="CA196:CA199"/>
    <mergeCell ref="CB196:CB199"/>
    <mergeCell ref="CC196:CC199"/>
    <mergeCell ref="CD196:CD199"/>
    <mergeCell ref="CE196:CE199"/>
    <mergeCell ref="CF196:CF199"/>
    <mergeCell ref="CG196:CG199"/>
    <mergeCell ref="CH196:CH199"/>
    <mergeCell ref="CI196:CI199"/>
    <mergeCell ref="CJ196:CJ199"/>
    <mergeCell ref="CK196:CK199"/>
    <mergeCell ref="CL196:CL199"/>
    <mergeCell ref="CM196:CM199"/>
    <mergeCell ref="CF192:CF195"/>
    <mergeCell ref="CG192:CG195"/>
    <mergeCell ref="CA192:CA195"/>
    <mergeCell ref="CB192:CB195"/>
    <mergeCell ref="CH204:CH207"/>
    <mergeCell ref="CI204:CI207"/>
    <mergeCell ref="CJ204:CJ207"/>
    <mergeCell ref="CK204:CK207"/>
    <mergeCell ref="CL204:CL207"/>
    <mergeCell ref="CM204:CM207"/>
    <mergeCell ref="CJ200:CJ203"/>
    <mergeCell ref="CK200:CK203"/>
    <mergeCell ref="CL200:CL203"/>
    <mergeCell ref="CM200:CM203"/>
    <mergeCell ref="CH192:CH195"/>
    <mergeCell ref="CI192:CI195"/>
    <mergeCell ref="CJ192:CJ195"/>
    <mergeCell ref="CK192:CK195"/>
    <mergeCell ref="CL192:CL195"/>
    <mergeCell ref="CM192:CM195"/>
    <mergeCell ref="CN192:CN195"/>
    <mergeCell ref="CN196:CN199"/>
    <mergeCell ref="CN204:CN207"/>
    <mergeCell ref="CN200:CN203"/>
    <mergeCell ref="BW200:BW203"/>
    <mergeCell ref="BX200:BX203"/>
    <mergeCell ref="BY200:BY203"/>
    <mergeCell ref="BZ200:BZ203"/>
    <mergeCell ref="CA200:CA203"/>
    <mergeCell ref="CB200:CB203"/>
    <mergeCell ref="CC200:CC203"/>
    <mergeCell ref="CD200:CD203"/>
    <mergeCell ref="CE200:CE203"/>
    <mergeCell ref="CF200:CF203"/>
    <mergeCell ref="CG200:CG203"/>
    <mergeCell ref="CH200:CH203"/>
    <mergeCell ref="CI200:CI203"/>
    <mergeCell ref="BO192:BO195"/>
    <mergeCell ref="BP192:BP195"/>
    <mergeCell ref="BQ192:BQ195"/>
    <mergeCell ref="BR192:BR195"/>
    <mergeCell ref="BS192:BS195"/>
    <mergeCell ref="BT192:BT195"/>
    <mergeCell ref="BU192:BU195"/>
    <mergeCell ref="BV192:BV195"/>
    <mergeCell ref="BO196:BO199"/>
    <mergeCell ref="BP196:BP199"/>
    <mergeCell ref="BQ196:BQ199"/>
    <mergeCell ref="BR196:BR199"/>
    <mergeCell ref="BS196:BS199"/>
    <mergeCell ref="BT196:BT199"/>
    <mergeCell ref="BU196:BU199"/>
    <mergeCell ref="BV196:BV199"/>
    <mergeCell ref="BO200:BO203"/>
    <mergeCell ref="BP200:BP203"/>
    <mergeCell ref="BW196:BW199"/>
    <mergeCell ref="BP204:BP207"/>
    <mergeCell ref="BQ204:BQ207"/>
    <mergeCell ref="BR204:BR207"/>
    <mergeCell ref="BO220:BO223"/>
    <mergeCell ref="BP220:BP223"/>
    <mergeCell ref="BQ220:BQ223"/>
    <mergeCell ref="BR220:BR223"/>
    <mergeCell ref="BQ200:BQ203"/>
    <mergeCell ref="BR200:BR203"/>
    <mergeCell ref="BS200:BS203"/>
    <mergeCell ref="BT200:BT203"/>
    <mergeCell ref="BU200:BU203"/>
    <mergeCell ref="BV200:BV203"/>
    <mergeCell ref="BT204:BT207"/>
    <mergeCell ref="BU204:BU207"/>
    <mergeCell ref="BV204:BV207"/>
    <mergeCell ref="BO208:BO211"/>
    <mergeCell ref="BP208:BP211"/>
    <mergeCell ref="BQ208:BQ211"/>
    <mergeCell ref="BR208:BR211"/>
    <mergeCell ref="BS208:BS211"/>
    <mergeCell ref="BT208:BT211"/>
    <mergeCell ref="BU208:BU211"/>
    <mergeCell ref="BV208:BV211"/>
    <mergeCell ref="BO216:BO219"/>
    <mergeCell ref="BP216:BP219"/>
    <mergeCell ref="BQ216:BQ219"/>
    <mergeCell ref="BJ204:BJ207"/>
    <mergeCell ref="BK204:BK207"/>
    <mergeCell ref="BL204:BL207"/>
    <mergeCell ref="BM204:BM207"/>
    <mergeCell ref="BN204:BN207"/>
    <mergeCell ref="BI224:BI227"/>
    <mergeCell ref="BJ224:BJ227"/>
    <mergeCell ref="BK224:BK227"/>
    <mergeCell ref="BL224:BL227"/>
    <mergeCell ref="BM224:BM227"/>
    <mergeCell ref="BN224:BN227"/>
    <mergeCell ref="BI228:BI231"/>
    <mergeCell ref="BJ228:BJ231"/>
    <mergeCell ref="BK228:BK231"/>
    <mergeCell ref="BL228:BL231"/>
    <mergeCell ref="BM228:BM231"/>
    <mergeCell ref="BN228:BN231"/>
    <mergeCell ref="BI212:BI215"/>
    <mergeCell ref="BJ212:BJ215"/>
    <mergeCell ref="BK212:BK215"/>
    <mergeCell ref="BL212:BL215"/>
    <mergeCell ref="BM212:BM215"/>
    <mergeCell ref="BN212:BN215"/>
    <mergeCell ref="BI216:BI219"/>
    <mergeCell ref="BJ216:BJ219"/>
    <mergeCell ref="BK216:BK219"/>
    <mergeCell ref="BL216:BL219"/>
    <mergeCell ref="BM216:BM219"/>
    <mergeCell ref="BN216:BN219"/>
    <mergeCell ref="BI220:BI223"/>
    <mergeCell ref="BJ220:BJ223"/>
    <mergeCell ref="BK220:BK223"/>
    <mergeCell ref="BL220:BL223"/>
    <mergeCell ref="BM220:BM223"/>
    <mergeCell ref="BN220:BN223"/>
    <mergeCell ref="BO212:BO215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X212:BX215"/>
    <mergeCell ref="BY212:BY215"/>
    <mergeCell ref="BR216:BR219"/>
    <mergeCell ref="BT216:BT219"/>
    <mergeCell ref="BU216:BU219"/>
    <mergeCell ref="BV216:BV219"/>
    <mergeCell ref="BW216:BW219"/>
    <mergeCell ref="BX216:BX219"/>
    <mergeCell ref="BY216:BY219"/>
    <mergeCell ref="BS220:BS223"/>
    <mergeCell ref="BT220:BT223"/>
    <mergeCell ref="BU220:BU223"/>
    <mergeCell ref="BV220:BV223"/>
    <mergeCell ref="BW220:BW223"/>
    <mergeCell ref="BX220:BX223"/>
    <mergeCell ref="BY220:BY223"/>
    <mergeCell ref="CF216:CF219"/>
    <mergeCell ref="CG216:CG219"/>
    <mergeCell ref="BS204:BS207"/>
    <mergeCell ref="CC208:CC211"/>
    <mergeCell ref="CD208:CD211"/>
    <mergeCell ref="CE208:CE211"/>
    <mergeCell ref="CF208:CF211"/>
    <mergeCell ref="CG208:CG211"/>
    <mergeCell ref="BZ212:BZ215"/>
    <mergeCell ref="CA212:CA215"/>
    <mergeCell ref="CB212:CB215"/>
    <mergeCell ref="BW204:BW207"/>
    <mergeCell ref="BX204:BX207"/>
    <mergeCell ref="BY204:BY207"/>
    <mergeCell ref="BZ204:BZ207"/>
    <mergeCell ref="CA204:CA207"/>
    <mergeCell ref="CB204:CB207"/>
    <mergeCell ref="CC204:CC207"/>
    <mergeCell ref="CD204:CD207"/>
    <mergeCell ref="CE204:CE207"/>
    <mergeCell ref="CF204:CF207"/>
    <mergeCell ref="CG204:CG207"/>
    <mergeCell ref="CN208:CN211"/>
    <mergeCell ref="CF212:CF215"/>
    <mergeCell ref="CG212:CG215"/>
    <mergeCell ref="CH212:CH215"/>
    <mergeCell ref="CI212:CI215"/>
    <mergeCell ref="CJ212:CJ215"/>
    <mergeCell ref="CK212:CK215"/>
    <mergeCell ref="CL212:CL215"/>
    <mergeCell ref="CM212:CM215"/>
    <mergeCell ref="CN212:CN215"/>
    <mergeCell ref="BW208:BW211"/>
    <mergeCell ref="BX208:BX211"/>
    <mergeCell ref="BY208:BY211"/>
    <mergeCell ref="BZ208:BZ211"/>
    <mergeCell ref="CA208:CA211"/>
    <mergeCell ref="CB208:CB211"/>
    <mergeCell ref="CJ216:CJ219"/>
    <mergeCell ref="CK216:CK219"/>
    <mergeCell ref="CL216:CL219"/>
    <mergeCell ref="CM216:CM219"/>
    <mergeCell ref="CN216:CN219"/>
    <mergeCell ref="CC212:CC215"/>
    <mergeCell ref="CD212:CD215"/>
    <mergeCell ref="CE212:CE215"/>
    <mergeCell ref="CH208:CH211"/>
    <mergeCell ref="CI208:CI211"/>
    <mergeCell ref="CJ208:CJ211"/>
    <mergeCell ref="CK208:CK211"/>
    <mergeCell ref="CL208:CL211"/>
    <mergeCell ref="CM208:CM211"/>
    <mergeCell ref="BZ216:BZ219"/>
    <mergeCell ref="CA216:CA219"/>
    <mergeCell ref="CF220:CF223"/>
    <mergeCell ref="CG220:CG223"/>
    <mergeCell ref="CH220:CH223"/>
    <mergeCell ref="CI220:CI223"/>
    <mergeCell ref="CJ220:CJ223"/>
    <mergeCell ref="CK220:CK223"/>
    <mergeCell ref="CL220:CL223"/>
    <mergeCell ref="CM220:CM223"/>
    <mergeCell ref="CN220:CN223"/>
    <mergeCell ref="BS216:BS219"/>
    <mergeCell ref="CI228:CI231"/>
    <mergeCell ref="CJ228:CJ231"/>
    <mergeCell ref="CK228:CK231"/>
    <mergeCell ref="CL228:CL231"/>
    <mergeCell ref="CM228:CM231"/>
    <mergeCell ref="CN228:CN231"/>
    <mergeCell ref="CF224:CF227"/>
    <mergeCell ref="CG224:CG227"/>
    <mergeCell ref="CH224:CH227"/>
    <mergeCell ref="CI224:CI227"/>
    <mergeCell ref="CJ224:CJ227"/>
    <mergeCell ref="CK224:CK227"/>
    <mergeCell ref="CL224:CL227"/>
    <mergeCell ref="CM224:CM227"/>
    <mergeCell ref="CN224:CN227"/>
    <mergeCell ref="CF228:CF231"/>
    <mergeCell ref="CH216:CH219"/>
    <mergeCell ref="CI216:CI219"/>
    <mergeCell ref="CB216:CB219"/>
    <mergeCell ref="CC216:CC219"/>
    <mergeCell ref="CD216:CD219"/>
    <mergeCell ref="CE216:CE219"/>
    <mergeCell ref="BS224:BS227"/>
    <mergeCell ref="BT224:BT227"/>
    <mergeCell ref="BU224:BU227"/>
    <mergeCell ref="BV224:BV227"/>
    <mergeCell ref="BW224:BW227"/>
    <mergeCell ref="BX224:BX227"/>
    <mergeCell ref="BY224:BY227"/>
    <mergeCell ref="BZ224:BZ227"/>
    <mergeCell ref="CA224:CA227"/>
    <mergeCell ref="CB224:CB227"/>
    <mergeCell ref="CC224:CC227"/>
    <mergeCell ref="CD224:CD227"/>
    <mergeCell ref="CE224:CE227"/>
    <mergeCell ref="BZ220:BZ223"/>
    <mergeCell ref="CA220:CA223"/>
    <mergeCell ref="CB220:CB223"/>
    <mergeCell ref="CC220:CC223"/>
    <mergeCell ref="CD220:CD223"/>
    <mergeCell ref="CE220:CE223"/>
    <mergeCell ref="CH228:CH231"/>
    <mergeCell ref="C3:C6"/>
    <mergeCell ref="C7:C10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C47:C50"/>
    <mergeCell ref="C51:C54"/>
    <mergeCell ref="C55:C58"/>
    <mergeCell ref="C59:C62"/>
    <mergeCell ref="C63:C66"/>
    <mergeCell ref="C68:C71"/>
    <mergeCell ref="C72:C75"/>
    <mergeCell ref="C76:C79"/>
    <mergeCell ref="C80:C83"/>
    <mergeCell ref="C84:C87"/>
    <mergeCell ref="C88:C91"/>
    <mergeCell ref="C92:C95"/>
    <mergeCell ref="C96:C99"/>
    <mergeCell ref="C100:C103"/>
    <mergeCell ref="BO228:BO231"/>
    <mergeCell ref="BP228:BP231"/>
    <mergeCell ref="BQ228:BQ231"/>
    <mergeCell ref="BP224:BP227"/>
    <mergeCell ref="BQ224:BQ227"/>
    <mergeCell ref="BR224:BR227"/>
    <mergeCell ref="C136:C140"/>
    <mergeCell ref="C141:C145"/>
    <mergeCell ref="C146:C149"/>
    <mergeCell ref="C150:C155"/>
    <mergeCell ref="C156:C159"/>
    <mergeCell ref="C160:C163"/>
    <mergeCell ref="C164:C167"/>
    <mergeCell ref="C168:C171"/>
    <mergeCell ref="C172:C175"/>
    <mergeCell ref="C176:C179"/>
    <mergeCell ref="C180:C183"/>
    <mergeCell ref="C184:C187"/>
    <mergeCell ref="C188:C191"/>
    <mergeCell ref="C192:C195"/>
    <mergeCell ref="C196:C199"/>
    <mergeCell ref="C200:C203"/>
    <mergeCell ref="CG228:CG231"/>
    <mergeCell ref="BR228:BR231"/>
    <mergeCell ref="BS228:BS231"/>
    <mergeCell ref="BT228:BT231"/>
    <mergeCell ref="BU228:BU231"/>
    <mergeCell ref="BV228:BV231"/>
    <mergeCell ref="BW228:BW231"/>
    <mergeCell ref="BX228:BX231"/>
    <mergeCell ref="BY228:BY231"/>
    <mergeCell ref="BZ228:BZ231"/>
    <mergeCell ref="CA228:CA231"/>
    <mergeCell ref="CB228:CB231"/>
    <mergeCell ref="CC228:CC231"/>
    <mergeCell ref="CD228:CD231"/>
    <mergeCell ref="CE228:CE231"/>
    <mergeCell ref="BO224:BO227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FEE3-7203-4BD4-B912-C941071BC528}">
  <dimension ref="A1:R259"/>
  <sheetViews>
    <sheetView topLeftCell="A220" workbookViewId="0">
      <selection activeCell="C236" sqref="C236"/>
    </sheetView>
  </sheetViews>
  <sheetFormatPr defaultRowHeight="18.75"/>
  <cols>
    <col min="1" max="1" width="9.85546875" style="55" customWidth="1"/>
    <col min="2" max="2" width="15.7109375" style="55" bestFit="1" customWidth="1"/>
    <col min="3" max="4" width="15.28515625" style="44" customWidth="1"/>
    <col min="5" max="5" width="16" style="44" customWidth="1"/>
    <col min="6" max="7" width="15.28515625" style="44" customWidth="1"/>
  </cols>
  <sheetData>
    <row r="1" spans="1:7" ht="15.75" customHeight="1">
      <c r="A1" s="182" t="s">
        <v>240</v>
      </c>
      <c r="B1" s="185" t="s">
        <v>241</v>
      </c>
      <c r="C1" s="185" t="s">
        <v>242</v>
      </c>
      <c r="D1" s="185" t="s">
        <v>73</v>
      </c>
      <c r="E1" s="187" t="s">
        <v>243</v>
      </c>
      <c r="F1" s="185" t="s">
        <v>244</v>
      </c>
      <c r="G1" s="180" t="s">
        <v>245</v>
      </c>
    </row>
    <row r="2" spans="1:7" ht="15.75" customHeight="1">
      <c r="A2" s="183"/>
      <c r="B2" s="186"/>
      <c r="C2" s="186"/>
      <c r="D2" s="186"/>
      <c r="E2" s="188"/>
      <c r="F2" s="186"/>
      <c r="G2" s="181"/>
    </row>
    <row r="3" spans="1:7" ht="30.75" customHeight="1">
      <c r="A3" s="184"/>
      <c r="B3" s="186"/>
      <c r="C3" s="186"/>
      <c r="D3" s="186"/>
      <c r="E3" s="188"/>
      <c r="F3" s="186"/>
      <c r="G3" s="181"/>
    </row>
    <row r="4" spans="1:7" ht="15.75" customHeight="1">
      <c r="A4" s="57">
        <v>1</v>
      </c>
      <c r="B4" s="57" t="s">
        <v>89</v>
      </c>
      <c r="C4" s="58">
        <v>6</v>
      </c>
      <c r="D4" s="58">
        <v>45</v>
      </c>
      <c r="E4" s="58">
        <v>47820</v>
      </c>
      <c r="F4" s="58">
        <v>14</v>
      </c>
      <c r="G4" s="58">
        <v>0</v>
      </c>
    </row>
    <row r="5" spans="1:7" ht="15.75" customHeight="1">
      <c r="A5" s="57"/>
      <c r="B5" s="57" t="s">
        <v>89</v>
      </c>
      <c r="C5" s="58"/>
      <c r="D5" s="58">
        <v>46</v>
      </c>
      <c r="E5" s="58">
        <v>18620</v>
      </c>
      <c r="F5" s="58"/>
      <c r="G5" s="58"/>
    </row>
    <row r="6" spans="1:7" ht="15.75" customHeight="1">
      <c r="A6" s="57"/>
      <c r="B6" s="57" t="s">
        <v>89</v>
      </c>
      <c r="C6" s="58">
        <v>5</v>
      </c>
      <c r="D6" s="58">
        <v>57</v>
      </c>
      <c r="E6" s="58">
        <v>14230</v>
      </c>
      <c r="F6" s="58"/>
      <c r="G6" s="58"/>
    </row>
    <row r="7" spans="1:7" ht="15.75" customHeight="1">
      <c r="A7" s="57"/>
      <c r="B7" s="57" t="s">
        <v>89</v>
      </c>
      <c r="C7" s="58"/>
      <c r="D7" s="58">
        <v>13</v>
      </c>
      <c r="E7" s="58">
        <v>47810</v>
      </c>
      <c r="F7" s="58">
        <v>14</v>
      </c>
      <c r="G7" s="58">
        <v>0</v>
      </c>
    </row>
    <row r="8" spans="1:7" ht="15.75" customHeight="1">
      <c r="A8" s="57"/>
      <c r="B8" s="57" t="s">
        <v>89</v>
      </c>
      <c r="C8" s="58"/>
      <c r="D8" s="58">
        <v>28</v>
      </c>
      <c r="E8" s="58">
        <v>12230</v>
      </c>
      <c r="F8" s="58">
        <v>3</v>
      </c>
      <c r="G8" s="58">
        <v>6</v>
      </c>
    </row>
    <row r="9" spans="1:7" ht="15.75" customHeight="1">
      <c r="A9" s="57"/>
      <c r="B9" s="57" t="s">
        <v>89</v>
      </c>
      <c r="C9" s="58">
        <v>7</v>
      </c>
      <c r="D9" s="58">
        <v>46</v>
      </c>
      <c r="E9" s="58">
        <v>27800</v>
      </c>
      <c r="F9" s="59"/>
      <c r="G9" s="59"/>
    </row>
    <row r="10" spans="1:7" ht="15.75" customHeight="1">
      <c r="A10" s="57"/>
      <c r="B10" s="57" t="s">
        <v>89</v>
      </c>
      <c r="C10" s="58"/>
      <c r="D10" s="58">
        <v>57</v>
      </c>
      <c r="E10" s="58">
        <v>30060</v>
      </c>
      <c r="F10" s="59"/>
      <c r="G10" s="59"/>
    </row>
    <row r="11" spans="1:7" ht="15.75" customHeight="1">
      <c r="A11" s="57">
        <v>2</v>
      </c>
      <c r="B11" s="57" t="s">
        <v>246</v>
      </c>
      <c r="C11" s="58">
        <v>1</v>
      </c>
      <c r="D11" s="58">
        <v>60</v>
      </c>
      <c r="E11" s="58">
        <v>39610</v>
      </c>
      <c r="F11" s="58"/>
      <c r="G11" s="58"/>
    </row>
    <row r="12" spans="1:7" ht="15.75" customHeight="1">
      <c r="A12" s="57"/>
      <c r="B12" s="57" t="s">
        <v>246</v>
      </c>
      <c r="C12" s="58"/>
      <c r="D12" s="58">
        <v>59</v>
      </c>
      <c r="E12" s="58">
        <v>45950</v>
      </c>
      <c r="F12" s="58"/>
      <c r="G12" s="58"/>
    </row>
    <row r="13" spans="1:7" ht="15.75" customHeight="1">
      <c r="A13" s="57"/>
      <c r="B13" s="57" t="s">
        <v>246</v>
      </c>
      <c r="C13" s="58">
        <v>3</v>
      </c>
      <c r="D13" s="58">
        <v>2</v>
      </c>
      <c r="E13" s="58">
        <v>47730</v>
      </c>
      <c r="F13" s="58">
        <v>14</v>
      </c>
      <c r="G13" s="58">
        <v>0</v>
      </c>
    </row>
    <row r="14" spans="1:7" ht="15.75" customHeight="1">
      <c r="A14" s="57"/>
      <c r="B14" s="57" t="s">
        <v>246</v>
      </c>
      <c r="C14" s="58"/>
      <c r="D14" s="58">
        <v>5</v>
      </c>
      <c r="E14" s="58">
        <v>3160</v>
      </c>
      <c r="F14" s="58">
        <v>1</v>
      </c>
      <c r="G14" s="58">
        <v>2</v>
      </c>
    </row>
    <row r="15" spans="1:7" ht="15.75" customHeight="1">
      <c r="A15" s="57"/>
      <c r="B15" s="57" t="s">
        <v>246</v>
      </c>
      <c r="C15" s="58">
        <v>10</v>
      </c>
      <c r="D15" s="58">
        <v>28</v>
      </c>
      <c r="E15" s="58">
        <v>34440</v>
      </c>
      <c r="F15" s="58">
        <v>10</v>
      </c>
      <c r="G15" s="58">
        <v>12</v>
      </c>
    </row>
    <row r="16" spans="1:7" ht="15.6" customHeight="1">
      <c r="A16" s="57"/>
      <c r="B16" s="57" t="s">
        <v>246</v>
      </c>
      <c r="C16" s="58"/>
      <c r="D16" s="58">
        <v>59</v>
      </c>
      <c r="E16" s="58">
        <v>23720</v>
      </c>
      <c r="F16" s="58"/>
      <c r="G16" s="58"/>
    </row>
    <row r="17" spans="1:7" ht="15.75" customHeight="1">
      <c r="A17" s="57">
        <v>3</v>
      </c>
      <c r="B17" s="57" t="s">
        <v>247</v>
      </c>
      <c r="C17" s="58">
        <v>11</v>
      </c>
      <c r="D17" s="58">
        <v>5</v>
      </c>
      <c r="E17" s="58">
        <v>46880</v>
      </c>
      <c r="F17" s="58">
        <v>12</v>
      </c>
      <c r="G17" s="58">
        <v>16</v>
      </c>
    </row>
    <row r="18" spans="1:7" ht="15.75" customHeight="1">
      <c r="A18" s="57"/>
      <c r="B18" s="57" t="s">
        <v>247</v>
      </c>
      <c r="C18" s="58"/>
      <c r="D18" s="58">
        <v>3</v>
      </c>
      <c r="E18" s="58">
        <v>18700</v>
      </c>
      <c r="F18" s="58">
        <v>5</v>
      </c>
      <c r="G18" s="58">
        <v>6</v>
      </c>
    </row>
    <row r="19" spans="1:7" ht="15.75" customHeight="1">
      <c r="A19" s="57"/>
      <c r="B19" s="57" t="s">
        <v>247</v>
      </c>
      <c r="C19" s="58">
        <v>12</v>
      </c>
      <c r="D19" s="58">
        <v>3</v>
      </c>
      <c r="E19" s="58">
        <v>30350</v>
      </c>
      <c r="F19" s="58">
        <v>8</v>
      </c>
      <c r="G19" s="58">
        <v>12</v>
      </c>
    </row>
    <row r="20" spans="1:7" ht="15.75" customHeight="1">
      <c r="A20" s="57"/>
      <c r="B20" s="57" t="s">
        <v>247</v>
      </c>
      <c r="C20" s="58"/>
      <c r="D20" s="58">
        <v>43</v>
      </c>
      <c r="E20" s="58">
        <v>30900</v>
      </c>
      <c r="F20" s="58"/>
      <c r="G20" s="58"/>
    </row>
    <row r="21" spans="1:7" ht="15.75" customHeight="1">
      <c r="A21" s="57"/>
      <c r="B21" s="57" t="s">
        <v>247</v>
      </c>
      <c r="C21" s="58">
        <v>2</v>
      </c>
      <c r="D21" s="58">
        <v>43</v>
      </c>
      <c r="E21" s="58">
        <v>18330</v>
      </c>
      <c r="F21" s="58"/>
      <c r="G21" s="58"/>
    </row>
    <row r="22" spans="1:7" ht="15.75" customHeight="1">
      <c r="A22" s="57"/>
      <c r="B22" s="57" t="s">
        <v>247</v>
      </c>
      <c r="C22" s="58"/>
      <c r="D22" s="58">
        <v>61</v>
      </c>
      <c r="E22" s="58">
        <v>51510</v>
      </c>
      <c r="F22" s="58"/>
      <c r="G22" s="58"/>
    </row>
    <row r="23" spans="1:7" ht="15.75" customHeight="1">
      <c r="A23" s="57"/>
      <c r="B23" s="57" t="s">
        <v>247</v>
      </c>
      <c r="C23" s="58"/>
      <c r="D23" s="58">
        <v>25</v>
      </c>
      <c r="E23" s="58">
        <v>14300</v>
      </c>
      <c r="F23" s="58">
        <v>4</v>
      </c>
      <c r="G23" s="58">
        <v>16</v>
      </c>
    </row>
    <row r="24" spans="1:7" ht="15.75" customHeight="1">
      <c r="A24" s="57">
        <v>4</v>
      </c>
      <c r="B24" s="57" t="s">
        <v>248</v>
      </c>
      <c r="C24" s="58">
        <v>5</v>
      </c>
      <c r="D24" s="58">
        <v>25</v>
      </c>
      <c r="E24" s="58">
        <v>30360</v>
      </c>
      <c r="F24" s="58">
        <v>9</v>
      </c>
      <c r="G24" s="58">
        <v>2</v>
      </c>
    </row>
    <row r="25" spans="1:7" ht="15.75" customHeight="1">
      <c r="A25" s="57"/>
      <c r="B25" s="57" t="s">
        <v>248</v>
      </c>
      <c r="C25" s="58"/>
      <c r="D25" s="58">
        <v>35</v>
      </c>
      <c r="E25" s="58">
        <v>39620</v>
      </c>
      <c r="F25" s="58">
        <v>11</v>
      </c>
      <c r="G25" s="58">
        <v>14</v>
      </c>
    </row>
    <row r="26" spans="1:7" ht="15.75" customHeight="1">
      <c r="A26" s="57"/>
      <c r="B26" s="57" t="s">
        <v>248</v>
      </c>
      <c r="C26" s="58">
        <v>6</v>
      </c>
      <c r="D26" s="58">
        <v>35</v>
      </c>
      <c r="E26" s="58">
        <v>7240</v>
      </c>
      <c r="F26" s="58">
        <v>2</v>
      </c>
      <c r="G26" s="58">
        <v>4</v>
      </c>
    </row>
    <row r="27" spans="1:7" ht="15.75" customHeight="1">
      <c r="A27" s="57"/>
      <c r="B27" s="57" t="s">
        <v>248</v>
      </c>
      <c r="C27" s="58"/>
      <c r="D27" s="58">
        <v>31</v>
      </c>
      <c r="E27" s="58">
        <v>18020</v>
      </c>
      <c r="F27" s="58">
        <v>5</v>
      </c>
      <c r="G27" s="58">
        <v>10</v>
      </c>
    </row>
    <row r="28" spans="1:7" ht="15.75" customHeight="1">
      <c r="A28" s="57"/>
      <c r="B28" s="57" t="s">
        <v>248</v>
      </c>
      <c r="C28" s="58"/>
      <c r="D28" s="58">
        <v>62</v>
      </c>
      <c r="E28" s="58">
        <v>46670</v>
      </c>
      <c r="F28" s="58"/>
      <c r="G28" s="58"/>
    </row>
    <row r="29" spans="1:7" ht="15.75" customHeight="1">
      <c r="A29" s="57"/>
      <c r="B29" s="57" t="s">
        <v>248</v>
      </c>
      <c r="C29" s="58">
        <v>10</v>
      </c>
      <c r="D29" s="58">
        <v>31</v>
      </c>
      <c r="E29" s="58">
        <v>26910</v>
      </c>
      <c r="F29" s="58">
        <v>7</v>
      </c>
      <c r="G29" s="58">
        <v>8</v>
      </c>
    </row>
    <row r="30" spans="1:7" ht="15.75" customHeight="1">
      <c r="A30" s="57"/>
      <c r="B30" s="57" t="s">
        <v>248</v>
      </c>
      <c r="C30" s="58"/>
      <c r="D30" s="58">
        <v>22</v>
      </c>
      <c r="E30" s="58">
        <v>11630</v>
      </c>
      <c r="F30" s="58">
        <v>3</v>
      </c>
      <c r="G30" s="58">
        <v>10</v>
      </c>
    </row>
    <row r="31" spans="1:7" ht="15.75" customHeight="1">
      <c r="A31" s="57">
        <v>5</v>
      </c>
      <c r="B31" s="57" t="s">
        <v>249</v>
      </c>
      <c r="C31" s="58">
        <v>1</v>
      </c>
      <c r="D31" s="58">
        <v>22</v>
      </c>
      <c r="E31" s="58">
        <v>36440</v>
      </c>
      <c r="F31" s="58">
        <v>10</v>
      </c>
      <c r="G31" s="58">
        <v>8</v>
      </c>
    </row>
    <row r="32" spans="1:7" ht="15.75" customHeight="1">
      <c r="A32" s="57"/>
      <c r="B32" s="57" t="s">
        <v>249</v>
      </c>
      <c r="C32" s="58"/>
      <c r="D32" s="58">
        <v>68</v>
      </c>
      <c r="E32" s="58">
        <v>33640</v>
      </c>
      <c r="F32" s="58"/>
      <c r="G32" s="58"/>
    </row>
    <row r="33" spans="1:7" ht="15.75" customHeight="1">
      <c r="A33" s="57"/>
      <c r="B33" s="57" t="s">
        <v>249</v>
      </c>
      <c r="C33" s="58">
        <v>3</v>
      </c>
      <c r="D33" s="58">
        <v>9</v>
      </c>
      <c r="E33" s="58">
        <v>49590</v>
      </c>
      <c r="F33" s="58">
        <v>14</v>
      </c>
      <c r="G33" s="58">
        <v>0</v>
      </c>
    </row>
    <row r="34" spans="1:7" ht="15.75" customHeight="1">
      <c r="A34" s="57"/>
      <c r="B34" s="57" t="s">
        <v>249</v>
      </c>
      <c r="C34" s="58"/>
      <c r="D34" s="58">
        <v>26</v>
      </c>
      <c r="E34" s="58">
        <v>21190</v>
      </c>
      <c r="F34" s="58">
        <v>5</v>
      </c>
      <c r="G34" s="58">
        <v>14</v>
      </c>
    </row>
    <row r="35" spans="1:7" ht="15.75" customHeight="1">
      <c r="A35" s="57"/>
      <c r="B35" s="57" t="s">
        <v>249</v>
      </c>
      <c r="C35" s="58">
        <v>11</v>
      </c>
      <c r="D35" s="58">
        <v>69</v>
      </c>
      <c r="E35" s="58">
        <v>46080</v>
      </c>
      <c r="F35" s="58"/>
      <c r="G35" s="58"/>
    </row>
    <row r="36" spans="1:7" ht="15.75" customHeight="1">
      <c r="A36" s="57"/>
      <c r="B36" s="57" t="s">
        <v>249</v>
      </c>
      <c r="C36" s="58"/>
      <c r="D36" s="58">
        <v>68</v>
      </c>
      <c r="E36" s="58">
        <v>13600</v>
      </c>
      <c r="F36" s="58"/>
      <c r="G36" s="58"/>
    </row>
    <row r="37" spans="1:7" ht="15.75" customHeight="1">
      <c r="A37" s="57">
        <v>6</v>
      </c>
      <c r="B37" s="57" t="s">
        <v>250</v>
      </c>
      <c r="C37" s="58">
        <v>2</v>
      </c>
      <c r="D37" s="58">
        <v>27</v>
      </c>
      <c r="E37" s="58">
        <v>28130</v>
      </c>
      <c r="F37" s="58">
        <v>8</v>
      </c>
      <c r="G37" s="58">
        <v>2</v>
      </c>
    </row>
    <row r="38" spans="1:7" ht="15.75" customHeight="1">
      <c r="A38" s="57"/>
      <c r="B38" s="57" t="s">
        <v>250</v>
      </c>
      <c r="C38" s="58"/>
      <c r="D38" s="58">
        <v>63</v>
      </c>
      <c r="E38" s="58">
        <v>46840</v>
      </c>
      <c r="F38" s="58"/>
      <c r="G38" s="58"/>
    </row>
    <row r="39" spans="1:7" ht="15.75" customHeight="1">
      <c r="A39" s="57"/>
      <c r="B39" s="57" t="s">
        <v>250</v>
      </c>
      <c r="C39" s="58">
        <v>7</v>
      </c>
      <c r="D39" s="58">
        <v>26</v>
      </c>
      <c r="E39" s="58">
        <v>27760</v>
      </c>
      <c r="F39" s="58">
        <v>8</v>
      </c>
      <c r="G39" s="58">
        <v>2</v>
      </c>
    </row>
    <row r="40" spans="1:7" ht="15.75" customHeight="1">
      <c r="A40" s="57"/>
      <c r="B40" s="57" t="s">
        <v>250</v>
      </c>
      <c r="C40" s="58"/>
      <c r="D40" s="58">
        <v>27</v>
      </c>
      <c r="E40" s="58">
        <v>21830</v>
      </c>
      <c r="F40" s="58">
        <v>5</v>
      </c>
      <c r="G40" s="58">
        <v>16</v>
      </c>
    </row>
    <row r="41" spans="1:7" ht="15.75" customHeight="1">
      <c r="A41" s="57"/>
      <c r="B41" s="57" t="s">
        <v>250</v>
      </c>
      <c r="C41" s="58">
        <v>8</v>
      </c>
      <c r="D41" s="58">
        <v>63</v>
      </c>
      <c r="E41" s="58">
        <v>3300</v>
      </c>
      <c r="F41" s="58"/>
      <c r="G41" s="58"/>
    </row>
    <row r="42" spans="1:7" ht="15.75" customHeight="1">
      <c r="A42" s="57"/>
      <c r="B42" s="57" t="s">
        <v>250</v>
      </c>
      <c r="C42" s="58"/>
      <c r="D42" s="58">
        <v>64</v>
      </c>
      <c r="E42" s="58">
        <v>48110</v>
      </c>
      <c r="F42" s="58"/>
      <c r="G42" s="58"/>
    </row>
    <row r="43" spans="1:7" ht="15.75" customHeight="1">
      <c r="A43" s="57">
        <v>7</v>
      </c>
      <c r="B43" s="57" t="s">
        <v>251</v>
      </c>
      <c r="C43" s="58">
        <v>9</v>
      </c>
      <c r="D43" s="58">
        <v>16</v>
      </c>
      <c r="E43" s="58">
        <v>33810</v>
      </c>
      <c r="F43" s="58">
        <v>10</v>
      </c>
      <c r="G43" s="58">
        <v>0</v>
      </c>
    </row>
    <row r="44" spans="1:7" ht="15.75" customHeight="1">
      <c r="A44" s="57"/>
      <c r="B44" s="57" t="s">
        <v>251</v>
      </c>
      <c r="C44" s="58"/>
      <c r="D44" s="58">
        <v>42</v>
      </c>
      <c r="E44" s="58">
        <v>28900</v>
      </c>
      <c r="F44" s="58">
        <v>8</v>
      </c>
      <c r="G44" s="58">
        <v>7</v>
      </c>
    </row>
    <row r="45" spans="1:7" ht="15.75" customHeight="1">
      <c r="A45" s="57"/>
      <c r="B45" s="57" t="s">
        <v>251</v>
      </c>
      <c r="C45" s="58">
        <v>6</v>
      </c>
      <c r="D45" s="58">
        <v>18</v>
      </c>
      <c r="E45" s="58">
        <v>51490</v>
      </c>
      <c r="F45" s="58">
        <v>14</v>
      </c>
      <c r="G45" s="58">
        <v>0</v>
      </c>
    </row>
    <row r="46" spans="1:7" ht="15.75" customHeight="1">
      <c r="A46" s="57"/>
      <c r="B46" s="57" t="s">
        <v>251</v>
      </c>
      <c r="C46" s="58"/>
      <c r="D46" s="58">
        <v>64</v>
      </c>
      <c r="E46" s="58">
        <v>1350</v>
      </c>
      <c r="F46" s="58"/>
      <c r="G46" s="58"/>
    </row>
    <row r="47" spans="1:7" ht="15.75" customHeight="1">
      <c r="A47" s="57"/>
      <c r="B47" s="57" t="s">
        <v>251</v>
      </c>
      <c r="C47" s="58"/>
      <c r="D47" s="58">
        <v>16</v>
      </c>
      <c r="E47" s="58">
        <v>13350</v>
      </c>
      <c r="F47" s="58">
        <v>4</v>
      </c>
      <c r="G47" s="58">
        <v>0</v>
      </c>
    </row>
    <row r="48" spans="1:7" ht="15.75" customHeight="1">
      <c r="A48" s="57"/>
      <c r="B48" s="57" t="s">
        <v>251</v>
      </c>
      <c r="C48" s="58">
        <v>5</v>
      </c>
      <c r="D48" s="58">
        <v>42</v>
      </c>
      <c r="E48" s="58">
        <v>20080</v>
      </c>
      <c r="F48" s="58">
        <v>5</v>
      </c>
      <c r="G48" s="58">
        <v>11</v>
      </c>
    </row>
    <row r="49" spans="1:7" ht="15.75" customHeight="1">
      <c r="A49" s="57"/>
      <c r="B49" s="57" t="s">
        <v>251</v>
      </c>
      <c r="C49" s="58"/>
      <c r="D49" s="58">
        <v>40</v>
      </c>
      <c r="E49" s="58">
        <v>37550</v>
      </c>
      <c r="F49" s="58">
        <v>10</v>
      </c>
      <c r="G49" s="58">
        <v>12</v>
      </c>
    </row>
    <row r="50" spans="1:7" ht="15.75" customHeight="1">
      <c r="A50" s="57">
        <v>8</v>
      </c>
      <c r="B50" s="57" t="s">
        <v>252</v>
      </c>
      <c r="C50" s="58">
        <v>1</v>
      </c>
      <c r="D50" s="58">
        <v>40</v>
      </c>
      <c r="E50" s="58">
        <v>12150</v>
      </c>
      <c r="F50" s="58">
        <v>3</v>
      </c>
      <c r="G50" s="58">
        <v>6</v>
      </c>
    </row>
    <row r="51" spans="1:7" ht="15.75" customHeight="1">
      <c r="A51" s="57"/>
      <c r="B51" s="57" t="s">
        <v>252</v>
      </c>
      <c r="C51" s="58"/>
      <c r="D51" s="58">
        <v>65</v>
      </c>
      <c r="E51" s="58">
        <v>52460</v>
      </c>
      <c r="F51" s="58">
        <v>14</v>
      </c>
      <c r="G51" s="58">
        <v>0</v>
      </c>
    </row>
    <row r="52" spans="1:7" ht="15.75" customHeight="1">
      <c r="A52" s="57"/>
      <c r="B52" s="57" t="s">
        <v>252</v>
      </c>
      <c r="C52" s="58"/>
      <c r="D52" s="58">
        <v>70</v>
      </c>
      <c r="E52" s="58">
        <v>6660</v>
      </c>
      <c r="F52" s="58"/>
      <c r="G52" s="58"/>
    </row>
    <row r="53" spans="1:7" ht="15.75" customHeight="1">
      <c r="A53" s="57"/>
      <c r="B53" s="57" t="s">
        <v>252</v>
      </c>
      <c r="C53" s="58">
        <v>11</v>
      </c>
      <c r="D53" s="58">
        <v>70</v>
      </c>
      <c r="E53" s="58">
        <v>43940</v>
      </c>
      <c r="F53" s="58"/>
      <c r="G53" s="58"/>
    </row>
    <row r="54" spans="1:7" ht="15.75" customHeight="1">
      <c r="A54" s="57"/>
      <c r="B54" s="57" t="s">
        <v>252</v>
      </c>
      <c r="C54" s="58"/>
      <c r="D54" s="58">
        <v>71</v>
      </c>
      <c r="E54" s="58">
        <v>11220</v>
      </c>
      <c r="F54" s="58"/>
      <c r="G54" s="58"/>
    </row>
    <row r="55" spans="1:7" ht="15.75" customHeight="1">
      <c r="A55" s="57"/>
      <c r="B55" s="57" t="s">
        <v>252</v>
      </c>
      <c r="C55" s="58">
        <v>12</v>
      </c>
      <c r="D55" s="58">
        <v>71</v>
      </c>
      <c r="E55" s="58">
        <v>40060</v>
      </c>
      <c r="F55" s="58"/>
      <c r="G55" s="58"/>
    </row>
    <row r="56" spans="1:7" ht="15.75" customHeight="1">
      <c r="A56" s="57"/>
      <c r="B56" s="57" t="s">
        <v>252</v>
      </c>
      <c r="C56" s="58"/>
      <c r="D56" s="58">
        <v>1</v>
      </c>
      <c r="E56" s="58">
        <v>15890</v>
      </c>
      <c r="F56" s="58"/>
      <c r="G56" s="58"/>
    </row>
    <row r="57" spans="1:7" ht="15.75" customHeight="1">
      <c r="A57" s="57">
        <v>9</v>
      </c>
      <c r="B57" s="57" t="s">
        <v>253</v>
      </c>
      <c r="C57" s="58">
        <v>7</v>
      </c>
      <c r="D57" s="58">
        <v>1</v>
      </c>
      <c r="E57" s="58">
        <v>35380</v>
      </c>
      <c r="F57" s="58"/>
      <c r="G57" s="58"/>
    </row>
    <row r="58" spans="1:7" ht="15.75" customHeight="1">
      <c r="A58" s="57"/>
      <c r="B58" s="57" t="s">
        <v>253</v>
      </c>
      <c r="C58" s="58"/>
      <c r="D58" s="58">
        <v>23</v>
      </c>
      <c r="E58" s="58">
        <v>28530</v>
      </c>
      <c r="F58" s="58">
        <v>8</v>
      </c>
      <c r="G58" s="58">
        <v>1</v>
      </c>
    </row>
    <row r="59" spans="1:7" ht="15.75" customHeight="1">
      <c r="A59" s="57"/>
      <c r="B59" s="57" t="s">
        <v>253</v>
      </c>
      <c r="C59" s="58">
        <v>8</v>
      </c>
      <c r="D59" s="58">
        <v>47</v>
      </c>
      <c r="E59" s="58">
        <v>49950</v>
      </c>
      <c r="F59" s="58">
        <v>13</v>
      </c>
      <c r="G59" s="58">
        <v>11</v>
      </c>
    </row>
    <row r="60" spans="1:7" ht="15.75" customHeight="1">
      <c r="A60" s="57"/>
      <c r="B60" s="57" t="s">
        <v>253</v>
      </c>
      <c r="C60" s="58"/>
      <c r="D60" s="58">
        <v>66</v>
      </c>
      <c r="E60" s="58">
        <v>13560</v>
      </c>
      <c r="F60" s="58"/>
      <c r="G60" s="58"/>
    </row>
    <row r="61" spans="1:7" ht="15.75" customHeight="1">
      <c r="A61" s="57"/>
      <c r="B61" s="57" t="s">
        <v>253</v>
      </c>
      <c r="C61" s="58">
        <v>4</v>
      </c>
      <c r="D61" s="58">
        <v>23</v>
      </c>
      <c r="E61" s="58">
        <v>21450</v>
      </c>
      <c r="F61" s="58">
        <v>5</v>
      </c>
      <c r="G61" s="58">
        <v>17</v>
      </c>
    </row>
    <row r="62" spans="1:7" ht="15.75" customHeight="1">
      <c r="A62" s="57"/>
      <c r="B62" s="57" t="s">
        <v>253</v>
      </c>
      <c r="C62" s="58"/>
      <c r="D62" s="60">
        <v>29</v>
      </c>
      <c r="E62" s="58">
        <v>49910</v>
      </c>
      <c r="F62" s="58">
        <v>14</v>
      </c>
      <c r="G62" s="58">
        <v>0</v>
      </c>
    </row>
    <row r="63" spans="1:7" ht="15.75" customHeight="1">
      <c r="A63" s="57"/>
      <c r="B63" s="57" t="s">
        <v>253</v>
      </c>
      <c r="C63" s="58"/>
      <c r="D63" s="58">
        <v>47</v>
      </c>
      <c r="E63" s="58">
        <v>1360</v>
      </c>
      <c r="F63" s="58">
        <v>0</v>
      </c>
      <c r="G63" s="58">
        <v>7</v>
      </c>
    </row>
    <row r="64" spans="1:7" ht="15.75" customHeight="1">
      <c r="A64" s="57">
        <v>10</v>
      </c>
      <c r="B64" s="57" t="s">
        <v>254</v>
      </c>
      <c r="C64" s="58">
        <v>5</v>
      </c>
      <c r="D64" s="58">
        <v>66</v>
      </c>
      <c r="E64" s="58">
        <v>42820</v>
      </c>
      <c r="F64" s="58"/>
      <c r="G64" s="58"/>
    </row>
    <row r="65" spans="1:18" ht="15.75" customHeight="1">
      <c r="A65" s="57"/>
      <c r="B65" s="57" t="s">
        <v>254</v>
      </c>
      <c r="C65" s="58"/>
      <c r="D65" s="58">
        <v>72</v>
      </c>
      <c r="E65" s="58">
        <v>26340</v>
      </c>
      <c r="F65" s="58"/>
      <c r="G65" s="58"/>
    </row>
    <row r="66" spans="1:18" ht="15.75" customHeight="1">
      <c r="A66" s="57"/>
      <c r="B66" s="57" t="s">
        <v>254</v>
      </c>
      <c r="C66" s="58">
        <v>6</v>
      </c>
      <c r="D66" s="58">
        <v>72</v>
      </c>
      <c r="E66" s="58">
        <v>23670</v>
      </c>
      <c r="F66" s="58"/>
      <c r="G66" s="58"/>
    </row>
    <row r="67" spans="1:18" ht="15.75" customHeight="1">
      <c r="A67" s="57"/>
      <c r="B67" s="57" t="s">
        <v>254</v>
      </c>
      <c r="C67" s="58"/>
      <c r="D67" s="58">
        <v>41</v>
      </c>
      <c r="E67" s="58">
        <v>43720</v>
      </c>
      <c r="F67" s="58">
        <v>12</v>
      </c>
      <c r="G67" s="58">
        <v>7</v>
      </c>
    </row>
    <row r="68" spans="1:18" ht="15.75" customHeight="1">
      <c r="A68" s="57"/>
      <c r="B68" s="57" t="s">
        <v>254</v>
      </c>
      <c r="C68" s="58">
        <v>10</v>
      </c>
      <c r="D68" s="58">
        <v>41</v>
      </c>
      <c r="E68" s="58">
        <v>5410</v>
      </c>
      <c r="F68" s="58">
        <v>1</v>
      </c>
      <c r="G68" s="58">
        <v>11</v>
      </c>
    </row>
    <row r="69" spans="1:18" ht="15.75" customHeight="1">
      <c r="A69" s="57"/>
      <c r="B69" s="57" t="s">
        <v>254</v>
      </c>
      <c r="C69" s="58"/>
      <c r="D69" s="58">
        <v>38</v>
      </c>
      <c r="E69" s="58">
        <v>51620</v>
      </c>
      <c r="F69" s="58">
        <v>14</v>
      </c>
      <c r="G69" s="58">
        <v>0</v>
      </c>
    </row>
    <row r="70" spans="1:18" ht="15.75" customHeight="1">
      <c r="A70" s="57"/>
      <c r="B70" s="57" t="s">
        <v>254</v>
      </c>
      <c r="C70" s="58"/>
      <c r="D70" s="58">
        <v>8</v>
      </c>
      <c r="E70" s="58">
        <v>5450</v>
      </c>
      <c r="F70" s="58">
        <v>1</v>
      </c>
      <c r="G70" s="58">
        <v>8</v>
      </c>
    </row>
    <row r="71" spans="1:18" ht="15.75" customHeight="1">
      <c r="A71" s="57">
        <v>11</v>
      </c>
      <c r="B71" s="57" t="s">
        <v>255</v>
      </c>
      <c r="C71" s="58">
        <v>2</v>
      </c>
      <c r="D71" s="58">
        <v>4</v>
      </c>
      <c r="E71" s="58">
        <v>50610</v>
      </c>
      <c r="F71" s="58">
        <v>14</v>
      </c>
      <c r="G71" s="58">
        <v>0</v>
      </c>
    </row>
    <row r="72" spans="1:18" ht="15.75" customHeight="1">
      <c r="A72" s="57"/>
      <c r="B72" s="57" t="s">
        <v>255</v>
      </c>
      <c r="C72" s="58"/>
      <c r="D72" s="58">
        <v>67</v>
      </c>
      <c r="E72" s="58">
        <v>9070</v>
      </c>
      <c r="F72" s="58"/>
      <c r="G72" s="58"/>
    </row>
    <row r="73" spans="1:18" ht="15.75" customHeight="1">
      <c r="A73" s="57"/>
      <c r="B73" s="57" t="s">
        <v>255</v>
      </c>
      <c r="C73" s="58"/>
      <c r="D73" s="58">
        <v>15</v>
      </c>
      <c r="E73" s="58">
        <v>6230</v>
      </c>
      <c r="F73" s="58">
        <v>1</v>
      </c>
      <c r="G73" s="58">
        <v>16</v>
      </c>
    </row>
    <row r="74" spans="1:18" ht="15.75" customHeight="1">
      <c r="A74" s="57"/>
      <c r="B74" s="57" t="s">
        <v>255</v>
      </c>
      <c r="C74" s="58">
        <v>1</v>
      </c>
      <c r="D74" s="58">
        <v>8</v>
      </c>
      <c r="E74" s="58">
        <v>49220</v>
      </c>
      <c r="F74" s="58">
        <v>12</v>
      </c>
      <c r="G74" s="58">
        <v>10</v>
      </c>
    </row>
    <row r="75" spans="1:18" ht="15.75" customHeight="1">
      <c r="A75" s="57"/>
      <c r="B75" s="57" t="s">
        <v>255</v>
      </c>
      <c r="C75" s="58"/>
      <c r="D75" s="58">
        <v>67</v>
      </c>
      <c r="E75" s="58">
        <v>32670</v>
      </c>
      <c r="F75" s="58"/>
      <c r="G75" s="58"/>
    </row>
    <row r="76" spans="1:18" ht="15.75" customHeight="1">
      <c r="A76" s="57"/>
      <c r="B76" s="57" t="s">
        <v>255</v>
      </c>
      <c r="C76" s="58">
        <v>11</v>
      </c>
      <c r="D76" s="58">
        <v>15</v>
      </c>
      <c r="E76" s="58">
        <v>41740</v>
      </c>
      <c r="F76" s="58">
        <v>12</v>
      </c>
      <c r="G76" s="58">
        <v>2</v>
      </c>
    </row>
    <row r="77" spans="1:18" ht="15.75" customHeight="1">
      <c r="A77" s="57"/>
      <c r="B77" s="57" t="s">
        <v>255</v>
      </c>
      <c r="C77" s="58"/>
      <c r="D77" s="58">
        <v>49</v>
      </c>
      <c r="E77" s="58">
        <v>4310</v>
      </c>
      <c r="F77" s="58">
        <v>1</v>
      </c>
      <c r="G77" s="58">
        <v>7</v>
      </c>
    </row>
    <row r="78" spans="1:18" ht="15.75" customHeight="1">
      <c r="A78" s="57">
        <v>12</v>
      </c>
      <c r="B78" s="57" t="s">
        <v>256</v>
      </c>
      <c r="C78" s="58">
        <v>3</v>
      </c>
      <c r="D78" s="58">
        <v>49</v>
      </c>
      <c r="E78" s="58">
        <v>42690</v>
      </c>
      <c r="F78" s="58">
        <v>12</v>
      </c>
      <c r="G78" s="58">
        <v>11</v>
      </c>
    </row>
    <row r="79" spans="1:18" ht="15.75" customHeight="1">
      <c r="A79" s="57"/>
      <c r="B79" s="57" t="s">
        <v>256</v>
      </c>
      <c r="C79" s="58"/>
      <c r="D79" s="58">
        <v>48</v>
      </c>
      <c r="E79" s="58">
        <v>36000</v>
      </c>
      <c r="F79" s="58">
        <v>9</v>
      </c>
      <c r="G79" s="58">
        <v>15</v>
      </c>
      <c r="Q79" s="45"/>
      <c r="R79" s="45"/>
    </row>
    <row r="80" spans="1:18" ht="15.75" customHeight="1">
      <c r="A80" s="57"/>
      <c r="B80" s="57" t="s">
        <v>256</v>
      </c>
      <c r="C80" s="58">
        <v>9</v>
      </c>
      <c r="D80" s="58">
        <v>17</v>
      </c>
      <c r="E80" s="58"/>
      <c r="F80" s="58"/>
      <c r="G80" s="58"/>
    </row>
    <row r="81" spans="1:7" ht="15.75" customHeight="1">
      <c r="A81" s="57"/>
      <c r="B81" s="57" t="s">
        <v>256</v>
      </c>
      <c r="C81" s="58"/>
      <c r="D81" s="58">
        <v>7</v>
      </c>
      <c r="E81" s="58"/>
      <c r="F81" s="58"/>
      <c r="G81" s="58"/>
    </row>
    <row r="82" spans="1:7" ht="15.75" customHeight="1">
      <c r="A82" s="57"/>
      <c r="B82" s="57" t="s">
        <v>256</v>
      </c>
      <c r="C82" s="58">
        <v>12</v>
      </c>
      <c r="D82" s="58">
        <v>48</v>
      </c>
      <c r="E82" s="58">
        <v>15440</v>
      </c>
      <c r="F82" s="58">
        <v>4</v>
      </c>
      <c r="G82" s="58">
        <v>3</v>
      </c>
    </row>
    <row r="83" spans="1:7" ht="15.75" customHeight="1">
      <c r="A83" s="57"/>
      <c r="B83" s="57" t="s">
        <v>256</v>
      </c>
      <c r="C83" s="58"/>
      <c r="D83" s="58">
        <v>11</v>
      </c>
      <c r="E83" s="58">
        <v>48400</v>
      </c>
      <c r="F83" s="58">
        <v>14</v>
      </c>
      <c r="G83" s="58">
        <v>0</v>
      </c>
    </row>
    <row r="84" spans="1:7" ht="15.75" customHeight="1">
      <c r="A84" s="57">
        <v>13</v>
      </c>
      <c r="B84" s="57" t="s">
        <v>257</v>
      </c>
      <c r="C84" s="58">
        <v>7</v>
      </c>
      <c r="D84" s="58">
        <v>52</v>
      </c>
      <c r="E84" s="58"/>
      <c r="F84" s="58"/>
      <c r="G84" s="58"/>
    </row>
    <row r="85" spans="1:7" ht="15.75" customHeight="1">
      <c r="A85" s="57"/>
      <c r="B85" s="57" t="s">
        <v>257</v>
      </c>
      <c r="C85" s="58"/>
      <c r="D85" s="58">
        <v>17</v>
      </c>
      <c r="E85" s="58"/>
      <c r="F85" s="58"/>
      <c r="G85" s="58"/>
    </row>
    <row r="86" spans="1:7" ht="15.75" customHeight="1">
      <c r="A86" s="57"/>
      <c r="B86" s="57" t="s">
        <v>257</v>
      </c>
      <c r="C86" s="58">
        <v>4</v>
      </c>
      <c r="D86" s="58">
        <v>50</v>
      </c>
      <c r="E86" s="58">
        <v>45880</v>
      </c>
      <c r="F86" s="58"/>
      <c r="G86" s="58"/>
    </row>
    <row r="87" spans="1:7" ht="15.75" customHeight="1">
      <c r="A87" s="57"/>
      <c r="B87" s="57" t="s">
        <v>257</v>
      </c>
      <c r="C87" s="58"/>
      <c r="D87" s="58">
        <v>51</v>
      </c>
      <c r="E87" s="58">
        <v>34690</v>
      </c>
      <c r="F87" s="58"/>
      <c r="G87" s="58"/>
    </row>
    <row r="88" spans="1:7" ht="15.75" customHeight="1">
      <c r="A88" s="57"/>
      <c r="B88" s="57" t="s">
        <v>257</v>
      </c>
      <c r="C88" s="58">
        <v>8</v>
      </c>
      <c r="D88" s="58">
        <v>51</v>
      </c>
      <c r="E88" s="58"/>
      <c r="F88" s="58"/>
      <c r="G88" s="58"/>
    </row>
    <row r="89" spans="1:7" ht="15.75" customHeight="1">
      <c r="A89" s="57"/>
      <c r="B89" s="57" t="s">
        <v>257</v>
      </c>
      <c r="C89" s="58"/>
      <c r="D89" s="58">
        <v>39</v>
      </c>
      <c r="E89" s="58"/>
      <c r="F89" s="58"/>
      <c r="G89" s="58"/>
    </row>
    <row r="90" spans="1:7" ht="15.75" customHeight="1">
      <c r="A90" s="57">
        <v>14</v>
      </c>
      <c r="B90" s="57" t="s">
        <v>258</v>
      </c>
      <c r="C90" s="58">
        <v>5</v>
      </c>
      <c r="D90" s="58">
        <v>7</v>
      </c>
      <c r="E90" s="58"/>
      <c r="F90" s="58"/>
      <c r="G90" s="58"/>
    </row>
    <row r="91" spans="1:7" ht="15.75" customHeight="1">
      <c r="A91" s="57"/>
      <c r="B91" s="57" t="s">
        <v>258</v>
      </c>
      <c r="C91" s="58"/>
      <c r="D91" s="58">
        <v>53</v>
      </c>
      <c r="E91" s="58"/>
      <c r="F91" s="58"/>
      <c r="G91" s="58"/>
    </row>
    <row r="92" spans="1:7" ht="15.75" customHeight="1">
      <c r="A92" s="57"/>
      <c r="B92" s="57" t="s">
        <v>258</v>
      </c>
      <c r="C92" s="58">
        <v>10</v>
      </c>
      <c r="D92" s="58">
        <v>33</v>
      </c>
      <c r="E92" s="58"/>
      <c r="F92" s="58"/>
      <c r="G92" s="58"/>
    </row>
    <row r="93" spans="1:7" ht="15.75" customHeight="1">
      <c r="A93" s="57"/>
      <c r="B93" s="57" t="s">
        <v>258</v>
      </c>
      <c r="C93" s="58"/>
      <c r="D93" s="58">
        <v>21</v>
      </c>
      <c r="E93" s="58"/>
      <c r="F93" s="58"/>
      <c r="G93" s="58"/>
    </row>
    <row r="94" spans="1:7" ht="15.75" customHeight="1">
      <c r="A94" s="57"/>
      <c r="B94" s="57" t="s">
        <v>258</v>
      </c>
      <c r="C94" s="58">
        <v>1</v>
      </c>
      <c r="D94" s="58">
        <v>54</v>
      </c>
      <c r="E94" s="58"/>
      <c r="F94" s="58"/>
      <c r="G94" s="58"/>
    </row>
    <row r="95" spans="1:7" ht="15.75" customHeight="1">
      <c r="A95" s="57"/>
      <c r="B95" s="57" t="s">
        <v>258</v>
      </c>
      <c r="C95" s="58"/>
      <c r="D95" s="58">
        <v>33</v>
      </c>
      <c r="E95" s="58"/>
      <c r="F95" s="58"/>
      <c r="G95" s="58"/>
    </row>
    <row r="96" spans="1:7" ht="15.75" customHeight="1">
      <c r="A96" s="57">
        <v>15</v>
      </c>
      <c r="B96" s="57" t="s">
        <v>259</v>
      </c>
      <c r="C96" s="58">
        <v>2</v>
      </c>
      <c r="D96" s="58">
        <v>20</v>
      </c>
      <c r="E96" s="58"/>
      <c r="F96" s="58"/>
      <c r="G96" s="58"/>
    </row>
    <row r="97" spans="1:7" ht="15.75" customHeight="1">
      <c r="A97" s="57"/>
      <c r="B97" s="57" t="s">
        <v>259</v>
      </c>
      <c r="C97" s="58"/>
      <c r="D97" s="58">
        <v>37</v>
      </c>
      <c r="E97" s="58"/>
      <c r="F97" s="58"/>
      <c r="G97" s="58"/>
    </row>
    <row r="98" spans="1:7" ht="15.75" customHeight="1">
      <c r="A98" s="57"/>
      <c r="B98" s="57" t="s">
        <v>259</v>
      </c>
      <c r="C98" s="58">
        <v>6</v>
      </c>
      <c r="D98" s="58">
        <v>21</v>
      </c>
      <c r="E98" s="58"/>
      <c r="F98" s="58"/>
      <c r="G98" s="58"/>
    </row>
    <row r="99" spans="1:7" ht="15.75" customHeight="1">
      <c r="A99" s="57"/>
      <c r="B99" s="57" t="s">
        <v>259</v>
      </c>
      <c r="C99" s="58"/>
      <c r="D99" s="58">
        <v>19</v>
      </c>
      <c r="E99" s="58"/>
      <c r="F99" s="58"/>
      <c r="G99" s="58"/>
    </row>
    <row r="100" spans="1:7" ht="15.75" customHeight="1">
      <c r="A100" s="57"/>
      <c r="B100" s="57" t="s">
        <v>259</v>
      </c>
      <c r="C100" s="58">
        <v>11</v>
      </c>
      <c r="D100" s="58">
        <v>24</v>
      </c>
      <c r="E100" s="58"/>
      <c r="F100" s="58"/>
      <c r="G100" s="58"/>
    </row>
    <row r="101" spans="1:7" ht="15.75" customHeight="1">
      <c r="A101" s="57"/>
      <c r="B101" s="57" t="s">
        <v>259</v>
      </c>
      <c r="C101" s="58"/>
      <c r="D101" s="58">
        <v>20</v>
      </c>
      <c r="E101" s="58"/>
      <c r="F101" s="58"/>
      <c r="G101" s="58"/>
    </row>
    <row r="102" spans="1:7" ht="15.75" customHeight="1">
      <c r="A102" s="57">
        <v>16</v>
      </c>
      <c r="B102" s="57" t="s">
        <v>260</v>
      </c>
      <c r="C102" s="58">
        <v>12</v>
      </c>
      <c r="D102" s="58">
        <v>55</v>
      </c>
      <c r="E102" s="58"/>
      <c r="F102" s="58"/>
      <c r="G102" s="58"/>
    </row>
    <row r="103" spans="1:7" ht="15.75" customHeight="1">
      <c r="A103" s="57"/>
      <c r="B103" s="57" t="s">
        <v>260</v>
      </c>
      <c r="C103" s="58">
        <v>3</v>
      </c>
      <c r="D103" s="58">
        <v>44</v>
      </c>
      <c r="E103" s="58"/>
      <c r="F103" s="58"/>
      <c r="G103" s="58"/>
    </row>
    <row r="104" spans="1:7" ht="15.75" customHeight="1">
      <c r="A104" s="57"/>
      <c r="B104" s="57" t="s">
        <v>260</v>
      </c>
      <c r="C104" s="58">
        <v>4</v>
      </c>
      <c r="D104" s="58">
        <v>36</v>
      </c>
      <c r="E104" s="58"/>
      <c r="F104" s="58"/>
      <c r="G104" s="58"/>
    </row>
    <row r="105" spans="1:7" ht="15.75" customHeight="1">
      <c r="A105" s="57"/>
      <c r="B105" s="57" t="s">
        <v>260</v>
      </c>
      <c r="C105" s="58"/>
      <c r="D105" s="58"/>
      <c r="E105" s="58"/>
      <c r="F105" s="58"/>
      <c r="G105" s="58"/>
    </row>
    <row r="106" spans="1:7" ht="15.75" customHeight="1">
      <c r="A106" s="57">
        <v>17</v>
      </c>
      <c r="B106" s="57" t="s">
        <v>261</v>
      </c>
      <c r="C106" s="58">
        <v>8</v>
      </c>
      <c r="D106" s="58">
        <v>56</v>
      </c>
      <c r="E106" s="58"/>
      <c r="F106" s="58"/>
      <c r="G106" s="58"/>
    </row>
    <row r="107" spans="1:7" ht="15.75" customHeight="1">
      <c r="A107" s="57"/>
      <c r="B107" s="57" t="s">
        <v>261</v>
      </c>
      <c r="C107" s="58"/>
      <c r="D107" s="58">
        <v>46</v>
      </c>
      <c r="E107" s="58"/>
      <c r="F107" s="58"/>
      <c r="G107" s="58"/>
    </row>
    <row r="108" spans="1:7" ht="15.75" customHeight="1">
      <c r="A108" s="57"/>
      <c r="B108" s="57" t="s">
        <v>261</v>
      </c>
      <c r="C108" s="58">
        <v>5</v>
      </c>
      <c r="D108" s="58">
        <v>6</v>
      </c>
      <c r="E108" s="58"/>
      <c r="F108" s="58"/>
      <c r="G108" s="58"/>
    </row>
    <row r="109" spans="1:7" ht="15.75" customHeight="1">
      <c r="A109" s="57"/>
      <c r="B109" s="57" t="s">
        <v>261</v>
      </c>
      <c r="C109" s="58">
        <v>7</v>
      </c>
      <c r="D109" s="58">
        <v>34</v>
      </c>
      <c r="E109" s="58"/>
      <c r="F109" s="58"/>
      <c r="G109" s="58"/>
    </row>
    <row r="110" spans="1:7" ht="15.75" customHeight="1">
      <c r="A110" s="57"/>
      <c r="B110" s="57" t="s">
        <v>261</v>
      </c>
      <c r="C110" s="58"/>
      <c r="D110" s="58">
        <v>56</v>
      </c>
      <c r="E110" s="58"/>
      <c r="F110" s="58"/>
      <c r="G110" s="58"/>
    </row>
    <row r="111" spans="1:7" ht="15.75" customHeight="1">
      <c r="A111" s="57">
        <v>18</v>
      </c>
      <c r="B111" s="57" t="s">
        <v>262</v>
      </c>
      <c r="C111" s="58">
        <v>2</v>
      </c>
      <c r="D111" s="58">
        <v>12</v>
      </c>
      <c r="E111" s="58"/>
      <c r="F111" s="58">
        <v>11</v>
      </c>
      <c r="G111" s="58">
        <v>10</v>
      </c>
    </row>
    <row r="112" spans="1:7" ht="15.75" customHeight="1">
      <c r="A112" s="57"/>
      <c r="B112" s="57" t="s">
        <v>262</v>
      </c>
      <c r="C112" s="58"/>
      <c r="D112" s="58">
        <v>14</v>
      </c>
      <c r="E112" s="58"/>
      <c r="F112" s="58">
        <v>7</v>
      </c>
      <c r="G112" s="58">
        <v>0</v>
      </c>
    </row>
    <row r="113" spans="1:7" ht="15.75" customHeight="1">
      <c r="A113" s="57"/>
      <c r="B113" s="57" t="s">
        <v>262</v>
      </c>
      <c r="C113" s="58">
        <v>3</v>
      </c>
      <c r="D113" s="58">
        <v>12</v>
      </c>
      <c r="E113" s="58"/>
      <c r="F113" s="58">
        <v>2</v>
      </c>
      <c r="G113" s="58">
        <v>8</v>
      </c>
    </row>
    <row r="114" spans="1:7" ht="15.75" customHeight="1">
      <c r="A114" s="57"/>
      <c r="B114" s="57" t="s">
        <v>262</v>
      </c>
      <c r="C114" s="58"/>
      <c r="D114" s="58">
        <v>58</v>
      </c>
      <c r="E114" s="58"/>
      <c r="F114" s="58">
        <v>14</v>
      </c>
      <c r="G114" s="58">
        <v>0</v>
      </c>
    </row>
    <row r="115" spans="1:7" ht="15.75" customHeight="1">
      <c r="A115" s="57"/>
      <c r="B115" s="57" t="s">
        <v>262</v>
      </c>
      <c r="C115" s="58">
        <v>11</v>
      </c>
      <c r="D115" s="58">
        <v>10</v>
      </c>
      <c r="E115" s="58"/>
      <c r="F115" s="58">
        <v>9</v>
      </c>
      <c r="G115" s="58">
        <v>0</v>
      </c>
    </row>
    <row r="116" spans="1:7" ht="15.75" customHeight="1">
      <c r="A116" s="57"/>
      <c r="B116" s="57" t="s">
        <v>262</v>
      </c>
      <c r="C116" s="58"/>
      <c r="D116" s="58">
        <v>14</v>
      </c>
      <c r="E116" s="58"/>
      <c r="F116" s="58">
        <v>7</v>
      </c>
      <c r="G116" s="58">
        <v>0</v>
      </c>
    </row>
    <row r="117" spans="1:7" ht="15.75" customHeight="1">
      <c r="A117" s="57">
        <v>19</v>
      </c>
      <c r="B117" s="57" t="s">
        <v>263</v>
      </c>
      <c r="C117" s="58">
        <v>6</v>
      </c>
      <c r="D117" s="58">
        <v>45</v>
      </c>
      <c r="E117" s="58"/>
      <c r="F117" s="58">
        <v>14</v>
      </c>
      <c r="G117" s="58">
        <v>0</v>
      </c>
    </row>
    <row r="118" spans="1:7" ht="15.75" customHeight="1">
      <c r="A118" s="57"/>
      <c r="B118" s="57" t="s">
        <v>263</v>
      </c>
      <c r="C118" s="58"/>
      <c r="D118" s="58">
        <v>10</v>
      </c>
      <c r="E118" s="58"/>
      <c r="F118" s="58">
        <v>5</v>
      </c>
      <c r="G118" s="58">
        <v>0</v>
      </c>
    </row>
    <row r="119" spans="1:7" ht="15.75" customHeight="1">
      <c r="A119" s="57"/>
      <c r="B119" s="57" t="s">
        <v>263</v>
      </c>
      <c r="C119" s="58">
        <v>10</v>
      </c>
      <c r="D119" s="58">
        <v>32</v>
      </c>
      <c r="E119" s="58"/>
      <c r="F119" s="58">
        <v>11</v>
      </c>
      <c r="G119" s="58">
        <v>8</v>
      </c>
    </row>
    <row r="120" spans="1:7" ht="15.75" customHeight="1">
      <c r="A120" s="57"/>
      <c r="B120" s="57" t="s">
        <v>263</v>
      </c>
      <c r="C120" s="58"/>
      <c r="D120" s="58">
        <v>57</v>
      </c>
      <c r="E120" s="58"/>
      <c r="F120" s="58">
        <v>4</v>
      </c>
      <c r="G120" s="58">
        <v>0</v>
      </c>
    </row>
    <row r="121" spans="1:7" ht="15.75" customHeight="1">
      <c r="A121" s="57"/>
      <c r="B121" s="57" t="s">
        <v>263</v>
      </c>
      <c r="C121" s="58">
        <v>9</v>
      </c>
      <c r="D121" s="58">
        <v>32</v>
      </c>
      <c r="E121" s="58"/>
      <c r="F121" s="58">
        <v>2</v>
      </c>
      <c r="G121" s="58">
        <v>10</v>
      </c>
    </row>
    <row r="122" spans="1:7" ht="15.75" customHeight="1">
      <c r="A122" s="57"/>
      <c r="B122" s="57" t="s">
        <v>263</v>
      </c>
      <c r="C122" s="58"/>
      <c r="D122" s="58">
        <v>30</v>
      </c>
      <c r="E122" s="58"/>
      <c r="F122" s="58">
        <v>14</v>
      </c>
      <c r="G122" s="58">
        <v>0</v>
      </c>
    </row>
    <row r="123" spans="1:7" ht="15.75" customHeight="1">
      <c r="A123" s="57">
        <v>20</v>
      </c>
      <c r="B123" s="57" t="s">
        <v>264</v>
      </c>
      <c r="C123" s="58">
        <v>1</v>
      </c>
      <c r="D123" s="58">
        <v>43</v>
      </c>
      <c r="E123" s="58"/>
      <c r="F123" s="58">
        <v>12</v>
      </c>
      <c r="G123" s="58">
        <v>14</v>
      </c>
    </row>
    <row r="124" spans="1:7" ht="15.75" customHeight="1">
      <c r="A124" s="57"/>
      <c r="B124" s="57" t="s">
        <v>264</v>
      </c>
      <c r="C124" s="58"/>
      <c r="D124" s="58">
        <v>57</v>
      </c>
      <c r="E124" s="58"/>
      <c r="F124" s="58">
        <v>10</v>
      </c>
      <c r="G124" s="58">
        <v>0</v>
      </c>
    </row>
    <row r="125" spans="1:7" ht="15.75" customHeight="1">
      <c r="A125" s="57"/>
      <c r="B125" s="57" t="s">
        <v>264</v>
      </c>
      <c r="C125" s="58">
        <v>8</v>
      </c>
      <c r="D125" s="58">
        <v>5</v>
      </c>
      <c r="E125" s="58"/>
      <c r="F125" s="58">
        <v>4</v>
      </c>
      <c r="G125" s="58">
        <v>10</v>
      </c>
    </row>
    <row r="126" spans="1:7" ht="15.75" customHeight="1">
      <c r="A126" s="57"/>
      <c r="B126" s="57" t="s">
        <v>264</v>
      </c>
      <c r="C126" s="58"/>
      <c r="D126" s="58">
        <v>43</v>
      </c>
      <c r="E126" s="58"/>
      <c r="F126" s="58">
        <v>1</v>
      </c>
      <c r="G126" s="58">
        <v>4</v>
      </c>
    </row>
    <row r="127" spans="1:7" ht="15.75" customHeight="1">
      <c r="A127" s="57"/>
      <c r="B127" s="57" t="s">
        <v>264</v>
      </c>
      <c r="C127" s="58"/>
      <c r="D127" s="58">
        <v>13</v>
      </c>
      <c r="E127" s="58"/>
      <c r="F127" s="58">
        <v>14</v>
      </c>
      <c r="G127" s="58">
        <v>0</v>
      </c>
    </row>
    <row r="128" spans="1:7" ht="15.75" customHeight="1">
      <c r="A128" s="57"/>
      <c r="B128" s="57" t="s">
        <v>264</v>
      </c>
      <c r="C128" s="58">
        <v>4</v>
      </c>
      <c r="D128" s="58">
        <v>59</v>
      </c>
      <c r="E128" s="58"/>
      <c r="F128" s="58">
        <v>14</v>
      </c>
      <c r="G128" s="58">
        <v>0</v>
      </c>
    </row>
    <row r="129" spans="1:7" ht="15.75" customHeight="1">
      <c r="A129" s="57"/>
      <c r="B129" s="57" t="s">
        <v>264</v>
      </c>
      <c r="C129" s="58"/>
      <c r="D129" s="58">
        <v>5</v>
      </c>
      <c r="E129" s="58"/>
      <c r="F129" s="58">
        <v>9</v>
      </c>
      <c r="G129" s="58">
        <v>8</v>
      </c>
    </row>
    <row r="130" spans="1:7" ht="15.75" customHeight="1">
      <c r="A130" s="57">
        <v>22</v>
      </c>
      <c r="B130" s="57" t="s">
        <v>265</v>
      </c>
      <c r="C130" s="58">
        <v>5</v>
      </c>
      <c r="D130" s="58">
        <v>28</v>
      </c>
      <c r="E130" s="58"/>
      <c r="F130" s="58">
        <v>14</v>
      </c>
      <c r="G130" s="58">
        <v>0</v>
      </c>
    </row>
    <row r="131" spans="1:7" ht="15.75" customHeight="1">
      <c r="A131" s="57"/>
      <c r="B131" s="57" t="s">
        <v>265</v>
      </c>
      <c r="C131" s="58"/>
      <c r="D131" s="58">
        <v>3</v>
      </c>
      <c r="E131" s="58"/>
      <c r="F131" s="58">
        <v>4</v>
      </c>
      <c r="G131" s="58">
        <v>5</v>
      </c>
    </row>
    <row r="132" spans="1:7" ht="15.75" customHeight="1">
      <c r="A132" s="57"/>
      <c r="B132" s="57" t="s">
        <v>265</v>
      </c>
      <c r="C132" s="58">
        <v>3</v>
      </c>
      <c r="D132" s="58">
        <v>60</v>
      </c>
      <c r="E132" s="58"/>
      <c r="F132" s="58">
        <v>8</v>
      </c>
      <c r="G132" s="58">
        <v>14</v>
      </c>
    </row>
    <row r="133" spans="1:7" ht="15.75" customHeight="1">
      <c r="A133" s="57"/>
      <c r="B133" s="57" t="s">
        <v>265</v>
      </c>
      <c r="C133" s="58"/>
      <c r="D133" s="58">
        <v>2</v>
      </c>
      <c r="E133" s="58"/>
      <c r="F133" s="58">
        <v>7</v>
      </c>
      <c r="G133" s="58">
        <v>3</v>
      </c>
    </row>
    <row r="134" spans="1:7" ht="15.75" customHeight="1">
      <c r="A134" s="57"/>
      <c r="B134" s="57" t="s">
        <v>265</v>
      </c>
      <c r="C134" s="58">
        <v>12</v>
      </c>
      <c r="D134" s="58">
        <v>3</v>
      </c>
      <c r="E134" s="58"/>
      <c r="F134" s="58">
        <v>9</v>
      </c>
      <c r="G134" s="58">
        <v>13</v>
      </c>
    </row>
    <row r="135" spans="1:7" ht="15.75" customHeight="1">
      <c r="A135" s="57"/>
      <c r="B135" s="57" t="s">
        <v>265</v>
      </c>
      <c r="C135" s="58"/>
      <c r="D135" s="58">
        <v>60</v>
      </c>
      <c r="E135" s="58"/>
      <c r="F135" s="58">
        <v>5</v>
      </c>
      <c r="G135" s="58">
        <v>4</v>
      </c>
    </row>
    <row r="136" spans="1:7" ht="15.75" customHeight="1">
      <c r="A136" s="57">
        <v>22</v>
      </c>
      <c r="B136" s="57" t="s">
        <v>266</v>
      </c>
      <c r="C136" s="58">
        <v>6</v>
      </c>
      <c r="D136" s="58">
        <v>31</v>
      </c>
      <c r="E136" s="58"/>
      <c r="F136" s="58">
        <v>9</v>
      </c>
      <c r="G136" s="58">
        <v>14</v>
      </c>
    </row>
    <row r="137" spans="1:7" ht="15.75" customHeight="1">
      <c r="A137" s="57"/>
      <c r="B137" s="57" t="s">
        <v>266</v>
      </c>
      <c r="C137" s="58"/>
      <c r="D137" s="58">
        <v>35</v>
      </c>
      <c r="E137" s="58"/>
      <c r="F137" s="58">
        <v>4</v>
      </c>
      <c r="G137" s="58">
        <v>8</v>
      </c>
    </row>
    <row r="138" spans="1:7" ht="15.75" customHeight="1">
      <c r="A138" s="57"/>
      <c r="B138" s="57" t="s">
        <v>266</v>
      </c>
      <c r="C138" s="58">
        <v>7</v>
      </c>
      <c r="D138" s="58">
        <v>61</v>
      </c>
      <c r="E138" s="58"/>
      <c r="F138" s="58">
        <v>5</v>
      </c>
      <c r="G138" s="58">
        <v>3</v>
      </c>
    </row>
    <row r="139" spans="1:7" ht="15.75" customHeight="1">
      <c r="A139" s="57"/>
      <c r="B139" s="57" t="s">
        <v>266</v>
      </c>
      <c r="C139" s="58"/>
      <c r="D139" s="58">
        <v>35</v>
      </c>
      <c r="E139" s="58"/>
      <c r="F139" s="58">
        <v>9</v>
      </c>
      <c r="G139" s="58">
        <v>10</v>
      </c>
    </row>
    <row r="140" spans="1:7" ht="15.75" customHeight="1">
      <c r="A140" s="57"/>
      <c r="B140" s="57" t="s">
        <v>266</v>
      </c>
      <c r="C140" s="58">
        <v>2</v>
      </c>
      <c r="D140" s="58">
        <v>61</v>
      </c>
      <c r="E140" s="58"/>
      <c r="F140" s="58">
        <v>8</v>
      </c>
      <c r="G140" s="58">
        <v>15</v>
      </c>
    </row>
    <row r="141" spans="1:7" ht="15.75" customHeight="1">
      <c r="A141" s="57"/>
      <c r="B141" s="57" t="s">
        <v>266</v>
      </c>
      <c r="C141" s="58"/>
      <c r="D141" s="58">
        <v>2</v>
      </c>
      <c r="E141" s="58"/>
      <c r="F141" s="58">
        <v>6</v>
      </c>
      <c r="G141" s="58">
        <v>15</v>
      </c>
    </row>
    <row r="142" spans="1:7" ht="15.75" customHeight="1">
      <c r="A142" s="57">
        <v>23</v>
      </c>
      <c r="B142" s="57" t="s">
        <v>267</v>
      </c>
      <c r="C142" s="58">
        <v>10</v>
      </c>
      <c r="D142" s="58">
        <v>62</v>
      </c>
      <c r="E142" s="58"/>
      <c r="F142" s="58">
        <v>11</v>
      </c>
      <c r="G142" s="58">
        <v>17</v>
      </c>
    </row>
    <row r="143" spans="1:7" ht="15.75" customHeight="1">
      <c r="A143" s="57"/>
      <c r="B143" s="57" t="s">
        <v>267</v>
      </c>
      <c r="C143" s="58"/>
      <c r="D143" s="58">
        <v>31</v>
      </c>
      <c r="E143" s="58"/>
      <c r="F143" s="58">
        <v>4</v>
      </c>
      <c r="G143" s="58">
        <v>4</v>
      </c>
    </row>
    <row r="144" spans="1:7" ht="15.75" customHeight="1">
      <c r="A144" s="57"/>
      <c r="B144" s="57" t="s">
        <v>267</v>
      </c>
      <c r="C144" s="58"/>
      <c r="D144" s="58">
        <v>62</v>
      </c>
      <c r="E144" s="58">
        <v>9090</v>
      </c>
      <c r="F144" s="58">
        <v>2</v>
      </c>
      <c r="G144" s="58">
        <v>1</v>
      </c>
    </row>
    <row r="145" spans="1:7" ht="15.75" customHeight="1">
      <c r="A145" s="57"/>
      <c r="B145" s="57" t="s">
        <v>267</v>
      </c>
      <c r="C145" s="58">
        <v>11</v>
      </c>
      <c r="D145" s="58">
        <v>25</v>
      </c>
      <c r="E145" s="58">
        <v>53290</v>
      </c>
      <c r="F145" s="58">
        <v>14</v>
      </c>
      <c r="G145" s="58">
        <v>0</v>
      </c>
    </row>
    <row r="146" spans="1:7" ht="15.75" customHeight="1">
      <c r="A146" s="57"/>
      <c r="B146" s="57" t="s">
        <v>267</v>
      </c>
      <c r="C146" s="58">
        <v>8</v>
      </c>
      <c r="D146" s="58"/>
      <c r="E146" s="58"/>
      <c r="F146" s="58"/>
      <c r="G146" s="58"/>
    </row>
    <row r="147" spans="1:7" ht="15.75" customHeight="1">
      <c r="A147" s="57">
        <v>24</v>
      </c>
      <c r="B147" s="57" t="s">
        <v>268</v>
      </c>
      <c r="C147" s="58">
        <v>9</v>
      </c>
      <c r="D147" s="58">
        <v>69</v>
      </c>
      <c r="E147" s="58">
        <v>49380</v>
      </c>
      <c r="F147" s="58">
        <v>11</v>
      </c>
      <c r="G147" s="58">
        <v>8</v>
      </c>
    </row>
    <row r="148" spans="1:7" ht="15.75" customHeight="1">
      <c r="A148" s="57"/>
      <c r="B148" s="57" t="s">
        <v>268</v>
      </c>
      <c r="C148" s="58"/>
      <c r="D148" s="58">
        <v>22</v>
      </c>
      <c r="E148" s="58">
        <v>13670</v>
      </c>
      <c r="F148" s="58">
        <v>3</v>
      </c>
      <c r="G148" s="58">
        <v>13</v>
      </c>
    </row>
    <row r="149" spans="1:7" ht="15.75" customHeight="1">
      <c r="A149" s="57"/>
      <c r="B149" s="57" t="s">
        <v>268</v>
      </c>
      <c r="C149" s="58">
        <v>8</v>
      </c>
      <c r="D149" s="58">
        <v>69</v>
      </c>
      <c r="E149" s="58">
        <v>9050</v>
      </c>
      <c r="F149" s="58">
        <v>2</v>
      </c>
      <c r="G149" s="58">
        <v>10</v>
      </c>
    </row>
    <row r="150" spans="1:7" ht="15.75" customHeight="1">
      <c r="A150" s="57"/>
      <c r="B150" s="57" t="s">
        <v>268</v>
      </c>
      <c r="C150" s="58"/>
      <c r="D150" s="58">
        <v>68</v>
      </c>
      <c r="E150" s="58">
        <v>50750</v>
      </c>
      <c r="F150" s="58">
        <v>14</v>
      </c>
      <c r="G150" s="58">
        <v>0</v>
      </c>
    </row>
    <row r="151" spans="1:7" ht="15.75" customHeight="1">
      <c r="A151" s="57"/>
      <c r="B151" s="57" t="s">
        <v>268</v>
      </c>
      <c r="C151" s="58">
        <v>2</v>
      </c>
      <c r="D151" s="58">
        <v>22</v>
      </c>
      <c r="E151" s="58">
        <v>36580</v>
      </c>
      <c r="F151" s="58">
        <v>10</v>
      </c>
      <c r="G151" s="58">
        <v>5</v>
      </c>
    </row>
    <row r="152" spans="1:7" ht="15.75" customHeight="1">
      <c r="A152" s="57"/>
      <c r="B152" s="57" t="s">
        <v>268</v>
      </c>
      <c r="C152" s="58"/>
      <c r="D152" s="58">
        <v>9</v>
      </c>
      <c r="E152" s="58">
        <v>27880</v>
      </c>
      <c r="F152" s="58">
        <v>8</v>
      </c>
      <c r="G152" s="58">
        <v>0</v>
      </c>
    </row>
    <row r="153" spans="1:7" ht="15.75" customHeight="1">
      <c r="A153" s="57">
        <v>25</v>
      </c>
      <c r="B153" s="57" t="s">
        <v>269</v>
      </c>
      <c r="C153" s="58">
        <v>3</v>
      </c>
      <c r="D153" s="58">
        <v>27</v>
      </c>
      <c r="E153" s="58">
        <v>4600</v>
      </c>
      <c r="F153" s="58">
        <v>1</v>
      </c>
      <c r="G153" s="58">
        <v>3</v>
      </c>
    </row>
    <row r="154" spans="1:7" ht="15.75" customHeight="1">
      <c r="A154" s="57"/>
      <c r="B154" s="57" t="s">
        <v>269</v>
      </c>
      <c r="C154" s="58"/>
      <c r="D154" s="58">
        <v>26</v>
      </c>
      <c r="E154" s="58">
        <v>49300</v>
      </c>
      <c r="F154" s="58">
        <v>14</v>
      </c>
      <c r="G154" s="58">
        <v>0</v>
      </c>
    </row>
    <row r="155" spans="1:7" ht="15.75" customHeight="1">
      <c r="A155" s="57"/>
      <c r="B155" s="57" t="s">
        <v>269</v>
      </c>
      <c r="C155" s="58">
        <v>11</v>
      </c>
      <c r="D155" s="58">
        <v>9</v>
      </c>
      <c r="E155" s="58">
        <v>22100</v>
      </c>
      <c r="F155" s="58">
        <v>6</v>
      </c>
      <c r="G155" s="58">
        <v>0</v>
      </c>
    </row>
    <row r="156" spans="1:7" ht="15.75" customHeight="1">
      <c r="A156" s="57"/>
      <c r="B156" s="57" t="s">
        <v>269</v>
      </c>
      <c r="C156" s="58"/>
      <c r="D156" s="58">
        <v>27</v>
      </c>
      <c r="E156" s="58">
        <v>44680</v>
      </c>
      <c r="F156" s="58">
        <v>12</v>
      </c>
      <c r="G156" s="58">
        <v>15</v>
      </c>
    </row>
    <row r="157" spans="1:7" ht="15.75" customHeight="1">
      <c r="A157" s="57"/>
      <c r="B157" s="57" t="s">
        <v>269</v>
      </c>
      <c r="C157" s="58">
        <v>10</v>
      </c>
      <c r="D157" s="58">
        <v>64</v>
      </c>
      <c r="E157" s="58">
        <v>33100</v>
      </c>
      <c r="F157" s="58">
        <v>9</v>
      </c>
      <c r="G157" s="58">
        <v>10</v>
      </c>
    </row>
    <row r="158" spans="1:7" ht="15.75" customHeight="1">
      <c r="A158" s="57"/>
      <c r="B158" s="57" t="s">
        <v>269</v>
      </c>
      <c r="C158" s="58"/>
      <c r="D158" s="58">
        <v>63</v>
      </c>
      <c r="E158" s="58">
        <v>32490</v>
      </c>
      <c r="F158" s="58">
        <v>9</v>
      </c>
      <c r="G158" s="58">
        <v>6</v>
      </c>
    </row>
    <row r="159" spans="1:7" ht="15.75" customHeight="1">
      <c r="A159" s="62">
        <v>26</v>
      </c>
      <c r="B159" s="57" t="s">
        <v>270</v>
      </c>
      <c r="C159" s="58">
        <v>7</v>
      </c>
      <c r="D159" s="58">
        <v>63</v>
      </c>
      <c r="E159" s="58">
        <v>16590</v>
      </c>
      <c r="F159" s="58">
        <v>4</v>
      </c>
      <c r="G159" s="58">
        <v>12</v>
      </c>
    </row>
    <row r="160" spans="1:7" ht="15.75" customHeight="1">
      <c r="A160" s="62"/>
      <c r="B160" s="57" t="s">
        <v>270</v>
      </c>
      <c r="C160" s="58"/>
      <c r="D160" s="58">
        <v>18</v>
      </c>
      <c r="E160" s="58">
        <v>50740</v>
      </c>
      <c r="F160" s="58">
        <v>14</v>
      </c>
      <c r="G160" s="58">
        <v>0</v>
      </c>
    </row>
    <row r="161" spans="1:7" ht="15.75" customHeight="1">
      <c r="A161" s="62"/>
      <c r="B161" s="57" t="s">
        <v>270</v>
      </c>
      <c r="C161" s="58"/>
      <c r="D161" s="58">
        <v>42</v>
      </c>
      <c r="E161" s="58">
        <v>1860</v>
      </c>
      <c r="F161" s="58">
        <v>0</v>
      </c>
      <c r="G161" s="58">
        <v>10</v>
      </c>
    </row>
    <row r="162" spans="1:7" ht="15.75" customHeight="1">
      <c r="A162" s="62"/>
      <c r="B162" s="57" t="s">
        <v>270</v>
      </c>
      <c r="C162" s="58">
        <v>4</v>
      </c>
      <c r="D162" s="58">
        <v>42</v>
      </c>
      <c r="E162" s="58">
        <v>45690</v>
      </c>
      <c r="F162" s="58">
        <v>13</v>
      </c>
      <c r="G162" s="58">
        <v>8</v>
      </c>
    </row>
    <row r="163" spans="1:7" ht="15.75" customHeight="1">
      <c r="A163" s="62"/>
      <c r="B163" s="57" t="s">
        <v>270</v>
      </c>
      <c r="C163" s="58"/>
      <c r="D163" s="58">
        <v>16</v>
      </c>
      <c r="E163" s="58">
        <v>23750</v>
      </c>
      <c r="F163" s="58">
        <v>6</v>
      </c>
      <c r="G163" s="58">
        <v>14</v>
      </c>
    </row>
    <row r="164" spans="1:7" ht="15.75" customHeight="1">
      <c r="A164" s="62"/>
      <c r="B164" s="57" t="s">
        <v>270</v>
      </c>
      <c r="C164" s="58">
        <v>6</v>
      </c>
      <c r="D164" s="58">
        <v>16</v>
      </c>
      <c r="E164" s="58">
        <v>24250</v>
      </c>
      <c r="F164" s="58">
        <v>7</v>
      </c>
      <c r="G164" s="58">
        <v>4</v>
      </c>
    </row>
    <row r="165" spans="1:7" ht="15.75" customHeight="1">
      <c r="A165" s="62"/>
      <c r="B165" s="57" t="s">
        <v>270</v>
      </c>
      <c r="C165" s="58"/>
      <c r="D165" s="58">
        <v>1</v>
      </c>
      <c r="E165" s="58">
        <v>37890</v>
      </c>
      <c r="F165" s="58">
        <v>11</v>
      </c>
      <c r="G165" s="58">
        <v>0</v>
      </c>
    </row>
    <row r="166" spans="1:7" ht="15.75" customHeight="1">
      <c r="A166" s="57">
        <v>27</v>
      </c>
      <c r="B166" s="57" t="s">
        <v>271</v>
      </c>
      <c r="C166" s="58">
        <v>1</v>
      </c>
      <c r="D166" s="58">
        <v>65</v>
      </c>
      <c r="E166" s="58">
        <v>37650</v>
      </c>
      <c r="F166" s="58">
        <v>11</v>
      </c>
      <c r="G166" s="58">
        <v>0</v>
      </c>
    </row>
    <row r="167" spans="1:7" ht="15.75" customHeight="1">
      <c r="A167" s="57"/>
      <c r="B167" s="57" t="s">
        <v>271</v>
      </c>
      <c r="C167" s="58"/>
      <c r="D167" s="58">
        <v>41</v>
      </c>
      <c r="E167" s="58">
        <v>33920</v>
      </c>
      <c r="F167" s="58">
        <v>10</v>
      </c>
      <c r="G167" s="58">
        <v>2</v>
      </c>
    </row>
    <row r="168" spans="1:7" ht="15.75" customHeight="1">
      <c r="A168" s="57"/>
      <c r="B168" s="57" t="s">
        <v>271</v>
      </c>
      <c r="C168" s="58">
        <v>5</v>
      </c>
      <c r="D168" s="58">
        <v>1</v>
      </c>
      <c r="E168" s="58">
        <v>10120</v>
      </c>
      <c r="F168" s="58">
        <v>3</v>
      </c>
      <c r="G168" s="58">
        <v>0</v>
      </c>
    </row>
    <row r="169" spans="1:7" ht="15.75" customHeight="1">
      <c r="A169" s="57"/>
      <c r="B169" s="57" t="s">
        <v>271</v>
      </c>
      <c r="C169" s="58"/>
      <c r="D169" s="58">
        <v>70</v>
      </c>
      <c r="E169" s="58">
        <v>49360</v>
      </c>
      <c r="F169" s="58">
        <v>14</v>
      </c>
      <c r="G169" s="58">
        <v>0</v>
      </c>
    </row>
    <row r="170" spans="1:7" ht="15.75" customHeight="1">
      <c r="A170" s="57"/>
      <c r="B170" s="57" t="s">
        <v>271</v>
      </c>
      <c r="C170" s="58"/>
      <c r="D170" s="58">
        <v>65</v>
      </c>
      <c r="E170" s="58">
        <v>11680</v>
      </c>
      <c r="F170" s="58">
        <v>3</v>
      </c>
      <c r="G170" s="58">
        <v>0</v>
      </c>
    </row>
    <row r="171" spans="1:7" ht="15.75" customHeight="1">
      <c r="A171" s="57"/>
      <c r="B171" s="57" t="s">
        <v>271</v>
      </c>
      <c r="C171" s="58">
        <v>8</v>
      </c>
      <c r="D171" s="58">
        <v>41</v>
      </c>
      <c r="E171" s="58">
        <v>14440</v>
      </c>
      <c r="F171" s="58">
        <v>3</v>
      </c>
      <c r="G171" s="58">
        <v>16</v>
      </c>
    </row>
    <row r="172" spans="1:7" ht="15.75" customHeight="1">
      <c r="A172" s="57"/>
      <c r="B172" s="57" t="s">
        <v>271</v>
      </c>
      <c r="C172" s="58"/>
      <c r="D172" s="58">
        <v>71</v>
      </c>
      <c r="E172" s="58">
        <v>47940</v>
      </c>
      <c r="F172" s="58">
        <v>14</v>
      </c>
      <c r="G172" s="58">
        <v>0</v>
      </c>
    </row>
    <row r="173" spans="1:7" ht="15.75" customHeight="1">
      <c r="A173" s="57"/>
      <c r="B173" s="57" t="s">
        <v>271</v>
      </c>
      <c r="C173" s="58"/>
      <c r="D173" s="58">
        <v>23</v>
      </c>
      <c r="E173" s="58">
        <v>1080</v>
      </c>
      <c r="F173" s="58">
        <v>0</v>
      </c>
      <c r="G173" s="58">
        <v>6</v>
      </c>
    </row>
    <row r="174" spans="1:7" ht="15.75" customHeight="1">
      <c r="A174" s="57">
        <v>28</v>
      </c>
      <c r="B174" s="57" t="s">
        <v>272</v>
      </c>
      <c r="C174" s="58">
        <v>2</v>
      </c>
      <c r="D174" s="58">
        <v>40</v>
      </c>
      <c r="E174" s="58">
        <v>39520</v>
      </c>
      <c r="F174" s="58">
        <v>9</v>
      </c>
      <c r="G174" s="58">
        <v>5</v>
      </c>
    </row>
    <row r="175" spans="1:7" ht="15.75" customHeight="1">
      <c r="A175" s="57"/>
      <c r="B175" s="57" t="s">
        <v>272</v>
      </c>
      <c r="C175" s="58"/>
      <c r="D175" s="58">
        <v>29</v>
      </c>
      <c r="E175" s="58">
        <v>34320</v>
      </c>
      <c r="F175" s="58">
        <v>9</v>
      </c>
      <c r="G175" s="58">
        <v>10</v>
      </c>
    </row>
    <row r="176" spans="1:7" ht="15.75" customHeight="1">
      <c r="A176" s="57"/>
      <c r="B176" s="57" t="s">
        <v>272</v>
      </c>
      <c r="C176" s="58">
        <v>9</v>
      </c>
      <c r="D176" s="58">
        <v>23</v>
      </c>
      <c r="E176" s="58">
        <v>49120</v>
      </c>
      <c r="F176" s="58">
        <v>13</v>
      </c>
      <c r="G176" s="58">
        <v>12</v>
      </c>
    </row>
    <row r="177" spans="1:7" ht="15.75" customHeight="1">
      <c r="A177" s="57"/>
      <c r="B177" s="57" t="s">
        <v>272</v>
      </c>
      <c r="C177" s="58"/>
      <c r="D177" s="58">
        <v>40</v>
      </c>
      <c r="E177" s="58">
        <v>17420</v>
      </c>
      <c r="F177" s="58">
        <v>4</v>
      </c>
      <c r="G177" s="58">
        <v>13</v>
      </c>
    </row>
    <row r="178" spans="1:7" ht="15.75" customHeight="1">
      <c r="A178" s="57"/>
      <c r="B178" s="57" t="s">
        <v>272</v>
      </c>
      <c r="C178" s="58">
        <v>12</v>
      </c>
      <c r="D178" s="58">
        <v>72</v>
      </c>
      <c r="E178" s="58">
        <v>27920</v>
      </c>
      <c r="F178" s="59">
        <v>7</v>
      </c>
      <c r="G178" s="58">
        <v>13</v>
      </c>
    </row>
    <row r="179" spans="1:7" ht="15.75" customHeight="1">
      <c r="A179" s="57"/>
      <c r="B179" s="57" t="s">
        <v>272</v>
      </c>
      <c r="C179" s="58"/>
      <c r="D179" s="58">
        <v>8</v>
      </c>
      <c r="E179" s="58">
        <v>33180</v>
      </c>
      <c r="F179" s="59">
        <v>9</v>
      </c>
      <c r="G179" s="58">
        <v>6</v>
      </c>
    </row>
    <row r="180" spans="1:7" ht="15.75" customHeight="1">
      <c r="A180" s="57">
        <v>29</v>
      </c>
      <c r="B180" s="57" t="s">
        <v>273</v>
      </c>
      <c r="C180" s="58">
        <v>11</v>
      </c>
      <c r="D180" s="58">
        <v>29</v>
      </c>
      <c r="E180" s="58">
        <v>15160</v>
      </c>
      <c r="F180" s="58">
        <v>8</v>
      </c>
      <c r="G180" s="58">
        <v>4</v>
      </c>
    </row>
    <row r="181" spans="1:7" ht="15.75" customHeight="1">
      <c r="A181" s="57"/>
      <c r="B181" s="57" t="s">
        <v>273</v>
      </c>
      <c r="C181" s="58"/>
      <c r="D181" s="58">
        <v>38</v>
      </c>
      <c r="E181" s="58">
        <v>49640</v>
      </c>
      <c r="F181" s="58">
        <v>14</v>
      </c>
      <c r="G181" s="58">
        <v>0</v>
      </c>
    </row>
    <row r="182" spans="1:7" ht="15.75" customHeight="1">
      <c r="A182" s="57"/>
      <c r="B182" s="57" t="s">
        <v>273</v>
      </c>
      <c r="C182" s="58"/>
      <c r="D182" s="58">
        <v>66</v>
      </c>
      <c r="E182" s="58">
        <v>2650</v>
      </c>
      <c r="F182" s="58">
        <v>0</v>
      </c>
      <c r="G182" s="58">
        <v>13</v>
      </c>
    </row>
    <row r="183" spans="1:7" ht="15.75" customHeight="1">
      <c r="A183" s="57"/>
      <c r="B183" s="57" t="s">
        <v>273</v>
      </c>
      <c r="C183" s="58">
        <v>3</v>
      </c>
      <c r="D183" s="58">
        <v>66</v>
      </c>
      <c r="E183" s="58">
        <v>47270</v>
      </c>
      <c r="F183" s="58">
        <v>13</v>
      </c>
      <c r="G183" s="58">
        <v>5</v>
      </c>
    </row>
    <row r="184" spans="1:7" ht="15.75" customHeight="1">
      <c r="A184" s="57"/>
      <c r="B184" s="57" t="s">
        <v>273</v>
      </c>
      <c r="C184" s="58"/>
      <c r="D184" s="58">
        <v>72</v>
      </c>
      <c r="E184" s="58">
        <v>21640</v>
      </c>
      <c r="F184" s="58">
        <v>6</v>
      </c>
      <c r="G184" s="58">
        <v>5</v>
      </c>
    </row>
    <row r="185" spans="1:7" ht="15.75" customHeight="1">
      <c r="A185" s="57"/>
      <c r="B185" s="57" t="s">
        <v>273</v>
      </c>
      <c r="C185" s="58">
        <v>10</v>
      </c>
      <c r="D185" s="58">
        <v>8</v>
      </c>
      <c r="E185" s="58">
        <v>16330</v>
      </c>
      <c r="F185" s="58">
        <v>4</v>
      </c>
      <c r="G185" s="58">
        <v>12</v>
      </c>
    </row>
    <row r="186" spans="1:7" ht="15.75" customHeight="1">
      <c r="A186" s="57"/>
      <c r="B186" s="57" t="s">
        <v>273</v>
      </c>
      <c r="C186" s="58"/>
      <c r="D186" s="58">
        <v>4</v>
      </c>
      <c r="E186" s="58">
        <v>49930</v>
      </c>
      <c r="F186" s="58">
        <v>14</v>
      </c>
      <c r="G186" s="58">
        <v>0</v>
      </c>
    </row>
    <row r="187" spans="1:7" ht="15.75" customHeight="1">
      <c r="A187" s="57">
        <v>30</v>
      </c>
      <c r="B187" s="57" t="s">
        <v>274</v>
      </c>
      <c r="C187" s="58">
        <v>6</v>
      </c>
      <c r="D187" s="58">
        <v>47</v>
      </c>
      <c r="E187" s="58">
        <v>49170</v>
      </c>
      <c r="F187" s="58">
        <v>14</v>
      </c>
      <c r="G187" s="58">
        <v>0</v>
      </c>
    </row>
    <row r="188" spans="1:7" ht="15.75" customHeight="1">
      <c r="A188" s="57"/>
      <c r="B188" s="57" t="s">
        <v>274</v>
      </c>
      <c r="C188" s="58"/>
      <c r="D188" s="58">
        <v>15</v>
      </c>
      <c r="E188" s="58">
        <v>12450</v>
      </c>
      <c r="F188" s="58">
        <v>3</v>
      </c>
      <c r="G188" s="58">
        <v>13</v>
      </c>
    </row>
    <row r="189" spans="1:7" ht="15.75" customHeight="1">
      <c r="A189" s="57"/>
      <c r="B189" s="57" t="s">
        <v>274</v>
      </c>
      <c r="C189" s="58">
        <v>5</v>
      </c>
      <c r="D189" s="58">
        <v>48</v>
      </c>
      <c r="E189" s="58">
        <v>39340</v>
      </c>
      <c r="F189" s="58">
        <v>11</v>
      </c>
      <c r="G189" s="58">
        <v>5</v>
      </c>
    </row>
    <row r="190" spans="1:7" ht="15.75" customHeight="1">
      <c r="A190" s="57"/>
      <c r="B190" s="57" t="s">
        <v>274</v>
      </c>
      <c r="C190" s="58"/>
      <c r="D190" s="58">
        <v>11</v>
      </c>
      <c r="E190" s="58">
        <v>22960</v>
      </c>
      <c r="F190" s="58">
        <v>6</v>
      </c>
      <c r="G190" s="58">
        <v>11</v>
      </c>
    </row>
    <row r="191" spans="1:7" ht="15.75" customHeight="1">
      <c r="A191" s="57"/>
      <c r="B191" s="57" t="s">
        <v>274</v>
      </c>
      <c r="C191" s="58">
        <v>7</v>
      </c>
      <c r="D191" s="58">
        <v>15</v>
      </c>
      <c r="E191" s="58">
        <v>36360</v>
      </c>
      <c r="F191" s="58">
        <v>10</v>
      </c>
      <c r="G191" s="58">
        <v>5</v>
      </c>
    </row>
    <row r="192" spans="1:7" ht="15.75" customHeight="1">
      <c r="A192" s="57"/>
      <c r="B192" s="57" t="s">
        <v>274</v>
      </c>
      <c r="C192" s="58"/>
      <c r="D192" s="58">
        <v>11</v>
      </c>
      <c r="E192" s="58">
        <v>24730</v>
      </c>
      <c r="F192" s="58">
        <v>7</v>
      </c>
      <c r="G192" s="58">
        <v>7</v>
      </c>
    </row>
    <row r="193" spans="1:7" ht="15.75" customHeight="1">
      <c r="A193" s="57">
        <v>31</v>
      </c>
      <c r="B193" s="57" t="s">
        <v>275</v>
      </c>
      <c r="C193" s="58">
        <v>1</v>
      </c>
      <c r="D193" s="58">
        <v>39</v>
      </c>
      <c r="E193" s="58">
        <v>0.8</v>
      </c>
      <c r="F193" s="58">
        <v>0</v>
      </c>
      <c r="G193" s="58">
        <v>4</v>
      </c>
    </row>
    <row r="194" spans="1:7" ht="15.75" customHeight="1">
      <c r="A194" s="57"/>
      <c r="B194" s="57" t="s">
        <v>275</v>
      </c>
      <c r="C194" s="58"/>
      <c r="D194" s="58">
        <v>52</v>
      </c>
      <c r="E194" s="58">
        <v>49050</v>
      </c>
      <c r="F194" s="58">
        <v>14</v>
      </c>
      <c r="G194" s="58">
        <v>0</v>
      </c>
    </row>
    <row r="195" spans="1:7" ht="15.75" customHeight="1">
      <c r="A195" s="57"/>
      <c r="B195" s="57" t="s">
        <v>275</v>
      </c>
      <c r="C195" s="58"/>
      <c r="D195" s="58">
        <v>51</v>
      </c>
      <c r="E195" s="58">
        <v>29270</v>
      </c>
      <c r="F195" s="58">
        <v>8</v>
      </c>
      <c r="G195" s="58">
        <v>0</v>
      </c>
    </row>
    <row r="196" spans="1:7" ht="15.75" customHeight="1">
      <c r="A196" s="57"/>
      <c r="B196" s="57" t="s">
        <v>275</v>
      </c>
      <c r="C196" s="58">
        <v>4</v>
      </c>
      <c r="D196" s="58">
        <v>49</v>
      </c>
      <c r="E196" s="58">
        <v>42890</v>
      </c>
      <c r="F196" s="58">
        <v>12</v>
      </c>
      <c r="G196" s="58">
        <v>3</v>
      </c>
    </row>
    <row r="197" spans="1:7" ht="15.75" customHeight="1">
      <c r="A197" s="57"/>
      <c r="B197" s="57" t="s">
        <v>275</v>
      </c>
      <c r="C197" s="58"/>
      <c r="D197" s="58">
        <v>50</v>
      </c>
      <c r="E197" s="58">
        <v>31450</v>
      </c>
      <c r="F197" s="58">
        <v>8</v>
      </c>
      <c r="G197" s="58">
        <v>10</v>
      </c>
    </row>
    <row r="198" spans="1:7" ht="15.75" customHeight="1">
      <c r="A198" s="57"/>
      <c r="B198" s="57" t="s">
        <v>275</v>
      </c>
      <c r="C198" s="58">
        <v>8</v>
      </c>
      <c r="D198" s="58">
        <v>67</v>
      </c>
      <c r="E198" s="58">
        <v>50390</v>
      </c>
      <c r="F198" s="58">
        <v>14</v>
      </c>
      <c r="G198" s="58">
        <v>0</v>
      </c>
    </row>
    <row r="199" spans="1:7" ht="15.75" customHeight="1">
      <c r="A199" s="57"/>
      <c r="B199" s="57" t="s">
        <v>275</v>
      </c>
      <c r="C199" s="58"/>
      <c r="D199" s="58">
        <v>48</v>
      </c>
      <c r="E199" s="58">
        <v>9860</v>
      </c>
      <c r="F199" s="58">
        <v>2</v>
      </c>
      <c r="G199" s="58">
        <v>13</v>
      </c>
    </row>
    <row r="200" spans="1:7" ht="15.75" customHeight="1">
      <c r="A200" s="57"/>
      <c r="B200" s="57" t="s">
        <v>275</v>
      </c>
      <c r="C200" s="58"/>
      <c r="D200" s="58">
        <v>49</v>
      </c>
      <c r="E200" s="58">
        <v>6480</v>
      </c>
      <c r="F200" s="58">
        <v>1</v>
      </c>
      <c r="G200" s="58">
        <v>15</v>
      </c>
    </row>
    <row r="201" spans="1:7" ht="15.75" customHeight="1">
      <c r="A201" s="57">
        <v>32</v>
      </c>
      <c r="B201" s="57" t="s">
        <v>276</v>
      </c>
      <c r="C201" s="58">
        <v>2</v>
      </c>
      <c r="D201" s="58">
        <v>51</v>
      </c>
      <c r="E201" s="58">
        <v>25280</v>
      </c>
      <c r="F201" s="58">
        <v>6</v>
      </c>
      <c r="G201" s="58">
        <v>0</v>
      </c>
    </row>
    <row r="202" spans="1:7" ht="15.75" customHeight="1">
      <c r="A202" s="57"/>
      <c r="B202" s="57" t="s">
        <v>276</v>
      </c>
      <c r="C202" s="58"/>
      <c r="D202" s="58">
        <v>7</v>
      </c>
      <c r="E202" s="58">
        <v>43600</v>
      </c>
      <c r="F202" s="58">
        <v>12</v>
      </c>
      <c r="G202" s="58">
        <v>5</v>
      </c>
    </row>
    <row r="203" spans="1:7" ht="15.75" customHeight="1">
      <c r="A203" s="57"/>
      <c r="B203" s="57" t="s">
        <v>276</v>
      </c>
      <c r="C203" s="58">
        <v>9</v>
      </c>
      <c r="D203" s="58">
        <v>50</v>
      </c>
      <c r="E203" s="58">
        <v>18920</v>
      </c>
      <c r="F203" s="58">
        <v>5</v>
      </c>
      <c r="G203" s="58">
        <v>8</v>
      </c>
    </row>
    <row r="204" spans="1:7" ht="15.75" customHeight="1">
      <c r="A204" s="57"/>
      <c r="B204" s="57" t="s">
        <v>276</v>
      </c>
      <c r="C204" s="58"/>
      <c r="D204" s="58">
        <v>39</v>
      </c>
      <c r="E204" s="58">
        <v>49350</v>
      </c>
      <c r="F204" s="58">
        <v>13</v>
      </c>
      <c r="G204" s="58">
        <v>14</v>
      </c>
    </row>
    <row r="205" spans="1:7" ht="15.75" customHeight="1">
      <c r="A205" s="57"/>
      <c r="B205" s="57" t="s">
        <v>276</v>
      </c>
      <c r="C205" s="58">
        <v>11</v>
      </c>
      <c r="D205" s="58">
        <v>17</v>
      </c>
      <c r="E205" s="58">
        <v>50610</v>
      </c>
      <c r="F205" s="58">
        <v>14</v>
      </c>
      <c r="G205" s="58">
        <v>0</v>
      </c>
    </row>
    <row r="206" spans="1:7" ht="15.75" customHeight="1">
      <c r="A206" s="57"/>
      <c r="B206" s="57" t="s">
        <v>276</v>
      </c>
      <c r="C206" s="58"/>
      <c r="D206" s="58">
        <v>54</v>
      </c>
      <c r="E206" s="58">
        <v>15880</v>
      </c>
      <c r="F206" s="58">
        <v>4</v>
      </c>
      <c r="G206" s="58">
        <v>10</v>
      </c>
    </row>
    <row r="207" spans="1:7" ht="15.75" customHeight="1">
      <c r="A207" s="57"/>
      <c r="B207" s="57" t="s">
        <v>276</v>
      </c>
      <c r="C207" s="58"/>
      <c r="D207" s="58">
        <v>7</v>
      </c>
      <c r="E207" s="58">
        <v>6330</v>
      </c>
      <c r="F207" s="58">
        <v>1</v>
      </c>
      <c r="G207" s="58">
        <v>13</v>
      </c>
    </row>
    <row r="208" spans="1:7" ht="15.75" customHeight="1">
      <c r="A208" s="57">
        <v>33</v>
      </c>
      <c r="B208" s="57" t="s">
        <v>277</v>
      </c>
      <c r="C208" s="58">
        <v>5</v>
      </c>
      <c r="D208" s="58">
        <v>37</v>
      </c>
      <c r="E208" s="58">
        <v>16770</v>
      </c>
      <c r="F208" s="58">
        <v>4</v>
      </c>
      <c r="G208" s="58">
        <v>11</v>
      </c>
    </row>
    <row r="209" spans="1:7" ht="15.75" customHeight="1">
      <c r="A209" s="57"/>
      <c r="B209" s="57" t="s">
        <v>277</v>
      </c>
      <c r="C209" s="58"/>
      <c r="D209" s="58">
        <v>44</v>
      </c>
      <c r="E209" s="58">
        <v>48530</v>
      </c>
      <c r="F209" s="58">
        <v>14</v>
      </c>
      <c r="G209" s="58">
        <v>0</v>
      </c>
    </row>
    <row r="210" spans="1:7" ht="15.75" customHeight="1">
      <c r="A210" s="57"/>
      <c r="B210" s="57" t="s">
        <v>277</v>
      </c>
      <c r="C210" s="58"/>
      <c r="D210" s="58">
        <v>24</v>
      </c>
      <c r="E210" s="58">
        <v>29670</v>
      </c>
      <c r="F210" s="58">
        <v>8</v>
      </c>
      <c r="G210" s="58">
        <v>17</v>
      </c>
    </row>
    <row r="211" spans="1:7" ht="15.75" customHeight="1">
      <c r="A211" s="57"/>
      <c r="B211" s="57" t="s">
        <v>277</v>
      </c>
      <c r="C211" s="58">
        <v>12</v>
      </c>
      <c r="D211" s="58">
        <v>54</v>
      </c>
      <c r="E211" s="58">
        <v>32700</v>
      </c>
      <c r="F211" s="58">
        <v>9</v>
      </c>
      <c r="G211" s="58">
        <v>8</v>
      </c>
    </row>
    <row r="212" spans="1:7" ht="15.75" customHeight="1">
      <c r="A212" s="57"/>
      <c r="B212" s="57" t="s">
        <v>277</v>
      </c>
      <c r="C212" s="58"/>
      <c r="D212" s="58">
        <v>53</v>
      </c>
      <c r="E212" s="58">
        <v>41580</v>
      </c>
      <c r="F212" s="58">
        <v>11</v>
      </c>
      <c r="G212" s="58">
        <v>11</v>
      </c>
    </row>
    <row r="213" spans="1:7" ht="15.75" customHeight="1">
      <c r="A213" s="57"/>
      <c r="B213" s="57" t="s">
        <v>277</v>
      </c>
      <c r="C213" s="58">
        <v>6</v>
      </c>
      <c r="D213" s="58">
        <v>53</v>
      </c>
      <c r="E213" s="58">
        <v>9290</v>
      </c>
      <c r="F213" s="58">
        <v>2</v>
      </c>
      <c r="G213" s="58">
        <v>7</v>
      </c>
    </row>
    <row r="214" spans="1:7" ht="15.75" customHeight="1">
      <c r="A214" s="57"/>
      <c r="B214" s="57" t="s">
        <v>277</v>
      </c>
      <c r="C214" s="58"/>
      <c r="D214" s="58">
        <v>33</v>
      </c>
      <c r="E214" s="58">
        <v>51330</v>
      </c>
      <c r="F214" s="58">
        <v>14</v>
      </c>
      <c r="G214" s="58">
        <v>0</v>
      </c>
    </row>
    <row r="215" spans="1:7" ht="15.75" customHeight="1">
      <c r="A215" s="57"/>
      <c r="B215" s="57" t="s">
        <v>277</v>
      </c>
      <c r="C215" s="58"/>
      <c r="D215" s="58">
        <v>37</v>
      </c>
      <c r="E215" s="58">
        <v>32850</v>
      </c>
      <c r="F215" s="58">
        <v>9</v>
      </c>
      <c r="G215" s="58">
        <v>7</v>
      </c>
    </row>
    <row r="216" spans="1:7" ht="15.75" customHeight="1">
      <c r="A216" s="57">
        <v>34</v>
      </c>
      <c r="B216" s="61">
        <v>100101102</v>
      </c>
      <c r="C216" s="58">
        <v>7</v>
      </c>
      <c r="D216" s="58">
        <v>24</v>
      </c>
      <c r="E216" s="58">
        <v>18180</v>
      </c>
      <c r="F216" s="58">
        <v>5</v>
      </c>
      <c r="G216" s="58">
        <v>2</v>
      </c>
    </row>
    <row r="217" spans="1:7" ht="15.75" customHeight="1">
      <c r="A217" s="57"/>
      <c r="B217" s="61">
        <v>100101102</v>
      </c>
      <c r="C217" s="58"/>
      <c r="D217" s="58">
        <v>21</v>
      </c>
      <c r="E217" s="58">
        <v>49520</v>
      </c>
      <c r="F217" s="58">
        <v>14</v>
      </c>
      <c r="G217" s="58">
        <v>0</v>
      </c>
    </row>
    <row r="218" spans="1:7" ht="15.75" customHeight="1">
      <c r="A218" s="57"/>
      <c r="B218" s="61">
        <v>100101102</v>
      </c>
      <c r="C218" s="58">
        <v>8</v>
      </c>
      <c r="D218" s="58">
        <v>19</v>
      </c>
      <c r="E218" s="58">
        <v>47760</v>
      </c>
      <c r="F218" s="58">
        <v>14</v>
      </c>
      <c r="G218" s="58">
        <v>0</v>
      </c>
    </row>
    <row r="219" spans="1:7" ht="15.75" customHeight="1">
      <c r="A219" s="57"/>
      <c r="B219" s="61">
        <v>100101102</v>
      </c>
      <c r="C219" s="58"/>
      <c r="D219" s="58">
        <v>56</v>
      </c>
      <c r="E219" s="58">
        <v>28230</v>
      </c>
      <c r="F219" s="58">
        <v>8</v>
      </c>
      <c r="G219" s="58">
        <v>0</v>
      </c>
    </row>
    <row r="220" spans="1:7" ht="15.75" customHeight="1">
      <c r="A220" s="57"/>
      <c r="B220" s="61">
        <v>100101102</v>
      </c>
      <c r="C220" s="58">
        <v>4</v>
      </c>
      <c r="D220" s="58">
        <v>56</v>
      </c>
      <c r="E220" s="58">
        <v>20600</v>
      </c>
      <c r="F220" s="58">
        <v>6</v>
      </c>
      <c r="G220" s="58">
        <v>0</v>
      </c>
    </row>
    <row r="221" spans="1:7" ht="15.75" customHeight="1">
      <c r="A221" s="57"/>
      <c r="B221" s="61">
        <v>100101102</v>
      </c>
      <c r="C221" s="58"/>
      <c r="D221" s="58">
        <v>20</v>
      </c>
      <c r="E221" s="58">
        <v>48970</v>
      </c>
      <c r="F221" s="58">
        <v>14</v>
      </c>
      <c r="G221" s="58">
        <v>0</v>
      </c>
    </row>
    <row r="222" spans="1:7" ht="15.75" customHeight="1">
      <c r="A222" s="57">
        <v>35</v>
      </c>
      <c r="B222" s="61">
        <v>103104105</v>
      </c>
      <c r="C222" s="58">
        <v>9</v>
      </c>
      <c r="D222" s="58">
        <v>36</v>
      </c>
      <c r="E222" s="58">
        <v>20920</v>
      </c>
      <c r="F222" s="58">
        <v>6</v>
      </c>
      <c r="G222" s="58">
        <v>0</v>
      </c>
    </row>
    <row r="223" spans="1:7" ht="15.75" customHeight="1">
      <c r="A223" s="57"/>
      <c r="B223" s="61">
        <v>103104105</v>
      </c>
      <c r="C223" s="58"/>
      <c r="D223" s="58">
        <v>34</v>
      </c>
      <c r="E223" s="58">
        <v>49060</v>
      </c>
      <c r="F223" s="58">
        <v>14</v>
      </c>
      <c r="G223" s="58">
        <v>0</v>
      </c>
    </row>
    <row r="224" spans="1:7" ht="15.75" customHeight="1">
      <c r="A224" s="57"/>
      <c r="B224" s="61">
        <v>103104105</v>
      </c>
      <c r="C224" s="58">
        <v>10</v>
      </c>
      <c r="D224" s="58">
        <v>55</v>
      </c>
      <c r="E224" s="58">
        <v>48380</v>
      </c>
      <c r="F224" s="58">
        <v>14</v>
      </c>
      <c r="G224" s="58">
        <v>0</v>
      </c>
    </row>
    <row r="225" spans="1:7" ht="15.75" customHeight="1">
      <c r="A225" s="57"/>
      <c r="B225" s="61">
        <v>103104105</v>
      </c>
      <c r="C225" s="58"/>
      <c r="D225" s="58">
        <v>36</v>
      </c>
      <c r="E225" s="58">
        <v>27790</v>
      </c>
      <c r="F225" s="58">
        <v>8</v>
      </c>
      <c r="G225" s="58">
        <v>0</v>
      </c>
    </row>
    <row r="226" spans="1:7" ht="15.75" customHeight="1">
      <c r="A226" s="57"/>
      <c r="B226" s="61">
        <v>103104105</v>
      </c>
      <c r="C226" s="58">
        <v>3</v>
      </c>
      <c r="D226" s="58">
        <v>6</v>
      </c>
      <c r="E226" s="58">
        <v>49460</v>
      </c>
      <c r="F226" s="58">
        <v>14</v>
      </c>
      <c r="G226" s="58">
        <v>0</v>
      </c>
    </row>
    <row r="227" spans="1:7" ht="15.75" customHeight="1">
      <c r="A227" s="57"/>
      <c r="B227" s="61">
        <v>103104105</v>
      </c>
      <c r="C227" s="58"/>
      <c r="D227" s="58">
        <v>46</v>
      </c>
      <c r="E227" s="58">
        <v>22970</v>
      </c>
      <c r="F227" s="58">
        <v>6</v>
      </c>
      <c r="G227" s="58">
        <v>11</v>
      </c>
    </row>
    <row r="228" spans="1:7" ht="15.75" customHeight="1">
      <c r="A228" s="57">
        <v>36</v>
      </c>
      <c r="B228" s="61">
        <v>106107108</v>
      </c>
      <c r="C228" s="58">
        <v>2</v>
      </c>
      <c r="D228" s="58">
        <v>46</v>
      </c>
      <c r="E228" s="58">
        <v>26040</v>
      </c>
      <c r="F228" s="58">
        <v>7</v>
      </c>
      <c r="G228" s="58">
        <v>7</v>
      </c>
    </row>
    <row r="229" spans="1:7" ht="15.75" customHeight="1">
      <c r="B229" s="61">
        <v>106107108</v>
      </c>
      <c r="D229" s="44">
        <v>58</v>
      </c>
      <c r="E229" s="44">
        <v>49920</v>
      </c>
      <c r="F229" s="44">
        <v>14</v>
      </c>
      <c r="G229" s="44">
        <v>0</v>
      </c>
    </row>
    <row r="230" spans="1:7" ht="15.75" customHeight="1">
      <c r="B230" s="61">
        <v>106107108</v>
      </c>
      <c r="D230" s="44">
        <v>45</v>
      </c>
      <c r="E230" s="44">
        <v>5140</v>
      </c>
      <c r="F230" s="44">
        <v>1</v>
      </c>
      <c r="G230" s="44">
        <v>10</v>
      </c>
    </row>
    <row r="231" spans="1:7" ht="15.75" customHeight="1">
      <c r="B231" s="61">
        <v>106107108</v>
      </c>
      <c r="C231" s="44">
        <v>6</v>
      </c>
      <c r="D231" s="44">
        <v>14</v>
      </c>
      <c r="E231" s="44">
        <v>17790</v>
      </c>
      <c r="F231" s="44">
        <v>5</v>
      </c>
      <c r="G231" s="44">
        <v>6</v>
      </c>
    </row>
    <row r="232" spans="1:7" ht="15.75" customHeight="1">
      <c r="B232" s="61">
        <v>106107108</v>
      </c>
      <c r="D232" s="44">
        <v>12</v>
      </c>
      <c r="E232" s="44">
        <v>48890</v>
      </c>
      <c r="F232" s="44">
        <v>14</v>
      </c>
      <c r="G232" s="44">
        <v>0</v>
      </c>
    </row>
    <row r="233" spans="1:7" ht="15.75" customHeight="1">
      <c r="B233" s="61">
        <v>106107108</v>
      </c>
      <c r="D233" s="44">
        <v>30</v>
      </c>
      <c r="E233" s="44">
        <v>6970</v>
      </c>
      <c r="F233" s="44">
        <v>1</v>
      </c>
      <c r="G233" s="44">
        <v>16</v>
      </c>
    </row>
    <row r="234" spans="1:7" ht="15.75" customHeight="1">
      <c r="B234" s="61">
        <v>106107108</v>
      </c>
      <c r="C234" s="44">
        <v>12</v>
      </c>
      <c r="D234" s="44">
        <v>45</v>
      </c>
      <c r="E234" s="44">
        <v>43330</v>
      </c>
      <c r="F234" s="44">
        <v>12</v>
      </c>
      <c r="G234" s="44">
        <v>8</v>
      </c>
    </row>
    <row r="235" spans="1:7" ht="15.75" customHeight="1">
      <c r="B235" s="61">
        <v>106107108</v>
      </c>
      <c r="D235" s="44">
        <v>14</v>
      </c>
      <c r="E235" s="44">
        <v>29550</v>
      </c>
      <c r="F235" s="44">
        <v>8</v>
      </c>
      <c r="G235" s="44">
        <v>12</v>
      </c>
    </row>
    <row r="236" spans="1:7" ht="14.45" customHeight="1">
      <c r="A236" s="55">
        <v>37</v>
      </c>
      <c r="B236" s="393">
        <v>109110111</v>
      </c>
    </row>
    <row r="237" spans="1:7" ht="14.45" customHeight="1">
      <c r="B237" s="393">
        <v>109110111</v>
      </c>
    </row>
    <row r="238" spans="1:7" ht="14.45" customHeight="1">
      <c r="B238" s="393">
        <v>109110111</v>
      </c>
    </row>
    <row r="239" spans="1:7" ht="14.45" customHeight="1">
      <c r="B239" s="393">
        <v>109110111</v>
      </c>
    </row>
    <row r="240" spans="1:7" ht="14.45" customHeight="1"/>
    <row r="241" ht="14.45" customHeight="1"/>
    <row r="242" ht="14.45" customHeight="1"/>
    <row r="243" ht="14.45" customHeight="1"/>
    <row r="244" ht="14.45" customHeight="1"/>
    <row r="245" ht="14.45" customHeight="1"/>
    <row r="246" ht="14.45" customHeight="1"/>
    <row r="247" ht="14.45" customHeight="1"/>
    <row r="248" ht="14.45" customHeight="1"/>
    <row r="249" ht="14.45" customHeight="1"/>
    <row r="250" ht="14.45" customHeight="1"/>
    <row r="251" ht="14.45" customHeight="1"/>
    <row r="252" ht="14.45" customHeight="1"/>
    <row r="253" ht="14.45" customHeight="1"/>
    <row r="254" ht="14.45" customHeight="1"/>
    <row r="255" ht="14.45" customHeight="1"/>
    <row r="256" ht="14.45" customHeight="1"/>
    <row r="257" ht="14.45" customHeight="1"/>
    <row r="258" ht="14.45" customHeight="1"/>
    <row r="259" ht="14.45" customHeight="1"/>
  </sheetData>
  <mergeCells count="7">
    <mergeCell ref="G1:G3"/>
    <mergeCell ref="A1:A3"/>
    <mergeCell ref="B1:B3"/>
    <mergeCell ref="D1:D3"/>
    <mergeCell ref="E1:E3"/>
    <mergeCell ref="F1:F3"/>
    <mergeCell ref="C1:C3"/>
  </mergeCells>
  <phoneticPr fontId="1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Summary</vt:lpstr>
      <vt:lpstr>Compost Quantity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charishma myneni</dc:creator>
  <cp:lastModifiedBy>FB HARVESTING 2</cp:lastModifiedBy>
  <dcterms:created xsi:type="dcterms:W3CDTF">2026-08-10T15:45:09Z</dcterms:created>
  <dcterms:modified xsi:type="dcterms:W3CDTF">2026-08-15T11:47:45Z</dcterms:modified>
</cp:coreProperties>
</file>